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thumbnail" Target="docProps/thumbnail.jpeg"/>
   <Relationship Id="rId3" Type="http://schemas.openxmlformats.org/package/2006/relationships/metadata/core-properties" Target="docProps/core.xml"/>
   <Relationship Id="rId4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4620" tabRatio="500" activeTab="1"/>
  </bookViews>
  <sheets>
    <sheet name="All data, all elements" sheetId="2" r:id="rId1"/>
    <sheet name="Data for SrYvsLREE Biplots in R" sheetId="9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6" i="2" l="1"/>
  <c r="AK6" i="2"/>
  <c r="AJ7" i="2"/>
  <c r="AK7" i="2"/>
  <c r="AJ8" i="2"/>
  <c r="AK8" i="2"/>
  <c r="AJ9" i="2"/>
  <c r="AK9" i="2"/>
  <c r="AJ10" i="2"/>
  <c r="AK10" i="2"/>
  <c r="AJ11" i="2"/>
  <c r="AK11" i="2"/>
  <c r="AJ12" i="2"/>
  <c r="AK12" i="2"/>
  <c r="AJ13" i="2"/>
  <c r="AK13" i="2"/>
  <c r="AJ14" i="2"/>
  <c r="AK14" i="2"/>
  <c r="AJ15" i="2"/>
  <c r="AK15" i="2"/>
  <c r="AJ16" i="2"/>
  <c r="AK16" i="2"/>
  <c r="AJ17" i="2"/>
  <c r="AK17" i="2"/>
  <c r="AJ18" i="2"/>
  <c r="AK18" i="2"/>
  <c r="AJ19" i="2"/>
  <c r="AK19" i="2"/>
  <c r="AJ20" i="2"/>
  <c r="AK20" i="2"/>
  <c r="AJ21" i="2"/>
  <c r="AK21" i="2"/>
  <c r="AJ22" i="2"/>
  <c r="AK22" i="2"/>
  <c r="AJ23" i="2"/>
  <c r="AK23" i="2"/>
  <c r="AJ24" i="2"/>
  <c r="AK24" i="2"/>
  <c r="AJ25" i="2"/>
  <c r="AK25" i="2"/>
  <c r="AJ26" i="2"/>
  <c r="AK26" i="2"/>
  <c r="AJ27" i="2"/>
  <c r="AK27" i="2"/>
  <c r="AJ28" i="2"/>
  <c r="AK28" i="2"/>
  <c r="AJ29" i="2"/>
  <c r="AK29" i="2"/>
  <c r="AJ30" i="2"/>
  <c r="AK30" i="2"/>
  <c r="AJ31" i="2"/>
  <c r="AK31" i="2"/>
  <c r="AJ32" i="2"/>
  <c r="AK32" i="2"/>
  <c r="AJ33" i="2"/>
  <c r="AK33" i="2"/>
  <c r="AJ34" i="2"/>
  <c r="AK34" i="2"/>
  <c r="AJ35" i="2"/>
  <c r="AK35" i="2"/>
  <c r="AJ36" i="2"/>
  <c r="AK36" i="2"/>
  <c r="AJ37" i="2"/>
  <c r="AK37" i="2"/>
  <c r="AJ38" i="2"/>
  <c r="AK38" i="2"/>
  <c r="AJ39" i="2"/>
  <c r="AK39" i="2"/>
  <c r="AJ40" i="2"/>
  <c r="AK40" i="2"/>
  <c r="AJ41" i="2"/>
  <c r="AK41" i="2"/>
  <c r="AJ42" i="2"/>
  <c r="AK42" i="2"/>
  <c r="AJ43" i="2"/>
  <c r="AK43" i="2"/>
  <c r="AJ44" i="2"/>
  <c r="AK44" i="2"/>
  <c r="AJ45" i="2"/>
  <c r="AK45" i="2"/>
  <c r="AJ46" i="2"/>
  <c r="AK46" i="2"/>
  <c r="AJ47" i="2"/>
  <c r="AK47" i="2"/>
  <c r="AJ48" i="2"/>
  <c r="AK48" i="2"/>
  <c r="AJ49" i="2"/>
  <c r="AK49" i="2"/>
  <c r="AJ50" i="2"/>
  <c r="AK50" i="2"/>
  <c r="AJ51" i="2"/>
  <c r="AK51" i="2"/>
  <c r="AJ52" i="2"/>
  <c r="AK52" i="2"/>
  <c r="AJ53" i="2"/>
  <c r="AJ54" i="2"/>
  <c r="AJ55" i="2"/>
  <c r="AJ56" i="2"/>
  <c r="AJ57" i="2"/>
  <c r="AJ58" i="2"/>
  <c r="AJ59" i="2"/>
  <c r="AJ60" i="2"/>
  <c r="AJ61" i="2"/>
  <c r="AJ62" i="2"/>
  <c r="AJ63" i="2"/>
  <c r="AK63" i="2"/>
  <c r="AJ64" i="2"/>
  <c r="AK64" i="2"/>
  <c r="AJ65" i="2"/>
  <c r="AK65" i="2"/>
  <c r="AJ66" i="2"/>
  <c r="AK66" i="2"/>
  <c r="AJ67" i="2"/>
  <c r="AK67" i="2"/>
  <c r="AJ68" i="2"/>
  <c r="AK68" i="2"/>
  <c r="AJ69" i="2"/>
  <c r="AK69" i="2"/>
  <c r="AJ70" i="2"/>
  <c r="AK70" i="2"/>
  <c r="AJ71" i="2"/>
  <c r="AK71" i="2"/>
  <c r="AJ72" i="2"/>
  <c r="AK72" i="2"/>
  <c r="AJ73" i="2"/>
  <c r="AK73" i="2"/>
  <c r="AJ74" i="2"/>
  <c r="AK74" i="2"/>
  <c r="AJ75" i="2"/>
  <c r="AK75" i="2"/>
  <c r="AJ76" i="2"/>
  <c r="AK76" i="2"/>
  <c r="AJ77" i="2"/>
  <c r="AK77" i="2"/>
  <c r="AJ78" i="2"/>
  <c r="AK78" i="2"/>
  <c r="AJ79" i="2"/>
  <c r="AK79" i="2"/>
  <c r="AJ80" i="2"/>
  <c r="AK80" i="2"/>
  <c r="AJ81" i="2"/>
  <c r="AK81" i="2"/>
  <c r="AJ82" i="2"/>
  <c r="AK82" i="2"/>
  <c r="AJ83" i="2"/>
  <c r="AK83" i="2"/>
  <c r="AJ84" i="2"/>
  <c r="AK84" i="2"/>
  <c r="AJ85" i="2"/>
  <c r="AK85" i="2"/>
  <c r="AJ86" i="2"/>
  <c r="AK86" i="2"/>
  <c r="AJ87" i="2"/>
  <c r="AK87" i="2"/>
  <c r="AJ88" i="2"/>
  <c r="AK88" i="2"/>
  <c r="AJ89" i="2"/>
  <c r="AK89" i="2"/>
  <c r="AJ90" i="2"/>
  <c r="AK90" i="2"/>
  <c r="AJ91" i="2"/>
  <c r="AK91" i="2"/>
  <c r="AJ92" i="2"/>
  <c r="AK92" i="2"/>
  <c r="AJ93" i="2"/>
  <c r="AK93" i="2"/>
  <c r="AJ94" i="2"/>
  <c r="AK94" i="2"/>
  <c r="AJ95" i="2"/>
  <c r="AK95" i="2"/>
  <c r="AJ96" i="2"/>
  <c r="AK96" i="2"/>
  <c r="AJ97" i="2"/>
  <c r="AK97" i="2"/>
  <c r="AJ98" i="2"/>
  <c r="AK98" i="2"/>
  <c r="AJ99" i="2"/>
  <c r="AK99" i="2"/>
  <c r="AJ100" i="2"/>
  <c r="AK100" i="2"/>
  <c r="AJ101" i="2"/>
  <c r="AK101" i="2"/>
  <c r="AJ102" i="2"/>
  <c r="AK102" i="2"/>
  <c r="AJ103" i="2"/>
  <c r="AK103" i="2"/>
  <c r="AJ104" i="2"/>
  <c r="AJ105" i="2"/>
  <c r="AJ106" i="2"/>
  <c r="AJ107" i="2"/>
  <c r="AJ108" i="2"/>
  <c r="AK108" i="2"/>
  <c r="AJ109" i="2"/>
  <c r="AJ110" i="2"/>
  <c r="AJ111" i="2"/>
  <c r="AK111" i="2"/>
  <c r="AJ112" i="2"/>
  <c r="AK112" i="2"/>
  <c r="AJ113" i="2"/>
  <c r="AK113" i="2"/>
  <c r="AJ114" i="2"/>
  <c r="AK114" i="2"/>
  <c r="AJ115" i="2"/>
  <c r="AJ116" i="2"/>
  <c r="AK116" i="2"/>
  <c r="AJ117" i="2"/>
  <c r="AJ118" i="2"/>
  <c r="AJ119" i="2"/>
  <c r="AJ120" i="2"/>
  <c r="AK120" i="2"/>
  <c r="AJ121" i="2"/>
  <c r="AJ122" i="2"/>
  <c r="AJ123" i="2"/>
  <c r="AJ124" i="2"/>
  <c r="AJ125" i="2"/>
  <c r="AK125" i="2"/>
  <c r="AJ126" i="2"/>
  <c r="AK126" i="2"/>
  <c r="AJ127" i="2"/>
  <c r="AK127" i="2"/>
  <c r="AJ128" i="2"/>
  <c r="AK128" i="2"/>
  <c r="AJ129" i="2"/>
  <c r="AK129" i="2"/>
  <c r="AJ130" i="2"/>
  <c r="AK130" i="2"/>
  <c r="AJ131" i="2"/>
  <c r="AK131" i="2"/>
  <c r="AJ132" i="2"/>
  <c r="AK132" i="2"/>
  <c r="AJ133" i="2"/>
  <c r="AK133" i="2"/>
  <c r="AJ134" i="2"/>
  <c r="AK134" i="2"/>
  <c r="AJ135" i="2"/>
  <c r="AK135" i="2"/>
  <c r="AJ136" i="2"/>
  <c r="AK136" i="2"/>
  <c r="AJ137" i="2"/>
  <c r="AJ138" i="2"/>
  <c r="AJ139" i="2"/>
  <c r="AJ140" i="2"/>
  <c r="AJ141" i="2"/>
  <c r="AK141" i="2"/>
  <c r="AJ142" i="2"/>
  <c r="AK142" i="2"/>
  <c r="AJ143" i="2"/>
  <c r="AK143" i="2"/>
  <c r="AJ144" i="2"/>
  <c r="AK144" i="2"/>
  <c r="AJ145" i="2"/>
  <c r="AK145" i="2"/>
  <c r="AJ146" i="2"/>
  <c r="AK146" i="2"/>
  <c r="AJ147" i="2"/>
  <c r="AK147" i="2"/>
  <c r="AJ148" i="2"/>
  <c r="AK148" i="2"/>
  <c r="AJ149" i="2"/>
  <c r="AK149" i="2"/>
  <c r="AJ150" i="2"/>
  <c r="AK150" i="2"/>
  <c r="AJ151" i="2"/>
  <c r="AK151" i="2"/>
  <c r="AJ152" i="2"/>
  <c r="AK152" i="2"/>
  <c r="AJ153" i="2"/>
  <c r="AK153" i="2"/>
  <c r="AJ154" i="2"/>
  <c r="AK154" i="2"/>
  <c r="AJ155" i="2"/>
  <c r="AK155" i="2"/>
  <c r="AJ156" i="2"/>
  <c r="AK156" i="2"/>
  <c r="AJ157" i="2"/>
  <c r="AK157" i="2"/>
  <c r="AJ158" i="2"/>
  <c r="AK158" i="2"/>
  <c r="AJ159" i="2"/>
  <c r="AK159" i="2"/>
  <c r="AJ160" i="2"/>
  <c r="AK160" i="2"/>
  <c r="AJ161" i="2"/>
  <c r="AK161" i="2"/>
  <c r="AJ162" i="2"/>
  <c r="AK162" i="2"/>
  <c r="AJ163" i="2"/>
  <c r="AK163" i="2"/>
  <c r="AJ164" i="2"/>
  <c r="AK164" i="2"/>
  <c r="AJ165" i="2"/>
  <c r="AK165" i="2"/>
  <c r="AJ166" i="2"/>
  <c r="AK166" i="2"/>
  <c r="AJ167" i="2"/>
  <c r="AK167" i="2"/>
  <c r="AJ168" i="2"/>
  <c r="AK168" i="2"/>
  <c r="AJ169" i="2"/>
  <c r="AK169" i="2"/>
  <c r="AJ170" i="2"/>
  <c r="AK170" i="2"/>
  <c r="AJ171" i="2"/>
  <c r="AK171" i="2"/>
  <c r="AJ172" i="2"/>
  <c r="AK172" i="2"/>
  <c r="AJ173" i="2"/>
  <c r="AK173" i="2"/>
  <c r="AJ174" i="2"/>
  <c r="AK174" i="2"/>
  <c r="AJ175" i="2"/>
  <c r="AK175" i="2"/>
  <c r="AJ176" i="2"/>
  <c r="AK176" i="2"/>
  <c r="AJ177" i="2"/>
  <c r="AK177" i="2"/>
  <c r="AJ178" i="2"/>
  <c r="AK178" i="2"/>
  <c r="AJ179" i="2"/>
  <c r="AK179" i="2"/>
  <c r="AJ180" i="2"/>
  <c r="AK180" i="2"/>
  <c r="AJ181" i="2"/>
  <c r="AK181" i="2"/>
  <c r="AJ182" i="2"/>
  <c r="AK182" i="2"/>
  <c r="AJ183" i="2"/>
  <c r="AK183" i="2"/>
  <c r="AJ184" i="2"/>
  <c r="AK184" i="2"/>
  <c r="AJ185" i="2"/>
  <c r="AK185" i="2"/>
  <c r="AJ186" i="2"/>
  <c r="AK186" i="2"/>
  <c r="AJ187" i="2"/>
  <c r="AK187" i="2"/>
  <c r="AJ188" i="2"/>
  <c r="AK188" i="2"/>
  <c r="AJ189" i="2"/>
  <c r="AK189" i="2"/>
  <c r="AJ190" i="2"/>
  <c r="AK190" i="2"/>
  <c r="AJ191" i="2"/>
  <c r="AK191" i="2"/>
  <c r="AJ192" i="2"/>
  <c r="AK192" i="2"/>
  <c r="AJ193" i="2"/>
  <c r="AK193" i="2"/>
  <c r="AJ194" i="2"/>
  <c r="AK194" i="2"/>
  <c r="AJ195" i="2"/>
  <c r="AK195" i="2"/>
  <c r="AJ196" i="2"/>
  <c r="AK196" i="2"/>
  <c r="AJ197" i="2"/>
  <c r="AK197" i="2"/>
  <c r="AJ198" i="2"/>
  <c r="AK198" i="2"/>
  <c r="AJ199" i="2"/>
  <c r="AK199" i="2"/>
  <c r="AJ200" i="2"/>
  <c r="AK200" i="2"/>
  <c r="AJ201" i="2"/>
  <c r="AK201" i="2"/>
  <c r="AJ202" i="2"/>
  <c r="AK202" i="2"/>
  <c r="AJ203" i="2"/>
  <c r="AK203" i="2"/>
  <c r="AJ204" i="2"/>
  <c r="AK204" i="2"/>
  <c r="AJ205" i="2"/>
  <c r="AK205" i="2"/>
  <c r="AJ206" i="2"/>
  <c r="AK206" i="2"/>
  <c r="AJ207" i="2"/>
  <c r="AK207" i="2"/>
  <c r="AJ208" i="2"/>
  <c r="AK208" i="2"/>
  <c r="AJ209" i="2"/>
  <c r="AK209" i="2"/>
  <c r="AJ210" i="2"/>
  <c r="AK210" i="2"/>
  <c r="AJ211" i="2"/>
  <c r="AK211" i="2"/>
  <c r="AJ212" i="2"/>
  <c r="AK212" i="2"/>
  <c r="AJ213" i="2"/>
  <c r="AK213" i="2"/>
  <c r="AJ214" i="2"/>
  <c r="AK214" i="2"/>
  <c r="AJ215" i="2"/>
  <c r="AK215" i="2"/>
  <c r="AJ216" i="2"/>
  <c r="AK216" i="2"/>
  <c r="AJ217" i="2"/>
  <c r="AK217" i="2"/>
  <c r="AJ218" i="2"/>
  <c r="AK218" i="2"/>
  <c r="AJ219" i="2"/>
  <c r="AK219" i="2"/>
  <c r="AJ220" i="2"/>
  <c r="AK220" i="2"/>
  <c r="AJ221" i="2"/>
  <c r="AK221" i="2"/>
  <c r="AJ222" i="2"/>
  <c r="AK222" i="2"/>
  <c r="AJ223" i="2"/>
  <c r="AK223" i="2"/>
  <c r="AJ224" i="2"/>
  <c r="AK224" i="2"/>
  <c r="AJ225" i="2"/>
  <c r="AK225" i="2"/>
  <c r="AJ226" i="2"/>
  <c r="AK226" i="2"/>
  <c r="AJ227" i="2"/>
  <c r="AK227" i="2"/>
  <c r="AJ228" i="2"/>
  <c r="AK228" i="2"/>
  <c r="AJ229" i="2"/>
  <c r="AK229" i="2"/>
  <c r="AJ230" i="2"/>
  <c r="AK230" i="2"/>
  <c r="AJ231" i="2"/>
  <c r="AK231" i="2"/>
  <c r="AJ232" i="2"/>
  <c r="AK232" i="2"/>
  <c r="AJ233" i="2"/>
  <c r="AK233" i="2"/>
  <c r="AJ234" i="2"/>
  <c r="AK234" i="2"/>
  <c r="AJ235" i="2"/>
  <c r="AK235" i="2"/>
  <c r="AJ236" i="2"/>
  <c r="AK236" i="2"/>
  <c r="AJ237" i="2"/>
  <c r="AK237" i="2"/>
  <c r="AJ238" i="2"/>
  <c r="AK238" i="2"/>
  <c r="AJ239" i="2"/>
  <c r="AK239" i="2"/>
  <c r="AJ240" i="2"/>
  <c r="AK240" i="2"/>
  <c r="AJ241" i="2"/>
  <c r="AK241" i="2"/>
  <c r="AJ242" i="2"/>
  <c r="AK242" i="2"/>
  <c r="AJ243" i="2"/>
  <c r="AK243" i="2"/>
  <c r="AJ244" i="2"/>
  <c r="AK244" i="2"/>
  <c r="AJ245" i="2"/>
  <c r="AK245" i="2"/>
  <c r="AJ246" i="2"/>
  <c r="AK246" i="2"/>
  <c r="AJ247" i="2"/>
  <c r="AK247" i="2"/>
  <c r="AJ248" i="2"/>
  <c r="AK248" i="2"/>
  <c r="AJ249" i="2"/>
  <c r="AK249" i="2"/>
  <c r="AJ250" i="2"/>
  <c r="AK250" i="2"/>
  <c r="AJ251" i="2"/>
  <c r="AK251" i="2"/>
  <c r="AJ252" i="2"/>
  <c r="AK252" i="2"/>
  <c r="AJ253" i="2"/>
  <c r="AK253" i="2"/>
  <c r="AJ254" i="2"/>
  <c r="AK254" i="2"/>
  <c r="AJ255" i="2"/>
  <c r="AK255" i="2"/>
  <c r="AJ256" i="2"/>
  <c r="AK256" i="2"/>
  <c r="AJ257" i="2"/>
  <c r="AK257" i="2"/>
  <c r="AJ258" i="2"/>
  <c r="AK258" i="2"/>
  <c r="AJ259" i="2"/>
  <c r="AK259" i="2"/>
  <c r="AJ260" i="2"/>
  <c r="AK260" i="2"/>
  <c r="AJ261" i="2"/>
  <c r="AK261" i="2"/>
  <c r="AJ262" i="2"/>
  <c r="AK262" i="2"/>
  <c r="AJ263" i="2"/>
  <c r="AK263" i="2"/>
  <c r="AJ264" i="2"/>
  <c r="AK264" i="2"/>
  <c r="AJ265" i="2"/>
  <c r="AK265" i="2"/>
  <c r="AJ266" i="2"/>
  <c r="AK266" i="2"/>
  <c r="AJ267" i="2"/>
  <c r="AK267" i="2"/>
  <c r="AJ268" i="2"/>
  <c r="AK268" i="2"/>
  <c r="AJ269" i="2"/>
  <c r="AK269" i="2"/>
  <c r="AJ270" i="2"/>
  <c r="AK270" i="2"/>
  <c r="AJ271" i="2"/>
  <c r="AK271" i="2"/>
  <c r="AJ272" i="2"/>
  <c r="AK272" i="2"/>
  <c r="AJ273" i="2"/>
  <c r="AK273" i="2"/>
  <c r="AJ274" i="2"/>
  <c r="AK274" i="2"/>
  <c r="AJ275" i="2"/>
  <c r="AK275" i="2"/>
  <c r="AJ276" i="2"/>
  <c r="AK276" i="2"/>
  <c r="AJ277" i="2"/>
  <c r="AK277" i="2"/>
  <c r="AJ278" i="2"/>
  <c r="AK278" i="2"/>
  <c r="AJ279" i="2"/>
  <c r="AK279" i="2"/>
  <c r="AJ280" i="2"/>
  <c r="AK280" i="2"/>
  <c r="AJ281" i="2"/>
  <c r="AK281" i="2"/>
  <c r="AJ282" i="2"/>
  <c r="AK282" i="2"/>
  <c r="AJ283" i="2"/>
  <c r="AK283" i="2"/>
  <c r="AJ284" i="2"/>
  <c r="AK284" i="2"/>
  <c r="AJ285" i="2"/>
  <c r="AK285" i="2"/>
  <c r="AJ286" i="2"/>
  <c r="AK286" i="2"/>
  <c r="AJ287" i="2"/>
  <c r="AK287" i="2"/>
  <c r="AJ288" i="2"/>
  <c r="AK288" i="2"/>
  <c r="AJ289" i="2"/>
  <c r="AK289" i="2"/>
  <c r="AJ290" i="2"/>
  <c r="AK290" i="2"/>
  <c r="AJ291" i="2"/>
  <c r="AK291" i="2"/>
  <c r="AJ292" i="2"/>
  <c r="AK292" i="2"/>
  <c r="AJ293" i="2"/>
  <c r="AK293" i="2"/>
  <c r="AJ294" i="2"/>
  <c r="AK294" i="2"/>
  <c r="AJ295" i="2"/>
  <c r="AK295" i="2"/>
  <c r="AJ296" i="2"/>
  <c r="AK296" i="2"/>
  <c r="AJ297" i="2"/>
  <c r="AK297" i="2"/>
  <c r="AJ298" i="2"/>
  <c r="AK298" i="2"/>
  <c r="AJ299" i="2"/>
  <c r="AK299" i="2"/>
  <c r="AJ300" i="2"/>
  <c r="AK300" i="2"/>
  <c r="AJ301" i="2"/>
  <c r="AK301" i="2"/>
  <c r="AJ302" i="2"/>
  <c r="AK302" i="2"/>
  <c r="AJ303" i="2"/>
  <c r="AK303" i="2"/>
  <c r="AJ304" i="2"/>
  <c r="AK304" i="2"/>
  <c r="AJ305" i="2"/>
  <c r="AK305" i="2"/>
  <c r="AJ306" i="2"/>
  <c r="AK306" i="2"/>
  <c r="AJ307" i="2"/>
  <c r="AK307" i="2"/>
  <c r="AJ308" i="2"/>
  <c r="AK308" i="2"/>
  <c r="AJ309" i="2"/>
  <c r="AK309" i="2"/>
  <c r="AJ310" i="2"/>
  <c r="AK310" i="2"/>
  <c r="AJ311" i="2"/>
  <c r="AK311" i="2"/>
  <c r="AJ312" i="2"/>
  <c r="AK312" i="2"/>
  <c r="AJ313" i="2"/>
  <c r="AK313" i="2"/>
  <c r="AJ314" i="2"/>
  <c r="AK314" i="2"/>
  <c r="AJ315" i="2"/>
  <c r="AK315" i="2"/>
  <c r="AJ316" i="2"/>
  <c r="AK316" i="2"/>
  <c r="AJ317" i="2"/>
  <c r="AK317" i="2"/>
  <c r="AJ318" i="2"/>
  <c r="AK318" i="2"/>
  <c r="AJ319" i="2"/>
  <c r="AK319" i="2"/>
  <c r="AJ320" i="2"/>
  <c r="AK320" i="2"/>
  <c r="AJ321" i="2"/>
  <c r="AK321" i="2"/>
  <c r="AJ322" i="2"/>
  <c r="AK322" i="2"/>
  <c r="AJ323" i="2"/>
  <c r="AK323" i="2"/>
  <c r="AJ324" i="2"/>
  <c r="AK324" i="2"/>
  <c r="AJ325" i="2"/>
  <c r="AK325" i="2"/>
  <c r="AJ326" i="2"/>
  <c r="AK326" i="2"/>
  <c r="AJ327" i="2"/>
  <c r="AK327" i="2"/>
  <c r="AJ328" i="2"/>
  <c r="AK328" i="2"/>
  <c r="AJ329" i="2"/>
  <c r="AK329" i="2"/>
  <c r="AJ330" i="2"/>
  <c r="AK330" i="2"/>
  <c r="AJ331" i="2"/>
  <c r="AK331" i="2"/>
  <c r="AJ332" i="2"/>
  <c r="AK332" i="2"/>
  <c r="AJ333" i="2"/>
  <c r="AK333" i="2"/>
  <c r="AJ334" i="2"/>
  <c r="AK334" i="2"/>
  <c r="AJ335" i="2"/>
  <c r="AK335" i="2"/>
  <c r="AJ336" i="2"/>
  <c r="AK336" i="2"/>
  <c r="AJ337" i="2"/>
  <c r="AK337" i="2"/>
  <c r="AJ338" i="2"/>
  <c r="AK338" i="2"/>
  <c r="AJ339" i="2"/>
  <c r="AK339" i="2"/>
  <c r="AJ340" i="2"/>
  <c r="AK340" i="2"/>
  <c r="AJ341" i="2"/>
  <c r="AK341" i="2"/>
  <c r="AJ342" i="2"/>
  <c r="AK342" i="2"/>
  <c r="AJ343" i="2"/>
  <c r="AK343" i="2"/>
  <c r="AJ344" i="2"/>
  <c r="AK344" i="2"/>
  <c r="AJ345" i="2"/>
  <c r="AK345" i="2"/>
  <c r="AJ346" i="2"/>
  <c r="AK346" i="2"/>
  <c r="AJ347" i="2"/>
  <c r="AK347" i="2"/>
  <c r="AJ348" i="2"/>
  <c r="AK348" i="2"/>
  <c r="AJ349" i="2"/>
  <c r="AK349" i="2"/>
  <c r="AJ350" i="2"/>
  <c r="AK350" i="2"/>
  <c r="AJ351" i="2"/>
  <c r="AK351" i="2"/>
  <c r="AJ352" i="2"/>
  <c r="AK352" i="2"/>
  <c r="AJ353" i="2"/>
  <c r="AK353" i="2"/>
  <c r="AK354" i="2"/>
  <c r="AJ355" i="2"/>
  <c r="AK355" i="2"/>
  <c r="AJ356" i="2"/>
  <c r="AK356" i="2"/>
  <c r="AJ357" i="2"/>
  <c r="AK357" i="2"/>
  <c r="AJ358" i="2"/>
  <c r="AK358" i="2"/>
  <c r="AJ359" i="2"/>
  <c r="AK359" i="2"/>
  <c r="AJ360" i="2"/>
  <c r="AK360" i="2"/>
  <c r="AJ361" i="2"/>
  <c r="AK361" i="2"/>
  <c r="AJ362" i="2"/>
  <c r="AK362" i="2"/>
  <c r="AJ363" i="2"/>
  <c r="AK363" i="2"/>
  <c r="AJ364" i="2"/>
  <c r="AK364" i="2"/>
  <c r="AJ365" i="2"/>
  <c r="AK365" i="2"/>
  <c r="AJ366" i="2"/>
  <c r="AK366" i="2"/>
  <c r="AJ367" i="2"/>
  <c r="AK367" i="2"/>
  <c r="AJ368" i="2"/>
  <c r="AK368" i="2"/>
  <c r="AJ369" i="2"/>
  <c r="AK369" i="2"/>
  <c r="AJ370" i="2"/>
  <c r="AK370" i="2"/>
  <c r="AJ371" i="2"/>
  <c r="AK371" i="2"/>
  <c r="AJ372" i="2"/>
  <c r="AK372" i="2"/>
  <c r="AJ373" i="2"/>
  <c r="AK373" i="2"/>
  <c r="AJ374" i="2"/>
  <c r="AK374" i="2"/>
  <c r="AJ375" i="2"/>
  <c r="AK375" i="2"/>
  <c r="AJ376" i="2"/>
  <c r="AK376" i="2"/>
  <c r="AJ377" i="2"/>
  <c r="AK377" i="2"/>
  <c r="AJ378" i="2"/>
  <c r="AK378" i="2"/>
  <c r="AJ379" i="2"/>
  <c r="AK379" i="2"/>
  <c r="AJ380" i="2"/>
  <c r="AK380" i="2"/>
  <c r="AJ381" i="2"/>
  <c r="AK381" i="2"/>
  <c r="AJ382" i="2"/>
  <c r="AK382" i="2"/>
  <c r="AJ383" i="2"/>
  <c r="AK383" i="2"/>
  <c r="AJ384" i="2"/>
  <c r="AK384" i="2"/>
  <c r="AJ385" i="2"/>
  <c r="AK385" i="2"/>
  <c r="AJ386" i="2"/>
  <c r="AK386" i="2"/>
  <c r="AJ387" i="2"/>
  <c r="AK387" i="2"/>
  <c r="AJ388" i="2"/>
  <c r="AK388" i="2"/>
  <c r="AJ389" i="2"/>
  <c r="AK389" i="2"/>
  <c r="AJ390" i="2"/>
  <c r="AK390" i="2"/>
  <c r="AJ391" i="2"/>
  <c r="AK391" i="2"/>
  <c r="AJ392" i="2"/>
  <c r="AK392" i="2"/>
  <c r="AJ393" i="2"/>
  <c r="AK393" i="2"/>
  <c r="AJ394" i="2"/>
  <c r="AK394" i="2"/>
  <c r="AJ395" i="2"/>
  <c r="AK395" i="2"/>
  <c r="AJ396" i="2"/>
  <c r="AK396" i="2"/>
  <c r="AJ397" i="2"/>
  <c r="AK397" i="2"/>
  <c r="AJ398" i="2"/>
  <c r="AK398" i="2"/>
  <c r="AJ399" i="2"/>
  <c r="AK399" i="2"/>
  <c r="AJ400" i="2"/>
  <c r="AK400" i="2"/>
  <c r="AJ401" i="2"/>
  <c r="AK401" i="2"/>
  <c r="AJ402" i="2"/>
  <c r="AK402" i="2"/>
  <c r="AJ403" i="2"/>
  <c r="AK403" i="2"/>
  <c r="AJ404" i="2"/>
  <c r="AK404" i="2"/>
  <c r="AJ405" i="2"/>
  <c r="AK405" i="2"/>
  <c r="AJ406" i="2"/>
  <c r="AK406" i="2"/>
  <c r="AJ407" i="2"/>
  <c r="AK407" i="2"/>
  <c r="AJ408" i="2"/>
  <c r="AK408" i="2"/>
  <c r="AJ409" i="2"/>
  <c r="AK409" i="2"/>
  <c r="AJ410" i="2"/>
  <c r="AK410" i="2"/>
  <c r="AJ411" i="2"/>
  <c r="AK411" i="2"/>
  <c r="AJ412" i="2"/>
  <c r="AK412" i="2"/>
  <c r="AJ413" i="2"/>
  <c r="AK413" i="2"/>
  <c r="AJ414" i="2"/>
  <c r="AK414" i="2"/>
  <c r="AJ415" i="2"/>
  <c r="AK415" i="2"/>
  <c r="AJ416" i="2"/>
  <c r="AK416" i="2"/>
  <c r="AJ417" i="2"/>
  <c r="AK417" i="2"/>
  <c r="AJ418" i="2"/>
  <c r="AK418" i="2"/>
  <c r="AJ419" i="2"/>
  <c r="AK419" i="2"/>
  <c r="AJ420" i="2"/>
  <c r="AK420" i="2"/>
  <c r="AJ421" i="2"/>
  <c r="AK421" i="2"/>
  <c r="AJ422" i="2"/>
  <c r="AK422" i="2"/>
  <c r="AJ423" i="2"/>
  <c r="AK423" i="2"/>
  <c r="AJ424" i="2"/>
  <c r="AK424" i="2"/>
  <c r="AJ425" i="2"/>
  <c r="AK425" i="2"/>
  <c r="AJ426" i="2"/>
  <c r="AK426" i="2"/>
  <c r="AJ427" i="2"/>
  <c r="AK427" i="2"/>
  <c r="AJ428" i="2"/>
  <c r="AK428" i="2"/>
  <c r="AJ429" i="2"/>
  <c r="AK429" i="2"/>
  <c r="AJ430" i="2"/>
  <c r="AK430" i="2"/>
  <c r="AJ431" i="2"/>
  <c r="AK431" i="2"/>
  <c r="AJ432" i="2"/>
  <c r="AK432" i="2"/>
  <c r="AJ433" i="2"/>
  <c r="AK433" i="2"/>
  <c r="AJ434" i="2"/>
  <c r="AK434" i="2"/>
  <c r="AJ435" i="2"/>
  <c r="AK435" i="2"/>
  <c r="AJ436" i="2"/>
  <c r="AK436" i="2"/>
  <c r="AJ437" i="2"/>
  <c r="AK437" i="2"/>
  <c r="AJ438" i="2"/>
  <c r="AK438" i="2"/>
  <c r="AJ439" i="2"/>
  <c r="AK439" i="2"/>
  <c r="AJ440" i="2"/>
  <c r="AK440" i="2"/>
  <c r="AJ441" i="2"/>
  <c r="AK441" i="2"/>
  <c r="AJ442" i="2"/>
  <c r="AK442" i="2"/>
  <c r="AJ443" i="2"/>
  <c r="AK443" i="2"/>
  <c r="AJ444" i="2"/>
  <c r="AK444" i="2"/>
  <c r="AJ445" i="2"/>
  <c r="AK445" i="2"/>
  <c r="AJ446" i="2"/>
  <c r="AK446" i="2"/>
  <c r="AJ447" i="2"/>
  <c r="AK447" i="2"/>
  <c r="AJ448" i="2"/>
  <c r="AK448" i="2"/>
  <c r="AJ449" i="2"/>
  <c r="AK449" i="2"/>
  <c r="AJ450" i="2"/>
  <c r="AK450" i="2"/>
  <c r="AJ451" i="2"/>
  <c r="AK451" i="2"/>
  <c r="AJ452" i="2"/>
  <c r="AK452" i="2"/>
  <c r="AJ453" i="2"/>
  <c r="AK453" i="2"/>
  <c r="AJ454" i="2"/>
  <c r="AK454" i="2"/>
  <c r="AJ455" i="2"/>
  <c r="AK455" i="2"/>
  <c r="AJ456" i="2"/>
  <c r="AK456" i="2"/>
  <c r="AJ457" i="2"/>
  <c r="AK457" i="2"/>
  <c r="AJ458" i="2"/>
  <c r="AK458" i="2"/>
  <c r="AJ459" i="2"/>
  <c r="AK459" i="2"/>
  <c r="AJ460" i="2"/>
  <c r="AK460" i="2"/>
  <c r="AJ461" i="2"/>
  <c r="AK461" i="2"/>
  <c r="AJ462" i="2"/>
  <c r="AK462" i="2"/>
  <c r="AJ463" i="2"/>
  <c r="AK463" i="2"/>
  <c r="AJ464" i="2"/>
  <c r="AK464" i="2"/>
  <c r="AJ465" i="2"/>
  <c r="AK465" i="2"/>
  <c r="AJ466" i="2"/>
  <c r="AK466" i="2"/>
  <c r="AJ467" i="2"/>
  <c r="AK467" i="2"/>
  <c r="AJ468" i="2"/>
  <c r="AK468" i="2"/>
  <c r="AJ469" i="2"/>
  <c r="AK469" i="2"/>
  <c r="AJ470" i="2"/>
  <c r="AK470" i="2"/>
  <c r="AJ471" i="2"/>
  <c r="AK471" i="2"/>
  <c r="AJ472" i="2"/>
  <c r="AK472" i="2"/>
  <c r="AJ473" i="2"/>
  <c r="AK473" i="2"/>
  <c r="AJ474" i="2"/>
  <c r="AK474" i="2"/>
  <c r="AJ475" i="2"/>
  <c r="AK475" i="2"/>
  <c r="AJ476" i="2"/>
  <c r="AK476" i="2"/>
  <c r="AJ477" i="2"/>
  <c r="AK477" i="2"/>
  <c r="AJ478" i="2"/>
  <c r="AK478" i="2"/>
  <c r="AJ479" i="2"/>
  <c r="AK479" i="2"/>
  <c r="AJ480" i="2"/>
  <c r="AK480" i="2"/>
  <c r="AJ481" i="2"/>
  <c r="AK481" i="2"/>
  <c r="AJ482" i="2"/>
  <c r="AK482" i="2"/>
  <c r="AJ483" i="2"/>
  <c r="AK483" i="2"/>
  <c r="AJ484" i="2"/>
  <c r="AK484" i="2"/>
  <c r="AJ485" i="2"/>
  <c r="AK485" i="2"/>
  <c r="AJ486" i="2"/>
  <c r="AK486" i="2"/>
  <c r="AJ487" i="2"/>
  <c r="AK487" i="2"/>
  <c r="AJ488" i="2"/>
  <c r="AK488" i="2"/>
  <c r="AJ489" i="2"/>
  <c r="AK489" i="2"/>
  <c r="AJ490" i="2"/>
  <c r="AK490" i="2"/>
  <c r="AJ491" i="2"/>
  <c r="AK491" i="2"/>
  <c r="AJ492" i="2"/>
  <c r="AK492" i="2"/>
  <c r="AJ493" i="2"/>
  <c r="AK493" i="2"/>
  <c r="AJ494" i="2"/>
  <c r="AK494" i="2"/>
  <c r="AJ495" i="2"/>
  <c r="AK495" i="2"/>
  <c r="AJ496" i="2"/>
  <c r="AK496" i="2"/>
  <c r="AJ497" i="2"/>
  <c r="AK497" i="2"/>
  <c r="AJ498" i="2"/>
  <c r="AK498" i="2"/>
  <c r="AJ499" i="2"/>
  <c r="AK499" i="2"/>
  <c r="AJ500" i="2"/>
  <c r="AK500" i="2"/>
  <c r="AJ501" i="2"/>
  <c r="AK501" i="2"/>
  <c r="AJ502" i="2"/>
  <c r="AK502" i="2"/>
  <c r="AJ503" i="2"/>
  <c r="AK503" i="2"/>
  <c r="AJ504" i="2"/>
  <c r="AK504" i="2"/>
  <c r="AJ505" i="2"/>
  <c r="AK505" i="2"/>
  <c r="AJ506" i="2"/>
  <c r="AK506" i="2"/>
  <c r="AJ507" i="2"/>
  <c r="AK507" i="2"/>
  <c r="AJ508" i="2"/>
  <c r="AK508" i="2"/>
  <c r="AJ509" i="2"/>
  <c r="AK509" i="2"/>
  <c r="AJ510" i="2"/>
  <c r="AK510" i="2"/>
  <c r="AJ511" i="2"/>
  <c r="AK511" i="2"/>
  <c r="AJ512" i="2"/>
  <c r="AK512" i="2"/>
  <c r="AJ513" i="2"/>
  <c r="AK513" i="2"/>
  <c r="AJ514" i="2"/>
  <c r="AK514" i="2"/>
  <c r="AJ515" i="2"/>
  <c r="AK515" i="2"/>
  <c r="AJ516" i="2"/>
  <c r="AK516" i="2"/>
  <c r="AJ517" i="2"/>
  <c r="AK517" i="2"/>
  <c r="AJ518" i="2"/>
  <c r="AK518" i="2"/>
  <c r="AJ519" i="2"/>
  <c r="AK519" i="2"/>
  <c r="AJ520" i="2"/>
  <c r="AK520" i="2"/>
  <c r="AJ521" i="2"/>
  <c r="AK521" i="2"/>
  <c r="AJ522" i="2"/>
  <c r="AK522" i="2"/>
  <c r="AJ523" i="2"/>
  <c r="AK523" i="2"/>
  <c r="AJ524" i="2"/>
  <c r="AK524" i="2"/>
  <c r="AJ525" i="2"/>
  <c r="AK525" i="2"/>
  <c r="AJ526" i="2"/>
  <c r="AK526" i="2"/>
  <c r="AJ527" i="2"/>
  <c r="AK527" i="2"/>
  <c r="AJ528" i="2"/>
  <c r="AK528" i="2"/>
  <c r="AJ529" i="2"/>
  <c r="AK529" i="2"/>
  <c r="AJ530" i="2"/>
  <c r="AK530" i="2"/>
  <c r="AJ531" i="2"/>
  <c r="AK531" i="2"/>
  <c r="AJ532" i="2"/>
  <c r="AK532" i="2"/>
  <c r="AJ533" i="2"/>
  <c r="AK533" i="2"/>
  <c r="AJ534" i="2"/>
  <c r="AK534" i="2"/>
  <c r="AJ535" i="2"/>
  <c r="AK535" i="2"/>
  <c r="AJ536" i="2"/>
  <c r="AK536" i="2"/>
  <c r="AJ537" i="2"/>
  <c r="AK537" i="2"/>
  <c r="AJ538" i="2"/>
  <c r="AK538" i="2"/>
  <c r="AJ539" i="2"/>
  <c r="AK539" i="2"/>
  <c r="AJ540" i="2"/>
  <c r="AK540" i="2"/>
  <c r="AJ541" i="2"/>
  <c r="AK541" i="2"/>
  <c r="AJ542" i="2"/>
  <c r="AK542" i="2"/>
  <c r="AJ543" i="2"/>
  <c r="AK543" i="2"/>
  <c r="AJ544" i="2"/>
  <c r="AK544" i="2"/>
  <c r="AJ545" i="2"/>
  <c r="AK545" i="2"/>
  <c r="AJ546" i="2"/>
  <c r="AK546" i="2"/>
  <c r="AJ547" i="2"/>
  <c r="AK547" i="2"/>
  <c r="AJ548" i="2"/>
  <c r="AK548" i="2"/>
  <c r="AJ549" i="2"/>
  <c r="AK549" i="2"/>
  <c r="AJ550" i="2"/>
  <c r="AK550" i="2"/>
  <c r="AJ551" i="2"/>
  <c r="AK551" i="2"/>
  <c r="AJ552" i="2"/>
  <c r="AK552" i="2"/>
  <c r="AJ553" i="2"/>
  <c r="AK553" i="2"/>
  <c r="AJ554" i="2"/>
  <c r="AK554" i="2"/>
  <c r="AJ555" i="2"/>
  <c r="AK555" i="2"/>
  <c r="AJ556" i="2"/>
  <c r="AK556" i="2"/>
  <c r="AJ557" i="2"/>
  <c r="AK557" i="2"/>
  <c r="AJ558" i="2"/>
  <c r="AK558" i="2"/>
  <c r="AJ559" i="2"/>
  <c r="AK559" i="2"/>
  <c r="AJ560" i="2"/>
  <c r="AK560" i="2"/>
  <c r="AJ561" i="2"/>
  <c r="AK561" i="2"/>
  <c r="AJ562" i="2"/>
  <c r="AK562" i="2"/>
  <c r="AJ563" i="2"/>
  <c r="AK563" i="2"/>
  <c r="AJ564" i="2"/>
  <c r="AK564" i="2"/>
  <c r="AJ565" i="2"/>
  <c r="AK565" i="2"/>
  <c r="AJ566" i="2"/>
  <c r="AK566" i="2"/>
  <c r="AJ567" i="2"/>
  <c r="AK567" i="2"/>
  <c r="AJ568" i="2"/>
  <c r="AK568" i="2"/>
  <c r="AJ569" i="2"/>
  <c r="AK569" i="2"/>
  <c r="AJ570" i="2"/>
  <c r="AK570" i="2"/>
  <c r="AJ571" i="2"/>
  <c r="AK571" i="2"/>
  <c r="AJ572" i="2"/>
  <c r="AK572" i="2"/>
  <c r="AJ573" i="2"/>
  <c r="AK573" i="2"/>
  <c r="AJ574" i="2"/>
  <c r="AK574" i="2"/>
  <c r="AJ575" i="2"/>
  <c r="AK575" i="2"/>
  <c r="AJ576" i="2"/>
  <c r="AK576" i="2"/>
  <c r="AJ577" i="2"/>
  <c r="AK577" i="2"/>
  <c r="AJ578" i="2"/>
  <c r="AK578" i="2"/>
  <c r="AJ579" i="2"/>
  <c r="AK579" i="2"/>
  <c r="AJ580" i="2"/>
  <c r="AK580" i="2"/>
  <c r="AJ581" i="2"/>
  <c r="AK581" i="2"/>
  <c r="AJ582" i="2"/>
  <c r="AK582" i="2"/>
  <c r="AJ583" i="2"/>
  <c r="AK583" i="2"/>
  <c r="AJ584" i="2"/>
  <c r="AK584" i="2"/>
  <c r="AJ585" i="2"/>
  <c r="AK585" i="2"/>
  <c r="AJ586" i="2"/>
  <c r="AK586" i="2"/>
  <c r="AJ587" i="2"/>
  <c r="AK587" i="2"/>
  <c r="AJ588" i="2"/>
  <c r="AK588" i="2"/>
  <c r="AJ589" i="2"/>
  <c r="AK589" i="2"/>
  <c r="AJ590" i="2"/>
  <c r="AK590" i="2"/>
  <c r="AJ591" i="2"/>
  <c r="AK591" i="2"/>
  <c r="AJ592" i="2"/>
  <c r="AK592" i="2"/>
  <c r="AJ593" i="2"/>
  <c r="AK593" i="2"/>
  <c r="AJ594" i="2"/>
  <c r="AK594" i="2"/>
  <c r="AJ595" i="2"/>
  <c r="AK595" i="2"/>
  <c r="AJ596" i="2"/>
  <c r="AK596" i="2"/>
  <c r="AJ597" i="2"/>
  <c r="AK597" i="2"/>
  <c r="AJ598" i="2"/>
  <c r="AK598" i="2"/>
  <c r="AJ599" i="2"/>
  <c r="AK599" i="2"/>
  <c r="AJ600" i="2"/>
  <c r="AK600" i="2"/>
  <c r="AJ601" i="2"/>
  <c r="AK601" i="2"/>
  <c r="AJ602" i="2"/>
  <c r="AK602" i="2"/>
  <c r="AJ603" i="2"/>
  <c r="AK603" i="2"/>
  <c r="AJ604" i="2"/>
  <c r="AK604" i="2"/>
  <c r="AJ605" i="2"/>
  <c r="AK605" i="2"/>
  <c r="AJ606" i="2"/>
  <c r="AK606" i="2"/>
  <c r="AJ607" i="2"/>
  <c r="AK607" i="2"/>
  <c r="AJ608" i="2"/>
  <c r="AK608" i="2"/>
  <c r="AJ609" i="2"/>
  <c r="AK609" i="2"/>
  <c r="AJ610" i="2"/>
  <c r="AK610" i="2"/>
  <c r="AJ611" i="2"/>
  <c r="AK611" i="2"/>
  <c r="AJ612" i="2"/>
  <c r="AK612" i="2"/>
  <c r="AJ613" i="2"/>
  <c r="AK613" i="2"/>
  <c r="AJ614" i="2"/>
  <c r="AK614" i="2"/>
  <c r="AJ615" i="2"/>
  <c r="AK615" i="2"/>
  <c r="AJ616" i="2"/>
  <c r="AK616" i="2"/>
  <c r="AJ617" i="2"/>
  <c r="AK617" i="2"/>
  <c r="AJ618" i="2"/>
  <c r="AK618" i="2"/>
  <c r="AJ619" i="2"/>
  <c r="AK619" i="2"/>
  <c r="AJ620" i="2"/>
  <c r="AK620" i="2"/>
  <c r="AJ621" i="2"/>
  <c r="AK621" i="2"/>
  <c r="AJ622" i="2"/>
  <c r="AK622" i="2"/>
  <c r="AJ623" i="2"/>
  <c r="AK623" i="2"/>
  <c r="AJ624" i="2"/>
  <c r="AK624" i="2"/>
  <c r="AJ625" i="2"/>
  <c r="AK625" i="2"/>
  <c r="AJ626" i="2"/>
  <c r="AK626" i="2"/>
  <c r="AJ627" i="2"/>
  <c r="AK627" i="2"/>
  <c r="AJ628" i="2"/>
  <c r="AK628" i="2"/>
  <c r="AJ629" i="2"/>
  <c r="AK629" i="2"/>
  <c r="AJ630" i="2"/>
  <c r="AK630" i="2"/>
  <c r="AJ631" i="2"/>
  <c r="AK631" i="2"/>
  <c r="AJ632" i="2"/>
  <c r="AK632" i="2"/>
  <c r="AJ633" i="2"/>
  <c r="AK633" i="2"/>
  <c r="AJ634" i="2"/>
  <c r="AK634" i="2"/>
  <c r="AJ635" i="2"/>
  <c r="AK635" i="2"/>
  <c r="AJ636" i="2"/>
  <c r="AK636" i="2"/>
  <c r="AJ637" i="2"/>
  <c r="AK637" i="2"/>
  <c r="AJ638" i="2"/>
  <c r="AK638" i="2"/>
  <c r="AJ639" i="2"/>
  <c r="AK639" i="2"/>
  <c r="AJ640" i="2"/>
  <c r="AK640" i="2"/>
  <c r="AJ641" i="2"/>
  <c r="AK641" i="2"/>
  <c r="AJ642" i="2"/>
  <c r="AK642" i="2"/>
  <c r="AJ643" i="2"/>
  <c r="AK643" i="2"/>
  <c r="AJ644" i="2"/>
  <c r="AK644" i="2"/>
  <c r="AJ645" i="2"/>
  <c r="AK645" i="2"/>
  <c r="AJ646" i="2"/>
  <c r="AK646" i="2"/>
  <c r="AJ647" i="2"/>
  <c r="AK647" i="2"/>
  <c r="AJ648" i="2"/>
  <c r="AK648" i="2"/>
  <c r="AJ649" i="2"/>
  <c r="AK649" i="2"/>
  <c r="AJ650" i="2"/>
  <c r="AK650" i="2"/>
  <c r="AJ651" i="2"/>
  <c r="AK651" i="2"/>
  <c r="AJ652" i="2"/>
  <c r="AK652" i="2"/>
  <c r="AJ653" i="2"/>
  <c r="AK653" i="2"/>
  <c r="AJ654" i="2"/>
  <c r="AK654" i="2"/>
  <c r="AJ655" i="2"/>
  <c r="AK655" i="2"/>
  <c r="AJ656" i="2"/>
  <c r="AK656" i="2"/>
  <c r="AJ657" i="2"/>
  <c r="AK657" i="2"/>
  <c r="AJ658" i="2"/>
  <c r="AK658" i="2"/>
  <c r="AJ659" i="2"/>
  <c r="AK659" i="2"/>
  <c r="AJ660" i="2"/>
  <c r="AK660" i="2"/>
  <c r="AJ661" i="2"/>
  <c r="AK661" i="2"/>
  <c r="AJ662" i="2"/>
  <c r="AK662" i="2"/>
  <c r="AJ663" i="2"/>
  <c r="AK663" i="2"/>
  <c r="AJ664" i="2"/>
  <c r="AK664" i="2"/>
  <c r="AJ665" i="2"/>
  <c r="AK665" i="2"/>
  <c r="AJ666" i="2"/>
  <c r="AK666" i="2"/>
  <c r="AJ667" i="2"/>
  <c r="AK667" i="2"/>
  <c r="AJ668" i="2"/>
  <c r="AK668" i="2"/>
  <c r="AJ669" i="2"/>
  <c r="AK669" i="2"/>
  <c r="AJ670" i="2"/>
  <c r="AK670" i="2"/>
  <c r="AJ671" i="2"/>
  <c r="AK671" i="2"/>
  <c r="AJ672" i="2"/>
  <c r="AK672" i="2"/>
  <c r="AJ673" i="2"/>
  <c r="AK673" i="2"/>
  <c r="AJ674" i="2"/>
  <c r="AK674" i="2"/>
  <c r="AJ675" i="2"/>
  <c r="AK675" i="2"/>
  <c r="AJ676" i="2"/>
  <c r="AK676" i="2"/>
  <c r="AJ677" i="2"/>
  <c r="AK677" i="2"/>
  <c r="AJ678" i="2"/>
  <c r="AK678" i="2"/>
  <c r="AJ679" i="2"/>
  <c r="AK679" i="2"/>
  <c r="AJ680" i="2"/>
  <c r="AK680" i="2"/>
  <c r="AJ681" i="2"/>
  <c r="AK681" i="2"/>
  <c r="AJ682" i="2"/>
  <c r="AK682" i="2"/>
  <c r="AJ683" i="2"/>
  <c r="AK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K769" i="2"/>
  <c r="AJ770" i="2"/>
  <c r="AK770" i="2"/>
  <c r="AJ771" i="2"/>
  <c r="AK771" i="2"/>
  <c r="AJ772" i="2"/>
  <c r="AK772" i="2"/>
  <c r="AJ773" i="2"/>
  <c r="AK773" i="2"/>
  <c r="AJ774" i="2"/>
  <c r="AK774" i="2"/>
  <c r="AJ775" i="2"/>
  <c r="AK775" i="2"/>
  <c r="AJ776" i="2"/>
  <c r="AK776" i="2"/>
  <c r="AJ777" i="2"/>
  <c r="AK777" i="2"/>
  <c r="AJ778" i="2"/>
  <c r="AK778" i="2"/>
  <c r="AJ779" i="2"/>
  <c r="AK779" i="2"/>
  <c r="AJ780" i="2"/>
  <c r="AK780" i="2"/>
  <c r="AJ781" i="2"/>
  <c r="AK781" i="2"/>
  <c r="AJ782" i="2"/>
  <c r="AK782" i="2"/>
  <c r="AJ783" i="2"/>
  <c r="AK783" i="2"/>
  <c r="AJ784" i="2"/>
  <c r="AK784" i="2"/>
  <c r="AJ785" i="2"/>
  <c r="AK785" i="2"/>
  <c r="AJ786" i="2"/>
  <c r="AK786" i="2"/>
  <c r="AJ787" i="2"/>
  <c r="AK787" i="2"/>
  <c r="AJ788" i="2"/>
  <c r="AK788" i="2"/>
  <c r="AJ789" i="2"/>
  <c r="AK789" i="2"/>
  <c r="AJ790" i="2"/>
  <c r="AK790" i="2"/>
  <c r="AJ791" i="2"/>
  <c r="AK791" i="2"/>
  <c r="AJ792" i="2"/>
  <c r="AK792" i="2"/>
  <c r="AJ793" i="2"/>
  <c r="AK793" i="2"/>
  <c r="AJ794" i="2"/>
  <c r="AK794" i="2"/>
  <c r="AJ795" i="2"/>
  <c r="AK795" i="2"/>
  <c r="AJ796" i="2"/>
  <c r="AK796" i="2"/>
  <c r="AJ797" i="2"/>
  <c r="AK797" i="2"/>
  <c r="AJ798" i="2"/>
  <c r="AK798" i="2"/>
  <c r="AJ799" i="2"/>
  <c r="AK799" i="2"/>
  <c r="AJ800" i="2"/>
  <c r="AK800" i="2"/>
  <c r="AJ801" i="2"/>
  <c r="AK801" i="2"/>
  <c r="AJ802" i="2"/>
  <c r="AK802" i="2"/>
  <c r="AJ803" i="2"/>
  <c r="AK803" i="2"/>
  <c r="AJ804" i="2"/>
  <c r="AK804" i="2"/>
  <c r="AJ805" i="2"/>
  <c r="AK805" i="2"/>
  <c r="AJ806" i="2"/>
  <c r="AK806" i="2"/>
  <c r="AJ807" i="2"/>
  <c r="AK807" i="2"/>
  <c r="AJ808" i="2"/>
  <c r="AK808" i="2"/>
  <c r="AJ809" i="2"/>
  <c r="AK809" i="2"/>
  <c r="AJ810" i="2"/>
  <c r="AK810" i="2"/>
  <c r="AJ811" i="2"/>
  <c r="AK811" i="2"/>
  <c r="AJ812" i="2"/>
  <c r="AK812" i="2"/>
  <c r="AJ813" i="2"/>
  <c r="AK813" i="2"/>
  <c r="AJ814" i="2"/>
  <c r="AK814" i="2"/>
  <c r="AJ815" i="2"/>
  <c r="AK815" i="2"/>
  <c r="AJ816" i="2"/>
  <c r="AK816" i="2"/>
  <c r="AJ817" i="2"/>
  <c r="AK817" i="2"/>
  <c r="AJ818" i="2"/>
  <c r="AK818" i="2"/>
  <c r="AJ819" i="2"/>
  <c r="AK819" i="2"/>
  <c r="AJ820" i="2"/>
  <c r="AK820" i="2"/>
  <c r="AJ821" i="2"/>
  <c r="AK821" i="2"/>
  <c r="AJ822" i="2"/>
  <c r="AK822" i="2"/>
  <c r="AJ823" i="2"/>
  <c r="AK823" i="2"/>
  <c r="AJ824" i="2"/>
  <c r="AK824" i="2"/>
  <c r="AJ825" i="2"/>
  <c r="AK825" i="2"/>
  <c r="AJ826" i="2"/>
  <c r="AK826" i="2"/>
  <c r="AJ827" i="2"/>
  <c r="AK827" i="2"/>
  <c r="AJ828" i="2"/>
  <c r="AK828" i="2"/>
  <c r="AJ829" i="2"/>
  <c r="AK829" i="2"/>
  <c r="AJ830" i="2"/>
  <c r="AK830" i="2"/>
  <c r="AJ831" i="2"/>
  <c r="AK831" i="2"/>
  <c r="AJ832" i="2"/>
  <c r="AK832" i="2"/>
  <c r="AJ833" i="2"/>
  <c r="AK833" i="2"/>
  <c r="AJ834" i="2"/>
  <c r="AK834" i="2"/>
  <c r="AJ835" i="2"/>
  <c r="AK835" i="2"/>
  <c r="AJ836" i="2"/>
  <c r="AK836" i="2"/>
  <c r="AJ837" i="2"/>
  <c r="AK837" i="2"/>
  <c r="AJ838" i="2"/>
  <c r="AK838" i="2"/>
  <c r="AJ839" i="2"/>
  <c r="AK839" i="2"/>
  <c r="AJ840" i="2"/>
  <c r="AK840" i="2"/>
  <c r="AJ841" i="2"/>
  <c r="AK841" i="2"/>
  <c r="AJ842" i="2"/>
  <c r="AK842" i="2"/>
  <c r="AJ843" i="2"/>
  <c r="AK843" i="2"/>
  <c r="AJ844" i="2"/>
  <c r="AK844" i="2"/>
  <c r="AJ845" i="2"/>
  <c r="AK845" i="2"/>
  <c r="AJ846" i="2"/>
  <c r="AK846" i="2"/>
  <c r="AJ847" i="2"/>
  <c r="AK847" i="2"/>
  <c r="AJ848" i="2"/>
  <c r="AK848" i="2"/>
  <c r="AJ849" i="2"/>
  <c r="AK849" i="2"/>
  <c r="AJ850" i="2"/>
  <c r="AK850" i="2"/>
  <c r="AJ851" i="2"/>
  <c r="AK851" i="2"/>
  <c r="AJ852" i="2"/>
  <c r="AK852" i="2"/>
  <c r="AJ853" i="2"/>
  <c r="AK853" i="2"/>
  <c r="AJ854" i="2"/>
  <c r="AK854" i="2"/>
  <c r="AJ855" i="2"/>
  <c r="AK855" i="2"/>
  <c r="AJ856" i="2"/>
  <c r="AK856" i="2"/>
  <c r="AJ857" i="2"/>
  <c r="AK857" i="2"/>
  <c r="AJ858" i="2"/>
  <c r="AK858" i="2"/>
  <c r="AJ859" i="2"/>
  <c r="AK859" i="2"/>
  <c r="AJ860" i="2"/>
  <c r="AK860" i="2"/>
  <c r="AJ861" i="2"/>
  <c r="AK861" i="2"/>
  <c r="AJ862" i="2"/>
  <c r="AK862" i="2"/>
  <c r="AJ863" i="2"/>
  <c r="AK863" i="2"/>
  <c r="AJ864" i="2"/>
  <c r="AK864" i="2"/>
  <c r="AJ865" i="2"/>
  <c r="AK865" i="2"/>
  <c r="AJ866" i="2"/>
  <c r="AK866" i="2"/>
  <c r="AJ867" i="2"/>
  <c r="AK867" i="2"/>
  <c r="AJ868" i="2"/>
  <c r="AK868" i="2"/>
  <c r="AJ869" i="2"/>
  <c r="AK869" i="2"/>
  <c r="AJ870" i="2"/>
  <c r="AK870" i="2"/>
  <c r="AJ871" i="2"/>
  <c r="AK871" i="2"/>
  <c r="AJ872" i="2"/>
  <c r="AK872" i="2"/>
  <c r="AJ873" i="2"/>
  <c r="AK873" i="2"/>
  <c r="AJ874" i="2"/>
  <c r="AK874" i="2"/>
  <c r="AJ875" i="2"/>
  <c r="AK875" i="2"/>
  <c r="AJ876" i="2"/>
  <c r="AK876" i="2"/>
  <c r="AJ877" i="2"/>
  <c r="AK877" i="2"/>
  <c r="AJ878" i="2"/>
  <c r="AK878" i="2"/>
  <c r="AJ879" i="2"/>
  <c r="AK879" i="2"/>
  <c r="AJ880" i="2"/>
  <c r="AK880" i="2"/>
  <c r="AJ881" i="2"/>
  <c r="AK881" i="2"/>
  <c r="AJ882" i="2"/>
  <c r="AK882" i="2"/>
  <c r="AJ883" i="2"/>
  <c r="AK883" i="2"/>
  <c r="AJ884" i="2"/>
  <c r="AK884" i="2"/>
  <c r="AJ885" i="2"/>
  <c r="AK885" i="2"/>
  <c r="AJ886" i="2"/>
  <c r="AK886" i="2"/>
  <c r="AJ887" i="2"/>
  <c r="AK887" i="2"/>
  <c r="AJ888" i="2"/>
  <c r="AK888" i="2"/>
  <c r="AJ889" i="2"/>
  <c r="AK889" i="2"/>
  <c r="AJ890" i="2"/>
  <c r="AK890" i="2"/>
  <c r="AJ891" i="2"/>
  <c r="AK891" i="2"/>
  <c r="AJ892" i="2"/>
  <c r="AK892" i="2"/>
  <c r="AJ893" i="2"/>
  <c r="AK893" i="2"/>
  <c r="AJ894" i="2"/>
  <c r="AK894" i="2"/>
  <c r="AJ895" i="2"/>
  <c r="AK895" i="2"/>
  <c r="AJ896" i="2"/>
  <c r="AK896" i="2"/>
  <c r="AJ897" i="2"/>
  <c r="AK897" i="2"/>
  <c r="AJ898" i="2"/>
  <c r="AK898" i="2"/>
  <c r="AJ899" i="2"/>
  <c r="AK899" i="2"/>
  <c r="AJ900" i="2"/>
  <c r="AK900" i="2"/>
  <c r="AJ901" i="2"/>
  <c r="AK901" i="2"/>
  <c r="AJ902" i="2"/>
  <c r="AK902" i="2"/>
  <c r="AJ903" i="2"/>
  <c r="AK903" i="2"/>
  <c r="AJ904" i="2"/>
  <c r="AK904" i="2"/>
  <c r="AJ905" i="2"/>
  <c r="AK905" i="2"/>
  <c r="AJ906" i="2"/>
  <c r="AK906" i="2"/>
  <c r="AJ907" i="2"/>
  <c r="AK907" i="2"/>
  <c r="AJ908" i="2"/>
  <c r="AK908" i="2"/>
  <c r="AJ909" i="2"/>
  <c r="AK909" i="2"/>
  <c r="AJ910" i="2"/>
  <c r="AK910" i="2"/>
  <c r="AJ911" i="2"/>
  <c r="AK911" i="2"/>
  <c r="AJ912" i="2"/>
  <c r="AK912" i="2"/>
  <c r="AJ913" i="2"/>
  <c r="AK913" i="2"/>
  <c r="AJ914" i="2"/>
  <c r="AK914" i="2"/>
  <c r="AJ915" i="2"/>
  <c r="AK915" i="2"/>
  <c r="AJ916" i="2"/>
  <c r="AK916" i="2"/>
  <c r="AJ917" i="2"/>
  <c r="AK917" i="2"/>
  <c r="AJ918" i="2"/>
  <c r="AK918" i="2"/>
  <c r="AJ919" i="2"/>
  <c r="AK919" i="2"/>
  <c r="AJ920" i="2"/>
  <c r="AK920" i="2"/>
  <c r="AJ921" i="2"/>
  <c r="AK921" i="2"/>
  <c r="AJ922" i="2"/>
  <c r="AK922" i="2"/>
  <c r="AJ923" i="2"/>
  <c r="AK923" i="2"/>
  <c r="AJ924" i="2"/>
  <c r="AK924" i="2"/>
  <c r="AJ925" i="2"/>
  <c r="AK925" i="2"/>
  <c r="AJ926" i="2"/>
  <c r="AK926" i="2"/>
  <c r="AJ927" i="2"/>
  <c r="AK927" i="2"/>
  <c r="AJ928" i="2"/>
  <c r="AK928" i="2"/>
  <c r="AJ929" i="2"/>
  <c r="AK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K986" i="2"/>
  <c r="AJ987" i="2"/>
  <c r="AK987" i="2"/>
  <c r="AJ988" i="2"/>
  <c r="AK988" i="2"/>
  <c r="AJ989" i="2"/>
  <c r="AK989" i="2"/>
  <c r="AJ990" i="2"/>
  <c r="AK990" i="2"/>
  <c r="AJ991" i="2"/>
  <c r="AK991" i="2"/>
  <c r="AJ992" i="2"/>
  <c r="AK992" i="2"/>
  <c r="AJ993" i="2"/>
  <c r="AK993" i="2"/>
  <c r="AJ994" i="2"/>
  <c r="AK994" i="2"/>
  <c r="AJ995" i="2"/>
  <c r="AK995" i="2"/>
  <c r="AJ996" i="2"/>
  <c r="AK996" i="2"/>
  <c r="AJ997" i="2"/>
  <c r="AK997" i="2"/>
  <c r="AJ998" i="2"/>
  <c r="AK998" i="2"/>
  <c r="AJ999" i="2"/>
  <c r="AK999" i="2"/>
  <c r="AJ1000" i="2"/>
  <c r="AK1000" i="2"/>
  <c r="AJ1001" i="2"/>
  <c r="AK1001" i="2"/>
  <c r="AJ1002" i="2"/>
  <c r="AK1002" i="2"/>
  <c r="AJ1003" i="2"/>
  <c r="AK1003" i="2"/>
  <c r="AJ1004" i="2"/>
  <c r="AK1004" i="2"/>
  <c r="AJ1005" i="2"/>
  <c r="AK1005" i="2"/>
  <c r="AJ1006" i="2"/>
  <c r="AK1006" i="2"/>
  <c r="AJ1007" i="2"/>
  <c r="AK1007" i="2"/>
  <c r="AJ1008" i="2"/>
  <c r="AK1008" i="2"/>
  <c r="AJ1009" i="2"/>
  <c r="AK1009" i="2"/>
  <c r="AJ1010" i="2"/>
  <c r="AK1010" i="2"/>
  <c r="AJ1011" i="2"/>
  <c r="AK1011" i="2"/>
  <c r="AJ1012" i="2"/>
  <c r="AK1012" i="2"/>
  <c r="AJ1013" i="2"/>
  <c r="AK1013" i="2"/>
  <c r="AJ1014" i="2"/>
  <c r="AK1014" i="2"/>
  <c r="AJ1015" i="2"/>
  <c r="AK1015" i="2"/>
  <c r="AJ1016" i="2"/>
  <c r="AK1016" i="2"/>
  <c r="AJ1017" i="2"/>
  <c r="AK1017" i="2"/>
  <c r="AJ1018" i="2"/>
  <c r="AK1018" i="2"/>
  <c r="AJ1019" i="2"/>
  <c r="AK1019" i="2"/>
  <c r="AJ1020" i="2"/>
  <c r="AK1020" i="2"/>
  <c r="AJ1021" i="2"/>
  <c r="AK1021" i="2"/>
  <c r="AJ1022" i="2"/>
  <c r="AK1022" i="2"/>
  <c r="AJ1023" i="2"/>
  <c r="AK1023" i="2"/>
  <c r="AJ1024" i="2"/>
  <c r="AK1024" i="2"/>
  <c r="AJ1025" i="2"/>
  <c r="AK1025" i="2"/>
  <c r="AJ1026" i="2"/>
  <c r="AK1026" i="2"/>
  <c r="AJ1027" i="2"/>
  <c r="AK1027" i="2"/>
  <c r="AJ1028" i="2"/>
  <c r="AK1028" i="2"/>
  <c r="AJ1029" i="2"/>
  <c r="AK1029" i="2"/>
  <c r="AJ1030" i="2"/>
  <c r="AK1030" i="2"/>
  <c r="AJ1031" i="2"/>
  <c r="AK1031" i="2"/>
  <c r="AJ1032" i="2"/>
  <c r="AK1032" i="2"/>
  <c r="AJ1033" i="2"/>
  <c r="AK1033" i="2"/>
  <c r="AJ1034" i="2"/>
  <c r="AK1034" i="2"/>
  <c r="AJ1035" i="2"/>
  <c r="AK1035" i="2"/>
  <c r="AJ1036" i="2"/>
  <c r="AK1036" i="2"/>
  <c r="AJ1037" i="2"/>
  <c r="AK1037" i="2"/>
  <c r="AJ1038" i="2"/>
  <c r="AK1038" i="2"/>
  <c r="AJ1039" i="2"/>
  <c r="AK1039" i="2"/>
  <c r="AJ1040" i="2"/>
  <c r="AK1040" i="2"/>
  <c r="AJ1041" i="2"/>
  <c r="AK1041" i="2"/>
  <c r="AJ1042" i="2"/>
  <c r="AK1042" i="2"/>
  <c r="AJ1043" i="2"/>
  <c r="AK1043" i="2"/>
  <c r="AJ1044" i="2"/>
  <c r="AK1044" i="2"/>
  <c r="AJ1045" i="2"/>
  <c r="AK1045" i="2"/>
  <c r="AJ1046" i="2"/>
  <c r="AK1046" i="2"/>
  <c r="AJ1047" i="2"/>
  <c r="AK1047" i="2"/>
  <c r="AJ1048" i="2"/>
  <c r="AK1048" i="2"/>
  <c r="AJ1049" i="2"/>
  <c r="AK1049" i="2"/>
  <c r="AJ1050" i="2"/>
  <c r="AK1050" i="2"/>
  <c r="AJ1051" i="2"/>
  <c r="AK1051" i="2"/>
  <c r="AJ1052" i="2"/>
  <c r="AK1052" i="2"/>
  <c r="AJ1053" i="2"/>
  <c r="AK1053" i="2"/>
  <c r="AJ1054" i="2"/>
  <c r="AK1054" i="2"/>
  <c r="AJ1055" i="2"/>
  <c r="AK1055" i="2"/>
  <c r="AJ1056" i="2"/>
  <c r="AK1056" i="2"/>
  <c r="AJ1057" i="2"/>
  <c r="AK1057" i="2"/>
  <c r="AJ1058" i="2"/>
  <c r="AK1058" i="2"/>
  <c r="AJ1059" i="2"/>
  <c r="AK1059" i="2"/>
  <c r="AJ1060" i="2"/>
  <c r="AK1060" i="2"/>
  <c r="AJ1061" i="2"/>
  <c r="AK1061" i="2"/>
  <c r="AJ1062" i="2"/>
  <c r="AK1062" i="2"/>
  <c r="AJ1063" i="2"/>
  <c r="AK1063" i="2"/>
  <c r="AJ1064" i="2"/>
  <c r="AK1064" i="2"/>
  <c r="AJ1065" i="2"/>
  <c r="AK1065" i="2"/>
  <c r="AJ1066" i="2"/>
  <c r="AK1066" i="2"/>
  <c r="AJ1067" i="2"/>
  <c r="AK1067" i="2"/>
  <c r="AJ1068" i="2"/>
  <c r="AK1068" i="2"/>
  <c r="AJ1069" i="2"/>
  <c r="AK1069" i="2"/>
  <c r="AJ1070" i="2"/>
  <c r="AK1070" i="2"/>
  <c r="AJ1071" i="2"/>
  <c r="AK1071" i="2"/>
  <c r="AJ1072" i="2"/>
  <c r="AK1072" i="2"/>
  <c r="AJ1073" i="2"/>
  <c r="AK1073" i="2"/>
  <c r="AJ1074" i="2"/>
  <c r="AK1074" i="2"/>
  <c r="AJ1075" i="2"/>
  <c r="AK1075" i="2"/>
  <c r="AJ1076" i="2"/>
  <c r="AK1076" i="2"/>
  <c r="AJ1077" i="2"/>
  <c r="AK1077" i="2"/>
  <c r="AJ1078" i="2"/>
  <c r="AK1078" i="2"/>
  <c r="AJ1079" i="2"/>
  <c r="AK1079" i="2"/>
  <c r="AJ1080" i="2"/>
  <c r="AK1080" i="2"/>
  <c r="AJ1081" i="2"/>
  <c r="AK1081" i="2"/>
  <c r="AJ1082" i="2"/>
  <c r="AK1082" i="2"/>
  <c r="AJ1083" i="2"/>
  <c r="AK1083" i="2"/>
  <c r="AJ1084" i="2"/>
  <c r="AK1084" i="2"/>
  <c r="AJ1085" i="2"/>
  <c r="AK1085" i="2"/>
  <c r="AJ1086" i="2"/>
  <c r="AK1086" i="2"/>
  <c r="AJ1087" i="2"/>
  <c r="AK1087" i="2"/>
  <c r="AJ1088" i="2"/>
  <c r="AK1088" i="2"/>
  <c r="AJ1089" i="2"/>
  <c r="AK1089" i="2"/>
  <c r="AJ1090" i="2"/>
  <c r="AK1090" i="2"/>
  <c r="AJ1091" i="2"/>
  <c r="AK1091" i="2"/>
  <c r="AJ1092" i="2"/>
  <c r="AK1092" i="2"/>
  <c r="AJ1093" i="2"/>
  <c r="AK1093" i="2"/>
  <c r="AJ1094" i="2"/>
  <c r="AK1094" i="2"/>
  <c r="AJ1095" i="2"/>
  <c r="AK1095" i="2"/>
  <c r="AJ1096" i="2"/>
  <c r="AK1096" i="2"/>
  <c r="AJ1097" i="2"/>
  <c r="AK1097" i="2"/>
  <c r="AJ1098" i="2"/>
  <c r="AK1098" i="2"/>
  <c r="AJ1099" i="2"/>
  <c r="AK1099" i="2"/>
  <c r="AJ1100" i="2"/>
  <c r="AK1100" i="2"/>
  <c r="AJ1101" i="2"/>
  <c r="AK1101" i="2"/>
  <c r="AJ1102" i="2"/>
  <c r="AK1102" i="2"/>
  <c r="AJ1103" i="2"/>
  <c r="AK1103" i="2"/>
  <c r="AJ1104" i="2"/>
  <c r="AK1104" i="2"/>
  <c r="AJ1105" i="2"/>
  <c r="AK1105" i="2"/>
  <c r="AJ1106" i="2"/>
  <c r="AK1106" i="2"/>
  <c r="AJ1107" i="2"/>
  <c r="AK1107" i="2"/>
  <c r="AJ1108" i="2"/>
  <c r="AK1108" i="2"/>
  <c r="AJ1109" i="2"/>
  <c r="AK1109" i="2"/>
  <c r="AJ1110" i="2"/>
  <c r="AK1110" i="2"/>
  <c r="AJ1111" i="2"/>
  <c r="AK1111" i="2"/>
  <c r="AJ1112" i="2"/>
  <c r="AK1112" i="2"/>
  <c r="AJ1113" i="2"/>
  <c r="AK1113" i="2"/>
  <c r="AJ1114" i="2"/>
  <c r="AK1114" i="2"/>
  <c r="AJ1115" i="2"/>
  <c r="AK1115" i="2"/>
  <c r="AJ1116" i="2"/>
  <c r="AK1116" i="2"/>
  <c r="AJ1117" i="2"/>
  <c r="AK1117" i="2"/>
  <c r="AJ1118" i="2"/>
  <c r="AK1118" i="2"/>
  <c r="AJ1119" i="2"/>
  <c r="AK1119" i="2"/>
  <c r="AJ1120" i="2"/>
  <c r="AK1120" i="2"/>
  <c r="AJ1121" i="2"/>
  <c r="AK1121" i="2"/>
  <c r="AJ1122" i="2"/>
  <c r="AK1122" i="2"/>
  <c r="AJ1123" i="2"/>
  <c r="AK1123" i="2"/>
  <c r="AJ1124" i="2"/>
  <c r="AK1124" i="2"/>
  <c r="AJ1125" i="2"/>
  <c r="AK1125" i="2"/>
  <c r="AJ1126" i="2"/>
  <c r="AK1126" i="2"/>
  <c r="AJ1127" i="2"/>
  <c r="AK1127" i="2"/>
  <c r="AJ1128" i="2"/>
  <c r="AK1128" i="2"/>
  <c r="AJ1129" i="2"/>
  <c r="AK1129" i="2"/>
  <c r="AJ1130" i="2"/>
  <c r="AK1130" i="2"/>
  <c r="AJ1131" i="2"/>
  <c r="AK1131" i="2"/>
  <c r="AJ1132" i="2"/>
  <c r="AK1132" i="2"/>
  <c r="AJ1133" i="2"/>
  <c r="AK1133" i="2"/>
  <c r="AJ1134" i="2"/>
  <c r="AK1134" i="2"/>
  <c r="AJ1135" i="2"/>
  <c r="AK1135" i="2"/>
  <c r="AJ1136" i="2"/>
  <c r="AK1136" i="2"/>
  <c r="AJ1137" i="2"/>
  <c r="AK1137" i="2"/>
  <c r="AJ1138" i="2"/>
  <c r="AK1138" i="2"/>
  <c r="AJ1139" i="2"/>
  <c r="AK1139" i="2"/>
  <c r="AJ1140" i="2"/>
  <c r="AK1140" i="2"/>
  <c r="AJ1141" i="2"/>
  <c r="AK1141" i="2"/>
  <c r="AJ1142" i="2"/>
  <c r="AK1142" i="2"/>
  <c r="AJ1143" i="2"/>
  <c r="AK1143" i="2"/>
  <c r="AJ1144" i="2"/>
  <c r="AK1144" i="2"/>
  <c r="AJ1145" i="2"/>
  <c r="AK1145" i="2"/>
  <c r="AJ1146" i="2"/>
  <c r="AK1146" i="2"/>
  <c r="AJ1147" i="2"/>
  <c r="AK1147" i="2"/>
  <c r="AJ1148" i="2"/>
  <c r="AK1148" i="2"/>
  <c r="AJ1149" i="2"/>
  <c r="AK1149" i="2"/>
  <c r="AJ1150" i="2"/>
  <c r="AK1150" i="2"/>
  <c r="AJ1151" i="2"/>
  <c r="AK1151" i="2"/>
  <c r="AJ1152" i="2"/>
  <c r="AK1152" i="2"/>
  <c r="AJ1153" i="2"/>
  <c r="AK1153" i="2"/>
  <c r="AJ1154" i="2"/>
  <c r="AK1154" i="2"/>
  <c r="AJ1155" i="2"/>
  <c r="AK1155" i="2"/>
  <c r="AJ1156" i="2"/>
  <c r="AK1156" i="2"/>
  <c r="AJ1157" i="2"/>
  <c r="AK1157" i="2"/>
  <c r="AJ1158" i="2"/>
  <c r="AK1158" i="2"/>
  <c r="AJ1159" i="2"/>
  <c r="AK1159" i="2"/>
  <c r="AJ1160" i="2"/>
  <c r="AK1160" i="2"/>
  <c r="AJ1161" i="2"/>
  <c r="AK1161" i="2"/>
  <c r="AJ1162" i="2"/>
  <c r="AK1162" i="2"/>
  <c r="AJ1163" i="2"/>
  <c r="AK1163" i="2"/>
  <c r="AJ1164" i="2"/>
  <c r="AK1164" i="2"/>
  <c r="AJ1165" i="2"/>
  <c r="AK1165" i="2"/>
  <c r="AJ1166" i="2"/>
  <c r="AK1166" i="2"/>
  <c r="AJ1167" i="2"/>
  <c r="AK1167" i="2"/>
  <c r="AJ1168" i="2"/>
  <c r="AK1168" i="2"/>
  <c r="AJ1169" i="2"/>
  <c r="AK1169" i="2"/>
  <c r="AJ1170" i="2"/>
  <c r="AK1170" i="2"/>
  <c r="AJ1171" i="2"/>
  <c r="AK1171" i="2"/>
  <c r="AJ1172" i="2"/>
  <c r="AK1172" i="2"/>
  <c r="AJ1173" i="2"/>
  <c r="AK1173" i="2"/>
  <c r="AJ1174" i="2"/>
  <c r="AK1174" i="2"/>
  <c r="AJ1175" i="2"/>
  <c r="AK1175" i="2"/>
  <c r="AJ1176" i="2"/>
  <c r="AK1176" i="2"/>
  <c r="AJ1177" i="2"/>
  <c r="AK1177" i="2"/>
  <c r="AJ1178" i="2"/>
  <c r="AK1178" i="2"/>
  <c r="AJ1179" i="2"/>
  <c r="AK1179" i="2"/>
  <c r="AJ1180" i="2"/>
  <c r="AK1180" i="2"/>
  <c r="AJ1181" i="2"/>
  <c r="AK1181" i="2"/>
  <c r="AJ1182" i="2"/>
  <c r="AK1182" i="2"/>
  <c r="AJ1183" i="2"/>
  <c r="AK1183" i="2"/>
  <c r="AJ1184" i="2"/>
  <c r="AK1184" i="2"/>
  <c r="AJ1185" i="2"/>
  <c r="AK1185" i="2"/>
  <c r="AJ1186" i="2"/>
  <c r="AK1186" i="2"/>
  <c r="AJ1187" i="2"/>
  <c r="AK1187" i="2"/>
  <c r="AJ1188" i="2"/>
  <c r="AK1188" i="2"/>
  <c r="AJ1189" i="2"/>
  <c r="AK1189" i="2"/>
  <c r="AJ1190" i="2"/>
  <c r="AK1190" i="2"/>
  <c r="AJ1191" i="2"/>
  <c r="AK1191" i="2"/>
  <c r="AJ1192" i="2"/>
  <c r="AK1192" i="2"/>
  <c r="AJ1193" i="2"/>
  <c r="AK1193" i="2"/>
  <c r="AJ1194" i="2"/>
  <c r="AK1194" i="2"/>
  <c r="AJ1195" i="2"/>
  <c r="AK1195" i="2"/>
  <c r="AJ1196" i="2"/>
  <c r="AK1196" i="2"/>
  <c r="AJ1197" i="2"/>
  <c r="AK1197" i="2"/>
  <c r="AJ1198" i="2"/>
  <c r="AK1198" i="2"/>
  <c r="AJ1199" i="2"/>
  <c r="AK1199" i="2"/>
  <c r="AJ1200" i="2"/>
  <c r="AK1200" i="2"/>
  <c r="AJ1201" i="2"/>
  <c r="AK1201" i="2"/>
  <c r="AJ1202" i="2"/>
  <c r="AK1202" i="2"/>
  <c r="AJ1203" i="2"/>
  <c r="AK1203" i="2"/>
  <c r="AJ1204" i="2"/>
  <c r="AK1204" i="2"/>
  <c r="AJ1205" i="2"/>
  <c r="AK1205" i="2"/>
  <c r="AJ1206" i="2"/>
  <c r="AK1206" i="2"/>
  <c r="AJ1207" i="2"/>
  <c r="AK1207" i="2"/>
  <c r="AJ1208" i="2"/>
  <c r="AK1208" i="2"/>
  <c r="AJ1209" i="2"/>
  <c r="AK1209" i="2"/>
  <c r="AJ1210" i="2"/>
  <c r="AK1210" i="2"/>
  <c r="AJ1211" i="2"/>
  <c r="AK1211" i="2"/>
  <c r="AJ1212" i="2"/>
  <c r="AK1212" i="2"/>
  <c r="AJ1213" i="2"/>
  <c r="AK1213" i="2"/>
  <c r="AJ1214" i="2"/>
  <c r="AK1214" i="2"/>
  <c r="AJ1215" i="2"/>
  <c r="AK1215" i="2"/>
  <c r="AJ1216" i="2"/>
  <c r="AK1216" i="2"/>
  <c r="AJ1217" i="2"/>
  <c r="AK1217" i="2"/>
  <c r="AJ1218" i="2"/>
  <c r="AK1218" i="2"/>
  <c r="AJ1219" i="2"/>
  <c r="AK1219" i="2"/>
  <c r="AJ1220" i="2"/>
  <c r="AK1220" i="2"/>
  <c r="AJ1221" i="2"/>
  <c r="AK1221" i="2"/>
  <c r="AJ1222" i="2"/>
  <c r="AK1222" i="2"/>
  <c r="AJ1223" i="2"/>
  <c r="AK1223" i="2"/>
  <c r="AJ1224" i="2"/>
  <c r="AK1224" i="2"/>
  <c r="AJ1225" i="2"/>
  <c r="AK1225" i="2"/>
  <c r="AJ1226" i="2"/>
  <c r="AK1226" i="2"/>
  <c r="AJ1227" i="2"/>
  <c r="AK1227" i="2"/>
  <c r="AJ1228" i="2"/>
  <c r="AK1228" i="2"/>
  <c r="AJ1229" i="2"/>
  <c r="AK1229" i="2"/>
  <c r="AJ1230" i="2"/>
  <c r="AK1230" i="2"/>
  <c r="AJ1231" i="2"/>
  <c r="AK1231" i="2"/>
  <c r="AJ1232" i="2"/>
  <c r="AK1232" i="2"/>
  <c r="AJ1233" i="2"/>
  <c r="AK1233" i="2"/>
  <c r="AJ1234" i="2"/>
  <c r="AK1234" i="2"/>
  <c r="AJ1235" i="2"/>
  <c r="AK1235" i="2"/>
  <c r="AJ1236" i="2"/>
  <c r="AK1236" i="2"/>
  <c r="AJ1237" i="2"/>
  <c r="AK1237" i="2"/>
  <c r="AJ1238" i="2"/>
  <c r="AK1238" i="2"/>
  <c r="AJ1239" i="2"/>
  <c r="AK1239" i="2"/>
  <c r="AJ1240" i="2"/>
  <c r="AK1240" i="2"/>
  <c r="AJ1241" i="2"/>
  <c r="AK1241" i="2"/>
  <c r="AJ1242" i="2"/>
  <c r="AK1242" i="2"/>
  <c r="AJ1243" i="2"/>
  <c r="AK1243" i="2"/>
  <c r="AJ1244" i="2"/>
  <c r="AK1244" i="2"/>
  <c r="AJ1245" i="2"/>
  <c r="AK1245" i="2"/>
  <c r="AJ1246" i="2"/>
  <c r="AK1246" i="2"/>
  <c r="AJ1247" i="2"/>
  <c r="AK1247" i="2"/>
  <c r="AJ1248" i="2"/>
  <c r="AK1248" i="2"/>
  <c r="AJ1249" i="2"/>
  <c r="AK1249" i="2"/>
  <c r="AJ1250" i="2"/>
  <c r="AK1250" i="2"/>
  <c r="AJ1251" i="2"/>
  <c r="AK1251" i="2"/>
  <c r="AJ1252" i="2"/>
  <c r="AK1252" i="2"/>
  <c r="AJ1253" i="2"/>
  <c r="AK1253" i="2"/>
  <c r="AJ1254" i="2"/>
  <c r="AK1254" i="2"/>
  <c r="AJ1255" i="2"/>
  <c r="AK1255" i="2"/>
  <c r="AJ1256" i="2"/>
  <c r="AK1256" i="2"/>
  <c r="AJ1257" i="2"/>
  <c r="AK1257" i="2"/>
  <c r="AJ1258" i="2"/>
  <c r="AK1258" i="2"/>
  <c r="AJ1259" i="2"/>
  <c r="AK1259" i="2"/>
  <c r="AJ1260" i="2"/>
  <c r="AK1260" i="2"/>
  <c r="AJ1261" i="2"/>
  <c r="AK1261" i="2"/>
  <c r="AJ1262" i="2"/>
  <c r="AK1262" i="2"/>
  <c r="AJ1263" i="2"/>
  <c r="AK1263" i="2"/>
  <c r="AJ1264" i="2"/>
  <c r="AK1264" i="2"/>
  <c r="AJ1265" i="2"/>
  <c r="AK1265" i="2"/>
  <c r="AJ1266" i="2"/>
  <c r="AK1266" i="2"/>
  <c r="AJ1267" i="2"/>
  <c r="AK1267" i="2"/>
  <c r="AJ1268" i="2"/>
  <c r="AK1268" i="2"/>
  <c r="AJ1269" i="2"/>
  <c r="AK1269" i="2"/>
  <c r="AJ1270" i="2"/>
  <c r="AK1270" i="2"/>
  <c r="AJ1271" i="2"/>
  <c r="AK1271" i="2"/>
  <c r="AJ1272" i="2"/>
  <c r="AK1272" i="2"/>
  <c r="AJ1273" i="2"/>
  <c r="AK1273" i="2"/>
  <c r="AJ1274" i="2"/>
  <c r="AK1274" i="2"/>
  <c r="AJ1275" i="2"/>
  <c r="AK1275" i="2"/>
  <c r="AJ1276" i="2"/>
  <c r="AK1276" i="2"/>
  <c r="AJ1277" i="2"/>
  <c r="AK1277" i="2"/>
  <c r="AJ1278" i="2"/>
  <c r="AK1278" i="2"/>
  <c r="AJ1279" i="2"/>
  <c r="AK1279" i="2"/>
  <c r="AJ1280" i="2"/>
  <c r="AK1280" i="2"/>
  <c r="AJ1281" i="2"/>
  <c r="AK1281" i="2"/>
  <c r="AJ1282" i="2"/>
  <c r="AK1282" i="2"/>
  <c r="AJ1283" i="2"/>
  <c r="AK1283" i="2"/>
  <c r="AJ1284" i="2"/>
  <c r="AK1284" i="2"/>
  <c r="AJ1285" i="2"/>
  <c r="AK1285" i="2"/>
  <c r="AJ1286" i="2"/>
  <c r="AK1286" i="2"/>
  <c r="AJ1287" i="2"/>
  <c r="AK1287" i="2"/>
  <c r="AJ1288" i="2"/>
  <c r="AK1288" i="2"/>
  <c r="AJ1289" i="2"/>
  <c r="AK1289" i="2"/>
  <c r="AJ1290" i="2"/>
  <c r="AK1290" i="2"/>
  <c r="AJ1291" i="2"/>
  <c r="AK1291" i="2"/>
  <c r="AJ1292" i="2"/>
  <c r="AK1292" i="2"/>
  <c r="AJ1293" i="2"/>
  <c r="AK1293" i="2"/>
  <c r="AJ1294" i="2"/>
  <c r="AK1294" i="2"/>
  <c r="AJ1295" i="2"/>
  <c r="AK1295" i="2"/>
  <c r="AJ1296" i="2"/>
  <c r="AK1296" i="2"/>
  <c r="AJ1297" i="2"/>
  <c r="AK1297" i="2"/>
  <c r="AJ1298" i="2"/>
  <c r="AK1298" i="2"/>
  <c r="AJ1299" i="2"/>
  <c r="AK1299" i="2"/>
  <c r="AJ1300" i="2"/>
  <c r="AK1300" i="2"/>
  <c r="AJ1301" i="2"/>
  <c r="AK1301" i="2"/>
  <c r="AJ1302" i="2"/>
  <c r="AK1302" i="2"/>
  <c r="AK5" i="2"/>
  <c r="AJ5" i="2"/>
</calcChain>
</file>

<file path=xl/sharedStrings.xml><?xml version="1.0" encoding="utf-8"?>
<sst xmlns="http://schemas.openxmlformats.org/spreadsheetml/2006/main" count="9858" uniqueCount="1389">
  <si>
    <t>Grain</t>
  </si>
  <si>
    <t>Lithology</t>
  </si>
  <si>
    <t>Data Type</t>
  </si>
  <si>
    <t>Reference</t>
  </si>
  <si>
    <t>Th</t>
  </si>
  <si>
    <t>U</t>
  </si>
  <si>
    <t>La</t>
  </si>
  <si>
    <t>Ce</t>
  </si>
  <si>
    <t>Pr</t>
  </si>
  <si>
    <t>Sr</t>
  </si>
  <si>
    <t>Nd</t>
  </si>
  <si>
    <t>Sm</t>
  </si>
  <si>
    <t>Eu</t>
  </si>
  <si>
    <t>Gd</t>
  </si>
  <si>
    <t>Tb</t>
  </si>
  <si>
    <t>Dy</t>
  </si>
  <si>
    <t>Y</t>
  </si>
  <si>
    <t>Ho</t>
  </si>
  <si>
    <t>Er</t>
  </si>
  <si>
    <t>Tm</t>
  </si>
  <si>
    <t>Yb</t>
  </si>
  <si>
    <t>Lu</t>
  </si>
  <si>
    <t>Mn</t>
  </si>
  <si>
    <t>Ba</t>
  </si>
  <si>
    <t>SmN</t>
  </si>
  <si>
    <t>EuN</t>
  </si>
  <si>
    <t>GdN</t>
  </si>
  <si>
    <t>TbN</t>
  </si>
  <si>
    <t>GraniteSquirrel1</t>
  </si>
  <si>
    <t>Mafic I-type granite</t>
  </si>
  <si>
    <t>Average</t>
  </si>
  <si>
    <t>Belousova et al. 2001</t>
  </si>
  <si>
    <t>GraniteSquirrel2</t>
  </si>
  <si>
    <t>GraniteSquirrel3</t>
  </si>
  <si>
    <t>GraniteSquirrel4</t>
  </si>
  <si>
    <t>GraniteSquirrel5</t>
  </si>
  <si>
    <t>GraniteWimburu1</t>
  </si>
  <si>
    <t>GraniteWimburu2</t>
  </si>
  <si>
    <t>GraniteWimburu3</t>
  </si>
  <si>
    <t>GraniteWimburu4</t>
  </si>
  <si>
    <t>GraniteMtAngelay1</t>
  </si>
  <si>
    <t>GraniteMtAngelay2</t>
  </si>
  <si>
    <t>GraniteMtAngelay3</t>
  </si>
  <si>
    <t>Jiuzhou</t>
  </si>
  <si>
    <t>S-type Granite</t>
  </si>
  <si>
    <t>S</t>
  </si>
  <si>
    <t>Hsieh et al. 2008</t>
  </si>
  <si>
    <t>Taima</t>
  </si>
  <si>
    <t>Nadong1</t>
  </si>
  <si>
    <t>Nadong2</t>
  </si>
  <si>
    <t>Nadong3</t>
  </si>
  <si>
    <t>Zudi</t>
  </si>
  <si>
    <t>Changtai</t>
  </si>
  <si>
    <t>Danyang</t>
  </si>
  <si>
    <t>Fuzhou</t>
  </si>
  <si>
    <t>Yanqian</t>
  </si>
  <si>
    <t>Lianjiang</t>
  </si>
  <si>
    <t>Guidong1</t>
  </si>
  <si>
    <t>Guidong2</t>
  </si>
  <si>
    <t>Guidong3</t>
  </si>
  <si>
    <t>Fogang1</t>
  </si>
  <si>
    <t>Felsic I-type granite</t>
  </si>
  <si>
    <t>Fogang2</t>
  </si>
  <si>
    <t>Fogang3</t>
  </si>
  <si>
    <t>Fogang4</t>
  </si>
  <si>
    <t>Qitianling</t>
  </si>
  <si>
    <t>Lianyang</t>
  </si>
  <si>
    <t>Jiufeng1</t>
  </si>
  <si>
    <t>Jiufeng2</t>
  </si>
  <si>
    <t>Dadongshan</t>
  </si>
  <si>
    <t>Chebu</t>
  </si>
  <si>
    <t>Quannan</t>
  </si>
  <si>
    <t>Paitan</t>
  </si>
  <si>
    <t>Ejinao</t>
  </si>
  <si>
    <t>Eclogite1</t>
  </si>
  <si>
    <t>El Korh et al. 2009</t>
  </si>
  <si>
    <t>Eclogite2</t>
  </si>
  <si>
    <t>Blueschist1</t>
  </si>
  <si>
    <t>Blueschist2</t>
  </si>
  <si>
    <t>Blueschist3</t>
  </si>
  <si>
    <t>Micaschist1</t>
  </si>
  <si>
    <t>Micaschist2</t>
  </si>
  <si>
    <t>Kinzigite1</t>
  </si>
  <si>
    <t>Bea &amp; Montero 1999</t>
  </si>
  <si>
    <t>Kinzigite2</t>
  </si>
  <si>
    <t>Kinzigite3</t>
  </si>
  <si>
    <t>Kinzigite4</t>
  </si>
  <si>
    <t>Transition1</t>
  </si>
  <si>
    <t>Transition2</t>
  </si>
  <si>
    <t>Transition3</t>
  </si>
  <si>
    <t>Stronalite1</t>
  </si>
  <si>
    <t>Stronalite2</t>
  </si>
  <si>
    <t>Stronalite3</t>
  </si>
  <si>
    <t>BM901</t>
  </si>
  <si>
    <t>Lherzolite</t>
  </si>
  <si>
    <t>BM650</t>
  </si>
  <si>
    <t>BM655</t>
  </si>
  <si>
    <t>BM632</t>
  </si>
  <si>
    <t>LE15B</t>
  </si>
  <si>
    <t>ASK10</t>
  </si>
  <si>
    <t>66AHR</t>
  </si>
  <si>
    <t>FB1</t>
  </si>
  <si>
    <t>K</t>
  </si>
  <si>
    <t>K24</t>
  </si>
  <si>
    <t>K30A</t>
  </si>
  <si>
    <t>Ef1</t>
  </si>
  <si>
    <t>AKMeg1</t>
  </si>
  <si>
    <t>AB6AP3</t>
  </si>
  <si>
    <t>I-type Granite</t>
  </si>
  <si>
    <t>AB46AP-A1</t>
  </si>
  <si>
    <t>AB149APD1</t>
  </si>
  <si>
    <t>AB149APG1</t>
  </si>
  <si>
    <t>AB190APG</t>
  </si>
  <si>
    <t>AB195GRAP1</t>
  </si>
  <si>
    <t>AB195MEMAP2</t>
  </si>
  <si>
    <t>KB22APB1</t>
  </si>
  <si>
    <t>MG42APB1</t>
  </si>
  <si>
    <t>MG42APA1</t>
  </si>
  <si>
    <t>MG44AP1</t>
  </si>
  <si>
    <t>MG44AP2</t>
  </si>
  <si>
    <t>VB230APA1</t>
  </si>
  <si>
    <t>VB230APB1</t>
  </si>
  <si>
    <t>BB11AP1</t>
  </si>
  <si>
    <t>CB84AP1</t>
  </si>
  <si>
    <t>CB144AP1</t>
  </si>
  <si>
    <t>KB32AP4</t>
  </si>
  <si>
    <t>SV51AP2</t>
  </si>
  <si>
    <t>VB1AP5</t>
  </si>
  <si>
    <t>VB15AP5</t>
  </si>
  <si>
    <t>VB17AP6</t>
  </si>
  <si>
    <t>VB26AP2</t>
  </si>
  <si>
    <t>VB30AP3</t>
  </si>
  <si>
    <t>VB94AP1</t>
  </si>
  <si>
    <t>VB140AP6</t>
  </si>
  <si>
    <t>VB220AP3</t>
  </si>
  <si>
    <t>VB221AP9</t>
  </si>
  <si>
    <t>N.FalstadNelsonite</t>
  </si>
  <si>
    <t>Nelsonite</t>
  </si>
  <si>
    <t>Ihlen et al. 2014</t>
  </si>
  <si>
    <t>Ixy2</t>
  </si>
  <si>
    <t>Phosphorite</t>
  </si>
  <si>
    <t>AUT</t>
  </si>
  <si>
    <t>Shields &amp; Stille, 2001.</t>
  </si>
  <si>
    <t>Ixy2.5</t>
  </si>
  <si>
    <t>Ixy3.75</t>
  </si>
  <si>
    <t>Ix4</t>
  </si>
  <si>
    <t>Ix18</t>
  </si>
  <si>
    <t>Ix21</t>
  </si>
  <si>
    <t>Ix23</t>
  </si>
  <si>
    <t>Ix25</t>
  </si>
  <si>
    <t>Ix28</t>
  </si>
  <si>
    <t>Ix34</t>
  </si>
  <si>
    <t>Ix35</t>
  </si>
  <si>
    <t>Ix40</t>
  </si>
  <si>
    <t>M11</t>
  </si>
  <si>
    <t>M13</t>
  </si>
  <si>
    <t>M20</t>
  </si>
  <si>
    <t>Z26</t>
  </si>
  <si>
    <t>SSF1</t>
  </si>
  <si>
    <t>Fossil</t>
  </si>
  <si>
    <t>SSF2</t>
  </si>
  <si>
    <t>SSF31st</t>
  </si>
  <si>
    <t>SSF32nd</t>
  </si>
  <si>
    <t>HN9901</t>
  </si>
  <si>
    <t>Troctolite</t>
  </si>
  <si>
    <t>Tollari et al 2008.</t>
  </si>
  <si>
    <t>HN9904</t>
  </si>
  <si>
    <t>HN9913</t>
  </si>
  <si>
    <t>1HN9945</t>
  </si>
  <si>
    <t>HN9944</t>
  </si>
  <si>
    <t>HN9947</t>
  </si>
  <si>
    <t>HN9921</t>
  </si>
  <si>
    <t>HN9952</t>
  </si>
  <si>
    <t>HN9925</t>
  </si>
  <si>
    <t>HN9953</t>
  </si>
  <si>
    <t>HN9929</t>
  </si>
  <si>
    <t>HN9946</t>
  </si>
  <si>
    <t>43-44A.420.y</t>
  </si>
  <si>
    <t>BIF</t>
  </si>
  <si>
    <t>Nishizawa et al. 2005.</t>
  </si>
  <si>
    <t>43-44A.421.a</t>
  </si>
  <si>
    <t>K485.l</t>
  </si>
  <si>
    <t>Psammite</t>
  </si>
  <si>
    <t>LM</t>
  </si>
  <si>
    <t>K485.m</t>
  </si>
  <si>
    <t>Carbo1</t>
  </si>
  <si>
    <t>carbonatite</t>
  </si>
  <si>
    <t>Chakhmouradian et al 2017.</t>
  </si>
  <si>
    <t>Carbo2</t>
  </si>
  <si>
    <t>Carbo3</t>
  </si>
  <si>
    <t>Carbo4</t>
  </si>
  <si>
    <t>Carbo5</t>
  </si>
  <si>
    <t>Carbo6</t>
  </si>
  <si>
    <t>Carbo7</t>
  </si>
  <si>
    <t>Carbo8</t>
  </si>
  <si>
    <t>Carbo9</t>
  </si>
  <si>
    <t>Carbo10</t>
  </si>
  <si>
    <t>Carbo11</t>
  </si>
  <si>
    <t>Carbo12</t>
  </si>
  <si>
    <t>Carbo14</t>
  </si>
  <si>
    <t>Carbo15</t>
  </si>
  <si>
    <t>Carbo16</t>
  </si>
  <si>
    <t>Carbo17</t>
  </si>
  <si>
    <t>Carbo18</t>
  </si>
  <si>
    <t>Carbo19</t>
  </si>
  <si>
    <t>Carbo20</t>
  </si>
  <si>
    <t>Carbo21</t>
  </si>
  <si>
    <t>Carbo22</t>
  </si>
  <si>
    <t>Carbo23</t>
  </si>
  <si>
    <t>Carbo24</t>
  </si>
  <si>
    <t>Carbo25</t>
  </si>
  <si>
    <t>Carbo26</t>
  </si>
  <si>
    <t>Carbo27</t>
  </si>
  <si>
    <t>LillebuktCarbonatite1</t>
  </si>
  <si>
    <t>Concentrate</t>
  </si>
  <si>
    <t>LillebuktCarbonatite2</t>
  </si>
  <si>
    <t>LillebuktPyroxenite</t>
  </si>
  <si>
    <t>pyroxenite</t>
  </si>
  <si>
    <t>MisvrdalPyroxenite1</t>
  </si>
  <si>
    <t>MisvrdalPyroxenite2</t>
  </si>
  <si>
    <t>MisvrdalPyroxenite3</t>
  </si>
  <si>
    <t>GrindvikaPyroxenite</t>
  </si>
  <si>
    <t>KodalPyroxenite1</t>
  </si>
  <si>
    <t>KodalPyroxenite2</t>
  </si>
  <si>
    <t>SilurianPhos</t>
  </si>
  <si>
    <t>Mean</t>
  </si>
  <si>
    <t>Dill, 1994.</t>
  </si>
  <si>
    <t>Dacites</t>
  </si>
  <si>
    <t>Dacite</t>
  </si>
  <si>
    <t>FichtelgebirgeGranites</t>
  </si>
  <si>
    <t>S-type granite</t>
  </si>
  <si>
    <t>OberpfalzGranites</t>
  </si>
  <si>
    <t>ApMs1</t>
  </si>
  <si>
    <t>Migmatite</t>
  </si>
  <si>
    <t>HM</t>
  </si>
  <si>
    <t>Bea et al 1994.</t>
  </si>
  <si>
    <t>ApMs2</t>
  </si>
  <si>
    <t>PegmatiteMedian</t>
  </si>
  <si>
    <t>Pegmatite</t>
  </si>
  <si>
    <t>Median</t>
  </si>
  <si>
    <t>Belousova et al. 2002.</t>
  </si>
  <si>
    <t>DoleriteMedian</t>
  </si>
  <si>
    <t>Dolerite</t>
  </si>
  <si>
    <t>Pegmatite1stQuartile</t>
  </si>
  <si>
    <t>Percentile</t>
  </si>
  <si>
    <t>Pegmatite3rdQuartile</t>
  </si>
  <si>
    <t>Dolerite1stQuartile</t>
  </si>
  <si>
    <t>Dolerite3rdQuartile</t>
  </si>
  <si>
    <t>T006C-02.3+4a</t>
  </si>
  <si>
    <t>Spot</t>
  </si>
  <si>
    <t>Chu et al. 2009</t>
  </si>
  <si>
    <t>T006C-04.1+2a</t>
  </si>
  <si>
    <t>T006C-06.1</t>
  </si>
  <si>
    <t>T006C-08.1+2a</t>
  </si>
  <si>
    <t>T006C-10.1</t>
  </si>
  <si>
    <t>T006C-11.1+2a</t>
  </si>
  <si>
    <t>T006C-12.1</t>
  </si>
  <si>
    <t>T006C-13.1</t>
  </si>
  <si>
    <t>T006C-14.1</t>
  </si>
  <si>
    <t>T006C-01.2</t>
  </si>
  <si>
    <t>T006C-03.2</t>
  </si>
  <si>
    <t>T006C-04.1</t>
  </si>
  <si>
    <t>T006C-05.2</t>
  </si>
  <si>
    <t>T006C-08.2</t>
  </si>
  <si>
    <t>T048C-48.1+2a</t>
  </si>
  <si>
    <t>T048C-51.1+2a</t>
  </si>
  <si>
    <t>T048C-54.1+2a</t>
  </si>
  <si>
    <t>T048C-56.1+2a</t>
  </si>
  <si>
    <t>T048C-59.1+2a</t>
  </si>
  <si>
    <t>T048C-64.1+2a</t>
  </si>
  <si>
    <t>T048C-68.1+2a</t>
  </si>
  <si>
    <t>T048C-70.1+2a</t>
  </si>
  <si>
    <t>T048C-71.1+2a</t>
  </si>
  <si>
    <t>T048C-74.1+2</t>
  </si>
  <si>
    <t>T048C-75.1</t>
  </si>
  <si>
    <t>T048C-77.1</t>
  </si>
  <si>
    <t>T125A-01.1+2a</t>
  </si>
  <si>
    <t>T125A-02.1+2a</t>
  </si>
  <si>
    <t>T125A-06.2</t>
  </si>
  <si>
    <t>T125A-09</t>
  </si>
  <si>
    <t>T125A-10</t>
  </si>
  <si>
    <t>T125A-12</t>
  </si>
  <si>
    <t>T125A-14.2</t>
  </si>
  <si>
    <t>T138A-01.1+2a</t>
  </si>
  <si>
    <t>T138A-03.1</t>
  </si>
  <si>
    <t>T138A-04</t>
  </si>
  <si>
    <t>T138A-08.1+2a</t>
  </si>
  <si>
    <t>T138A-13</t>
  </si>
  <si>
    <t>T138A-18</t>
  </si>
  <si>
    <t>T138A-21.2</t>
  </si>
  <si>
    <t>T170A-03</t>
  </si>
  <si>
    <t>T170A-05</t>
  </si>
  <si>
    <t>T170A-06</t>
  </si>
  <si>
    <t>T170A-09</t>
  </si>
  <si>
    <t>T170A-13</t>
  </si>
  <si>
    <t>T170A-17</t>
  </si>
  <si>
    <t>T170A-19</t>
  </si>
  <si>
    <t>T172A-01</t>
  </si>
  <si>
    <t>T172A-02</t>
  </si>
  <si>
    <t>T172A-05.2</t>
  </si>
  <si>
    <t>T172A-08</t>
  </si>
  <si>
    <t>T172A-12</t>
  </si>
  <si>
    <t>T172A-15</t>
  </si>
  <si>
    <t>T036C-01.1+2a</t>
  </si>
  <si>
    <t>Mafic I-type granitoid</t>
  </si>
  <si>
    <t>T036C-03.1</t>
  </si>
  <si>
    <t>T036C-05.2</t>
  </si>
  <si>
    <t>T036C-06.2</t>
  </si>
  <si>
    <t>T036C-07.2</t>
  </si>
  <si>
    <t>T036C-08.2</t>
  </si>
  <si>
    <t>T044E-03.1+2a</t>
  </si>
  <si>
    <t>T044E-02.2</t>
  </si>
  <si>
    <t>T044E-03.1</t>
  </si>
  <si>
    <t>T044E-06.1</t>
  </si>
  <si>
    <t>T044E-09.1</t>
  </si>
  <si>
    <t>T044E-10</t>
  </si>
  <si>
    <t>T044E-20</t>
  </si>
  <si>
    <t>T044E-21.2</t>
  </si>
  <si>
    <t>ET021E-01</t>
  </si>
  <si>
    <t>ET021E-02</t>
  </si>
  <si>
    <t>ET021E-07.1</t>
  </si>
  <si>
    <t>ET021E-08.1</t>
  </si>
  <si>
    <t>ET021E-09.1</t>
  </si>
  <si>
    <t>ET021E-11</t>
  </si>
  <si>
    <t>ET021E-14(C)b</t>
  </si>
  <si>
    <t>ET021E-14(R)b</t>
  </si>
  <si>
    <t>ET026I-04.1+2a</t>
  </si>
  <si>
    <t>ET026I-06.1+2a</t>
  </si>
  <si>
    <t>ET026I-14.1+2a</t>
  </si>
  <si>
    <t>ET026I-26.1+4a</t>
  </si>
  <si>
    <t>ET026I-32.1+2a</t>
  </si>
  <si>
    <t>ET026I-36.3+4a</t>
  </si>
  <si>
    <t>ET026I-44.4</t>
  </si>
  <si>
    <t>ET026I-52.1+3a</t>
  </si>
  <si>
    <t>ET026I-01.1+2a</t>
  </si>
  <si>
    <t>ET026I-03.2</t>
  </si>
  <si>
    <t>ET026I-06.2</t>
  </si>
  <si>
    <t>T148A-01.1+2a</t>
  </si>
  <si>
    <t>T148A-02.1</t>
  </si>
  <si>
    <t>T148A-03.1+2a</t>
  </si>
  <si>
    <t>T148A-06</t>
  </si>
  <si>
    <t>T148A-07</t>
  </si>
  <si>
    <t>T148A-11</t>
  </si>
  <si>
    <t>T153-01</t>
  </si>
  <si>
    <t>T153-02</t>
  </si>
  <si>
    <t>T153-03</t>
  </si>
  <si>
    <t>T153-05(C)b</t>
  </si>
  <si>
    <t>T153-05(R)b</t>
  </si>
  <si>
    <t>T153-06(C)b</t>
  </si>
  <si>
    <t>T153-06(R)b</t>
  </si>
  <si>
    <t>T153-23</t>
  </si>
  <si>
    <t>ST104A-01</t>
  </si>
  <si>
    <t>ST104A-10.1+2a</t>
  </si>
  <si>
    <t>ST104A-11.1</t>
  </si>
  <si>
    <t>ST104A-12</t>
  </si>
  <si>
    <t>ST104A-15.1+2a</t>
  </si>
  <si>
    <t>ST129A-01.1+2a</t>
  </si>
  <si>
    <t>ST129A-02.1</t>
  </si>
  <si>
    <t>ST129A-05</t>
  </si>
  <si>
    <t>ST129A-06</t>
  </si>
  <si>
    <t>ST129A-09</t>
  </si>
  <si>
    <t>ST129A-10</t>
  </si>
  <si>
    <t>ST141A-01.1</t>
  </si>
  <si>
    <t>ST141A-02.1</t>
  </si>
  <si>
    <t>ST141A-03</t>
  </si>
  <si>
    <t>ST141A-04</t>
  </si>
  <si>
    <t>ST141A-05(C)b</t>
  </si>
  <si>
    <t>ST141A-05(R)b</t>
  </si>
  <si>
    <t>ST141A-06</t>
  </si>
  <si>
    <t>ST141A-07</t>
  </si>
  <si>
    <t>ST141A-08</t>
  </si>
  <si>
    <t>ST141A-09</t>
  </si>
  <si>
    <t>ST141A-10</t>
  </si>
  <si>
    <t>ST141A-11</t>
  </si>
  <si>
    <t>ST144A-14</t>
  </si>
  <si>
    <t>ST144A-20</t>
  </si>
  <si>
    <t>ST144A-21</t>
  </si>
  <si>
    <t>ST144A-25</t>
  </si>
  <si>
    <t>ST144A-34</t>
  </si>
  <si>
    <t>ST144A-37</t>
  </si>
  <si>
    <t>ST147A-01.1</t>
  </si>
  <si>
    <t>ST147A-03.1</t>
  </si>
  <si>
    <t>ST147A-04.2</t>
  </si>
  <si>
    <t>ST147A-05.2</t>
  </si>
  <si>
    <t>ST147A-06</t>
  </si>
  <si>
    <t>ST147A-09</t>
  </si>
  <si>
    <t>ST150A-03</t>
  </si>
  <si>
    <t>ST150A-04(C)b</t>
  </si>
  <si>
    <t>ST150A-04(R)b</t>
  </si>
  <si>
    <t>ST150A-10</t>
  </si>
  <si>
    <t>ST150A-11</t>
  </si>
  <si>
    <t>ST150A-23(C)b</t>
  </si>
  <si>
    <t>ST150A-23(R)b</t>
  </si>
  <si>
    <t>ST152A-03</t>
  </si>
  <si>
    <t>ST152A-05</t>
  </si>
  <si>
    <t>ST152A-09</t>
  </si>
  <si>
    <t>ST152A-12</t>
  </si>
  <si>
    <t>ST152A-13</t>
  </si>
  <si>
    <t>T027-02</t>
  </si>
  <si>
    <t>T027-03</t>
  </si>
  <si>
    <t>T027-06</t>
  </si>
  <si>
    <t>T027-07</t>
  </si>
  <si>
    <t>T027-09</t>
  </si>
  <si>
    <t>T027-12</t>
  </si>
  <si>
    <t>T060B-22.1+2a</t>
  </si>
  <si>
    <t>Adakite</t>
  </si>
  <si>
    <t>T060B-33.1+2a</t>
  </si>
  <si>
    <t>ET023-09</t>
  </si>
  <si>
    <t>ET023-13.2</t>
  </si>
  <si>
    <t>ET023-18(C)b</t>
  </si>
  <si>
    <t>ET023-18(M)b</t>
  </si>
  <si>
    <t>ET023-18(R)b</t>
  </si>
  <si>
    <t>ET023-20(C)b</t>
  </si>
  <si>
    <t>ET023-20(R)b</t>
  </si>
  <si>
    <t xml:space="preserve">  </t>
  </si>
  <si>
    <t>ET023-22</t>
  </si>
  <si>
    <t>ET025C-01</t>
  </si>
  <si>
    <t>ET025C-02</t>
  </si>
  <si>
    <t>ET025C-04</t>
  </si>
  <si>
    <t>ET025C-05(C)b</t>
  </si>
  <si>
    <t>ET025C-05(R)b</t>
  </si>
  <si>
    <t>ET025C-06</t>
  </si>
  <si>
    <t>ET025C-07</t>
  </si>
  <si>
    <t>ET025C-17</t>
  </si>
  <si>
    <t>ET025C-19</t>
  </si>
  <si>
    <t>ST107A-02.2</t>
  </si>
  <si>
    <t>ST107A-05</t>
  </si>
  <si>
    <t>ST107A-06.2</t>
  </si>
  <si>
    <t>ST107A-08</t>
  </si>
  <si>
    <t>ST107A-11</t>
  </si>
  <si>
    <t>ST107A-12.1</t>
  </si>
  <si>
    <t>ST107B-02</t>
  </si>
  <si>
    <t>ST107B-03</t>
  </si>
  <si>
    <t>ST107B-04</t>
  </si>
  <si>
    <t>ST107B-07</t>
  </si>
  <si>
    <t>ST107B-09</t>
  </si>
  <si>
    <t>ST107B-10(C)b</t>
  </si>
  <si>
    <t>ST107B-10(R)b</t>
  </si>
  <si>
    <t>AGC11</t>
  </si>
  <si>
    <t>Henrichs et al. 2018</t>
  </si>
  <si>
    <t>AGC12</t>
  </si>
  <si>
    <t>AGC13</t>
  </si>
  <si>
    <t>AGC14</t>
  </si>
  <si>
    <t>AGC15</t>
  </si>
  <si>
    <t>AGC16</t>
  </si>
  <si>
    <t>AGC17</t>
  </si>
  <si>
    <t>AGC18</t>
  </si>
  <si>
    <t>AGC19</t>
  </si>
  <si>
    <t>AGC110</t>
  </si>
  <si>
    <t>AGC111</t>
  </si>
  <si>
    <t>AGC112</t>
  </si>
  <si>
    <t>AGC113</t>
  </si>
  <si>
    <t>AGC114</t>
  </si>
  <si>
    <t>AGC115</t>
  </si>
  <si>
    <t>AGC116</t>
  </si>
  <si>
    <t>AGC117</t>
  </si>
  <si>
    <t>AGC118</t>
  </si>
  <si>
    <t>AGC119</t>
  </si>
  <si>
    <t>AGC120</t>
  </si>
  <si>
    <t>AGC121</t>
  </si>
  <si>
    <t>AGC122</t>
  </si>
  <si>
    <t>AGC123</t>
  </si>
  <si>
    <t>AGC124</t>
  </si>
  <si>
    <t>AGC21</t>
  </si>
  <si>
    <t>AGC22</t>
  </si>
  <si>
    <t>AGC23</t>
  </si>
  <si>
    <t>AGC24</t>
  </si>
  <si>
    <t>AGC25</t>
  </si>
  <si>
    <t>AGC26</t>
  </si>
  <si>
    <t>AGC27</t>
  </si>
  <si>
    <t>AGC28</t>
  </si>
  <si>
    <t>AGC29</t>
  </si>
  <si>
    <t>AGC210</t>
  </si>
  <si>
    <t>AGC211</t>
  </si>
  <si>
    <t>AGC212</t>
  </si>
  <si>
    <t>AGC213</t>
  </si>
  <si>
    <t>AGC214</t>
  </si>
  <si>
    <t>AGC215</t>
  </si>
  <si>
    <t>AGC216</t>
  </si>
  <si>
    <t>AGC217</t>
  </si>
  <si>
    <t>AGC218</t>
  </si>
  <si>
    <t>AGC219</t>
  </si>
  <si>
    <t>AGC220</t>
  </si>
  <si>
    <t>AGC221</t>
  </si>
  <si>
    <t>AGC222</t>
  </si>
  <si>
    <t>AGC223</t>
  </si>
  <si>
    <t>DC8/11/1a1</t>
  </si>
  <si>
    <t>DC8/11/1a2</t>
  </si>
  <si>
    <t>DC8/11/1a3</t>
  </si>
  <si>
    <t>DC8/11/1a4</t>
  </si>
  <si>
    <t>DC8/11/1a5</t>
  </si>
  <si>
    <t>DC8/11/1a6</t>
  </si>
  <si>
    <t>DC8/11/1a7</t>
  </si>
  <si>
    <t>DC8/11/1a8</t>
  </si>
  <si>
    <t>DC8/11/1a9</t>
  </si>
  <si>
    <t>DC8/11/1a10</t>
  </si>
  <si>
    <t>DC8/11/1a11</t>
  </si>
  <si>
    <t>DC8/11/1a12</t>
  </si>
  <si>
    <t>DC8/11/1a13</t>
  </si>
  <si>
    <t>DC8/11/1a14</t>
  </si>
  <si>
    <t>DC8/11/1a15</t>
  </si>
  <si>
    <t>DC8/11/1a16</t>
  </si>
  <si>
    <t>DC8/11/1a17</t>
  </si>
  <si>
    <t>DC8/11/1a18</t>
  </si>
  <si>
    <t>DC8/11/1a19</t>
  </si>
  <si>
    <t>DC8/11/1a20</t>
  </si>
  <si>
    <t>DC8/11/1a21</t>
  </si>
  <si>
    <t>DC8/11/1a22</t>
  </si>
  <si>
    <t>DC8/11/1a23</t>
  </si>
  <si>
    <t>DC8/11/1a24</t>
  </si>
  <si>
    <t>DC8/11/1a25</t>
  </si>
  <si>
    <t>DC8/11/1b1</t>
  </si>
  <si>
    <t>DC8/11/1b2</t>
  </si>
  <si>
    <t>DC8/11/1b3</t>
  </si>
  <si>
    <t>DC8/11/1b4</t>
  </si>
  <si>
    <t>DC8/11/1b5</t>
  </si>
  <si>
    <t>DC8/11/1b6</t>
  </si>
  <si>
    <t>DC8/11/1b7</t>
  </si>
  <si>
    <t>DC8/11/1b8</t>
  </si>
  <si>
    <t>DC8/11/1b9</t>
  </si>
  <si>
    <t>DC8/11/1b10</t>
  </si>
  <si>
    <t>DC8/11/1b11</t>
  </si>
  <si>
    <t>DC8/11/1b12</t>
  </si>
  <si>
    <t>DC8/11/1b13</t>
  </si>
  <si>
    <t>DC8/11/1b15</t>
  </si>
  <si>
    <t>DC8/11/1b16</t>
  </si>
  <si>
    <t>DC8/11/1b17</t>
  </si>
  <si>
    <t>DC8/11/1b18</t>
  </si>
  <si>
    <t>DC8/11/1b19</t>
  </si>
  <si>
    <t>DC8/11/1b20</t>
  </si>
  <si>
    <t>DC8/11/1b21</t>
  </si>
  <si>
    <t>DC8/11/1b22</t>
  </si>
  <si>
    <t>DC8/11/1b23</t>
  </si>
  <si>
    <t>DC8/11/1b24</t>
  </si>
  <si>
    <t>DC8/11/1b25</t>
  </si>
  <si>
    <t>LT21</t>
  </si>
  <si>
    <t>LT22</t>
  </si>
  <si>
    <t>LT23</t>
  </si>
  <si>
    <t>LT24</t>
  </si>
  <si>
    <t>LT25</t>
  </si>
  <si>
    <t>LT26</t>
  </si>
  <si>
    <t>LT27</t>
  </si>
  <si>
    <t>LT29</t>
  </si>
  <si>
    <t>LT210</t>
  </si>
  <si>
    <t>LT211</t>
  </si>
  <si>
    <t>LT212</t>
  </si>
  <si>
    <t>LT213</t>
  </si>
  <si>
    <t>LT214</t>
  </si>
  <si>
    <t>LT215</t>
  </si>
  <si>
    <t>LT216</t>
  </si>
  <si>
    <t>LT217</t>
  </si>
  <si>
    <t>LT218</t>
  </si>
  <si>
    <t>LT219</t>
  </si>
  <si>
    <t>LT220</t>
  </si>
  <si>
    <t>LT221</t>
  </si>
  <si>
    <t>LT222</t>
  </si>
  <si>
    <t>LT223</t>
  </si>
  <si>
    <t>LT224</t>
  </si>
  <si>
    <t>LT225</t>
  </si>
  <si>
    <t>IH11/13/011</t>
  </si>
  <si>
    <t>IH11/13/012</t>
  </si>
  <si>
    <t>IH11/13/013</t>
  </si>
  <si>
    <t>IH11/13/014</t>
  </si>
  <si>
    <t>IH11/13/015</t>
  </si>
  <si>
    <t>IH11/13/016</t>
  </si>
  <si>
    <t>IH11/13/017</t>
  </si>
  <si>
    <t>IH11/13/018</t>
  </si>
  <si>
    <t>IH11/13/019</t>
  </si>
  <si>
    <t>IH11/13/0110</t>
  </si>
  <si>
    <t>IH11/13/0111</t>
  </si>
  <si>
    <t>IH11/13/0112</t>
  </si>
  <si>
    <t>IH11/13/0113</t>
  </si>
  <si>
    <t>IH11/13/0114</t>
  </si>
  <si>
    <t>IH11/13/0115</t>
  </si>
  <si>
    <t>IH11/13/0116</t>
  </si>
  <si>
    <t>IH11/13/0117</t>
  </si>
  <si>
    <t>IH11/13/0118</t>
  </si>
  <si>
    <t>IH11/13/0119</t>
  </si>
  <si>
    <t>IH11/13/0120</t>
  </si>
  <si>
    <t>IH11/13/0121</t>
  </si>
  <si>
    <t>IH11/13/0122</t>
  </si>
  <si>
    <t>IH11/13/0123</t>
  </si>
  <si>
    <t>IH11/13/0124</t>
  </si>
  <si>
    <t>IH11/13/0125</t>
  </si>
  <si>
    <t>IH11/13/0126</t>
  </si>
  <si>
    <t>IH11/13/021</t>
  </si>
  <si>
    <t>IH11/13/022</t>
  </si>
  <si>
    <t>IH11/13/023</t>
  </si>
  <si>
    <t>IH11/13/024</t>
  </si>
  <si>
    <t>IH11/13/025</t>
  </si>
  <si>
    <t>IH11/13/026</t>
  </si>
  <si>
    <t>IH11/13/027</t>
  </si>
  <si>
    <t>IH11/13/028</t>
  </si>
  <si>
    <t>IH11/13/029</t>
  </si>
  <si>
    <t>IH11/13/0210</t>
  </si>
  <si>
    <t>IH11/13/0211</t>
  </si>
  <si>
    <t>IH11/13/0212</t>
  </si>
  <si>
    <t>IH11/13/0213</t>
  </si>
  <si>
    <t>IH11/13/0214</t>
  </si>
  <si>
    <t>IH11/13/0215</t>
  </si>
  <si>
    <t>IH11/13/0216</t>
  </si>
  <si>
    <t>IH11/13/0217</t>
  </si>
  <si>
    <t>IH11/13/0218</t>
  </si>
  <si>
    <t>IH11/13/0219</t>
  </si>
  <si>
    <t>IH11/13/0220</t>
  </si>
  <si>
    <t>IH11/13/0221</t>
  </si>
  <si>
    <t>IH11/13/0222</t>
  </si>
  <si>
    <t>TCH0011</t>
  </si>
  <si>
    <t>TCH0012</t>
  </si>
  <si>
    <t>TCH0013</t>
  </si>
  <si>
    <t>TCH0014</t>
  </si>
  <si>
    <t>TCH0015</t>
  </si>
  <si>
    <t>TCH0016</t>
  </si>
  <si>
    <t>TCH0017</t>
  </si>
  <si>
    <t>TCH0018</t>
  </si>
  <si>
    <t>TCH0019</t>
  </si>
  <si>
    <t>TCH00110</t>
  </si>
  <si>
    <t>TCH00111</t>
  </si>
  <si>
    <t>TCH00112</t>
  </si>
  <si>
    <t>TCH00113</t>
  </si>
  <si>
    <t>TCH00114</t>
  </si>
  <si>
    <t>TCH00115</t>
  </si>
  <si>
    <t>TCH00116</t>
  </si>
  <si>
    <t>TCH00117</t>
  </si>
  <si>
    <t>TCH00118</t>
  </si>
  <si>
    <t>TCH00119</t>
  </si>
  <si>
    <t>TCH00120</t>
  </si>
  <si>
    <t>TCH00121</t>
  </si>
  <si>
    <t>TCH00122</t>
  </si>
  <si>
    <t>TCH00123</t>
  </si>
  <si>
    <t>TCH00124</t>
  </si>
  <si>
    <t>TCH00125</t>
  </si>
  <si>
    <t>TCH00126</t>
  </si>
  <si>
    <t>TCH00127</t>
  </si>
  <si>
    <t>TCH00128</t>
  </si>
  <si>
    <t>TCH00129</t>
  </si>
  <si>
    <t>TCH00130</t>
  </si>
  <si>
    <t>TCH00131</t>
  </si>
  <si>
    <t>TCH00132</t>
  </si>
  <si>
    <t>TCH00133</t>
  </si>
  <si>
    <t>TCH00134</t>
  </si>
  <si>
    <t>TCH0031</t>
  </si>
  <si>
    <t>TCH0032</t>
  </si>
  <si>
    <t>TCH0033</t>
  </si>
  <si>
    <t>TCH0034</t>
  </si>
  <si>
    <t>TCH0035</t>
  </si>
  <si>
    <t>TCH0036</t>
  </si>
  <si>
    <t>TCH0037</t>
  </si>
  <si>
    <t>TCH0038</t>
  </si>
  <si>
    <t>TCH0039</t>
  </si>
  <si>
    <t>TCH00310</t>
  </si>
  <si>
    <t>TCH00311</t>
  </si>
  <si>
    <t>TCH00312</t>
  </si>
  <si>
    <t>TCH00313</t>
  </si>
  <si>
    <t>TCH00314</t>
  </si>
  <si>
    <t>TCH00315</t>
  </si>
  <si>
    <t>TCH00316</t>
  </si>
  <si>
    <t>TCH00317</t>
  </si>
  <si>
    <t>TCH00318</t>
  </si>
  <si>
    <t>TCH00319</t>
  </si>
  <si>
    <t>TCH00320</t>
  </si>
  <si>
    <t>TCH00321</t>
  </si>
  <si>
    <t>TCH00322</t>
  </si>
  <si>
    <t>TCH00323</t>
  </si>
  <si>
    <t>TCH00324</t>
  </si>
  <si>
    <t>TCH00325</t>
  </si>
  <si>
    <t>TCH00326</t>
  </si>
  <si>
    <t>TCH0071</t>
  </si>
  <si>
    <t>TCH0072</t>
  </si>
  <si>
    <t>TCH0073</t>
  </si>
  <si>
    <t>TCH0074</t>
  </si>
  <si>
    <t>TCH0075</t>
  </si>
  <si>
    <t>TCH0076</t>
  </si>
  <si>
    <t>TCH0077</t>
  </si>
  <si>
    <t>TCH0078</t>
  </si>
  <si>
    <t>TCH0079</t>
  </si>
  <si>
    <t>TCH00710</t>
  </si>
  <si>
    <t>TCH00711</t>
  </si>
  <si>
    <t>TCH00712</t>
  </si>
  <si>
    <t>TCH00713</t>
  </si>
  <si>
    <t>TCH00714</t>
  </si>
  <si>
    <t>TCH00715</t>
  </si>
  <si>
    <t>TCH00716</t>
  </si>
  <si>
    <t>TCH00717</t>
  </si>
  <si>
    <t>TCH00718</t>
  </si>
  <si>
    <t>TCH00719</t>
  </si>
  <si>
    <t>TCH00720</t>
  </si>
  <si>
    <t>TCH00721</t>
  </si>
  <si>
    <t>TCH00722</t>
  </si>
  <si>
    <t>TCH00723</t>
  </si>
  <si>
    <t>TCH00724</t>
  </si>
  <si>
    <t>RM131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</si>
  <si>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</si>
  <si>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</si>
  <si>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</si>
  <si>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</si>
  <si>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</si>
  <si>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</si>
  <si>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</si>
  <si>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</si>
  <si>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RM1310</t>
  </si>
  <si>
    <t>RM1311</t>
  </si>
  <si>
    <t>RM1312</t>
  </si>
  <si>
    <t>RM1313</t>
  </si>
  <si>
    <t>RM1314</t>
  </si>
  <si>
    <t>RM1315</t>
  </si>
  <si>
    <t>RM1316</t>
  </si>
  <si>
    <t>RM1317</t>
  </si>
  <si>
    <t>RM1318</t>
  </si>
  <si>
    <t>RM1319</t>
  </si>
  <si>
    <t>RM1320</t>
  </si>
  <si>
    <t>RM1321</t>
  </si>
  <si>
    <t>RM1322</t>
  </si>
  <si>
    <t>RM1323</t>
  </si>
  <si>
    <t>RM1324</t>
  </si>
  <si>
    <t>RM1325</t>
  </si>
  <si>
    <t>RM1326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</si>
  <si>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</si>
  <si>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</si>
  <si>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</si>
  <si>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</si>
  <si>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</si>
  <si>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</si>
  <si>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</si>
  <si>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</si>
  <si>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</si>
  <si>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RM1510</t>
  </si>
  <si>
    <t>RM1511</t>
  </si>
  <si>
    <t>RM1512</t>
  </si>
  <si>
    <t>RM1513</t>
  </si>
  <si>
    <t>RM1514</t>
  </si>
  <si>
    <t>RM1515</t>
  </si>
  <si>
    <t>RM1516</t>
  </si>
  <si>
    <t>RM1517</t>
  </si>
  <si>
    <t>RM1518</t>
  </si>
  <si>
    <t>RM1519</t>
  </si>
  <si>
    <t>RM1520</t>
  </si>
  <si>
    <t>RM1521</t>
  </si>
  <si>
    <t>RM1522</t>
  </si>
  <si>
    <t>RM1523</t>
  </si>
  <si>
    <t>RM1524</t>
  </si>
  <si>
    <t>RM1525</t>
  </si>
  <si>
    <t>RM1526</t>
  </si>
  <si>
    <t>RM1527</t>
  </si>
  <si>
    <t>RM1528</t>
  </si>
  <si>
    <t>DiaApP3_1</t>
  </si>
  <si>
    <t>DiaApP3_2</t>
  </si>
  <si>
    <t>DiaApP3_3</t>
  </si>
  <si>
    <t>DiaApP3_4</t>
  </si>
  <si>
    <t>DiaApP3_5</t>
  </si>
  <si>
    <t>DiaApP3_6</t>
  </si>
  <si>
    <t>DiaApP3_7</t>
  </si>
  <si>
    <t>DiaApP4_1</t>
  </si>
  <si>
    <t>DiaApP4_2</t>
  </si>
  <si>
    <t>DiaApP4_3</t>
  </si>
  <si>
    <t>DiaApP4_4</t>
  </si>
  <si>
    <t>DiaApP4_5</t>
  </si>
  <si>
    <t>DiaApP4_6</t>
  </si>
  <si>
    <t>DiaApP4_7</t>
  </si>
  <si>
    <t>DiaApP4_8</t>
  </si>
  <si>
    <t>DiaApP4_9</t>
  </si>
  <si>
    <t>DiaApP4_10</t>
  </si>
  <si>
    <t>DiaApP4_11</t>
  </si>
  <si>
    <t>DiaApP4_12</t>
  </si>
  <si>
    <t>DiaApP4_13</t>
  </si>
  <si>
    <t>DiaApP4_14</t>
  </si>
  <si>
    <t>DiaApP4_15</t>
  </si>
  <si>
    <t>DiaApP4_16</t>
  </si>
  <si>
    <t>DiaApP4_17</t>
  </si>
  <si>
    <t>DiaApP4_18</t>
  </si>
  <si>
    <t>DiaApP4_19</t>
  </si>
  <si>
    <t>DiaApP4_20</t>
  </si>
  <si>
    <t>DiaApP4_21</t>
  </si>
  <si>
    <t>DiaApP5_1</t>
  </si>
  <si>
    <t>DiaApP5_2</t>
  </si>
  <si>
    <t>DiaApP5_3</t>
  </si>
  <si>
    <t>DiaApP5_4</t>
  </si>
  <si>
    <t>DiaApP5_5</t>
  </si>
  <si>
    <t>DiaApP5_6</t>
  </si>
  <si>
    <t>DiaApP5_7</t>
  </si>
  <si>
    <t>DiaApP5_8</t>
  </si>
  <si>
    <t>DiaApP5_9</t>
  </si>
  <si>
    <t>DiaApP5_10</t>
  </si>
  <si>
    <t>DiaApP5_11</t>
  </si>
  <si>
    <t>DiaApP5_12</t>
  </si>
  <si>
    <t>DiaApP5_13</t>
  </si>
  <si>
    <t>DiaApP5_14</t>
  </si>
  <si>
    <t>DiaApP5_15</t>
  </si>
  <si>
    <t>DiaApP6_1</t>
  </si>
  <si>
    <t>DiaApP6_2</t>
  </si>
  <si>
    <t>DiaApP6_3</t>
  </si>
  <si>
    <t>DiaApP6_4</t>
  </si>
  <si>
    <t>DiaApP6_5</t>
  </si>
  <si>
    <t>DiaApP6_6</t>
  </si>
  <si>
    <t>DiaApP6_7</t>
  </si>
  <si>
    <t>DiaApP6_8</t>
  </si>
  <si>
    <t>DiaApP6_9</t>
  </si>
  <si>
    <t>DiaApP6_10</t>
  </si>
  <si>
    <t>DiaApP6_11</t>
  </si>
  <si>
    <t>DiaApP8_1</t>
  </si>
  <si>
    <t>DiaApP8_2</t>
  </si>
  <si>
    <t>DiaApP8_3</t>
  </si>
  <si>
    <t>DiaApP8_4</t>
  </si>
  <si>
    <t>DiaApP10_1</t>
  </si>
  <si>
    <t>DiaApP10_2</t>
  </si>
  <si>
    <t>DiaApP10_3</t>
  </si>
  <si>
    <t>DiaApP10_4</t>
  </si>
  <si>
    <t>DiaApP10_5</t>
  </si>
  <si>
    <t>DiaApP10_6</t>
  </si>
  <si>
    <t>DiaApP10_7</t>
  </si>
  <si>
    <t>DiaApP10_8</t>
  </si>
  <si>
    <t>DiaApP11_1</t>
  </si>
  <si>
    <t>DiaApP11_2</t>
  </si>
  <si>
    <t>DiaApP11_3</t>
  </si>
  <si>
    <t>DiaApP11_4</t>
  </si>
  <si>
    <t>DiaApP11_5</t>
  </si>
  <si>
    <t>DiaApP11_6</t>
  </si>
  <si>
    <t>DiaApP13_1</t>
  </si>
  <si>
    <t>DiaApP13_2</t>
  </si>
  <si>
    <t>DiaApP13_3</t>
  </si>
  <si>
    <t>DiaApP13_4</t>
  </si>
  <si>
    <t>DiaApP13_5</t>
  </si>
  <si>
    <t>DiaApP13_6</t>
  </si>
  <si>
    <t>DiaApP13_7</t>
  </si>
  <si>
    <t>DiaApP13_8</t>
  </si>
  <si>
    <t>DiaApP13_9</t>
  </si>
  <si>
    <t>DiaApP13_10</t>
  </si>
  <si>
    <t>DiaApP13_11</t>
  </si>
  <si>
    <t>DiaApP13_12</t>
  </si>
  <si>
    <t>DiaApP13_13</t>
  </si>
  <si>
    <t>MigmatiteZone1</t>
  </si>
  <si>
    <t>Nutman 2007</t>
  </si>
  <si>
    <t>MigmatiteZone2</t>
  </si>
  <si>
    <t>MigmatiteZone3</t>
  </si>
  <si>
    <t>MigmatiteZone4</t>
  </si>
  <si>
    <t>MigmatiteZone5</t>
  </si>
  <si>
    <t>MigmatiteZone6</t>
  </si>
  <si>
    <t>MigmatiteZone7</t>
  </si>
  <si>
    <t>MetaSedMigEnclave1</t>
  </si>
  <si>
    <t>Enclacve in Migmatite</t>
  </si>
  <si>
    <t>MetaSedMigEnclave2</t>
  </si>
  <si>
    <t>MetaSedMigEnclave3a</t>
  </si>
  <si>
    <t>MetaSedMigEnclave3b</t>
  </si>
  <si>
    <t>MetaSedMigEnclave4a</t>
  </si>
  <si>
    <t>MetaSedMigEnclave4b</t>
  </si>
  <si>
    <t>MetaSedMigEnclave5a</t>
  </si>
  <si>
    <t>MetaSedMigEnclave5b</t>
  </si>
  <si>
    <t>MetaSedMigEnclave6</t>
  </si>
  <si>
    <t>MetaSedMigEnclave7</t>
  </si>
  <si>
    <t>MetaSedMigEnclave8</t>
  </si>
  <si>
    <t>MetaSedMigEnclave9</t>
  </si>
  <si>
    <t>LZ-1-18_1</t>
  </si>
  <si>
    <t>Tang et al. 2012</t>
  </si>
  <si>
    <t>LZ-1-18_2</t>
  </si>
  <si>
    <t>LZ-1-19_1</t>
  </si>
  <si>
    <t>LZ-1-19_2</t>
  </si>
  <si>
    <t>LZ-1-21_1</t>
  </si>
  <si>
    <t>LZ-1-21_2</t>
  </si>
  <si>
    <t>LZ-1-23_1</t>
  </si>
  <si>
    <t>LZ-1-23_2</t>
  </si>
  <si>
    <t>LZ-1-23_3</t>
  </si>
  <si>
    <t>LZ-2-03_1</t>
  </si>
  <si>
    <t>LZ-2-03_2</t>
  </si>
  <si>
    <t>LZ-2-03_3</t>
  </si>
  <si>
    <t>LZ-2-03_4</t>
  </si>
  <si>
    <t>LZ-2-04_1</t>
  </si>
  <si>
    <t>LZ-2-04_2</t>
  </si>
  <si>
    <t>LZ-2-04_3</t>
  </si>
  <si>
    <t>LZ-2-04_4</t>
  </si>
  <si>
    <t>LZ-2-08_1</t>
  </si>
  <si>
    <t>LZ-2-08_2</t>
  </si>
  <si>
    <t>LZ-2-08_3</t>
  </si>
  <si>
    <t>LZ-2-08_4</t>
  </si>
  <si>
    <t>LZ-2-08_5</t>
  </si>
  <si>
    <t>LZ-3-03_1</t>
  </si>
  <si>
    <t>LZ-3-03_2</t>
  </si>
  <si>
    <t>LZ-3-04_1</t>
  </si>
  <si>
    <t>LZ-3-04_2</t>
  </si>
  <si>
    <t>LZ-6-06_1</t>
  </si>
  <si>
    <t>LZ-6-06_2</t>
  </si>
  <si>
    <t>LZ-6-08_1</t>
  </si>
  <si>
    <t>LZ-6-08_2</t>
  </si>
  <si>
    <t>LZ-6-09_1</t>
  </si>
  <si>
    <t>LZ-7-03_1</t>
  </si>
  <si>
    <t>LZ-7-03_2</t>
  </si>
  <si>
    <t>LZ-7-03_3</t>
  </si>
  <si>
    <t>LZ-7-03_4</t>
  </si>
  <si>
    <t>LZ-7-03_5</t>
  </si>
  <si>
    <t>LZ-7-07_1</t>
  </si>
  <si>
    <t>LZ-7-07_2</t>
  </si>
  <si>
    <t>IH11/13/041</t>
  </si>
  <si>
    <t>IH11/13/042</t>
  </si>
  <si>
    <t>IH11/13/043</t>
  </si>
  <si>
    <t>IH11/13/044</t>
  </si>
  <si>
    <t>IH11/13/045</t>
  </si>
  <si>
    <t>IH11/13/046</t>
  </si>
  <si>
    <t>IH11/13/047</t>
  </si>
  <si>
    <t>IH11/13/048</t>
  </si>
  <si>
    <t>IH11/13/049</t>
  </si>
  <si>
    <t>IH11/13/0410</t>
  </si>
  <si>
    <t>IH11/13/0411</t>
  </si>
  <si>
    <t>IH11/13/0412</t>
  </si>
  <si>
    <t>IH11/13/0413</t>
  </si>
  <si>
    <t>IH11/13/0414</t>
  </si>
  <si>
    <t>IH11/13/0415</t>
  </si>
  <si>
    <t>IH11/13/0416</t>
  </si>
  <si>
    <t>IH11/13/0417</t>
  </si>
  <si>
    <t>IH11/13/0418</t>
  </si>
  <si>
    <t>IH11/13/0419</t>
  </si>
  <si>
    <t>IH11/13/0420</t>
  </si>
  <si>
    <t>IH11/13/0421</t>
  </si>
  <si>
    <t>IH11/13/0422</t>
  </si>
  <si>
    <t>IH11/13/051</t>
  </si>
  <si>
    <t>IH11/13/052</t>
  </si>
  <si>
    <t>IH11/13/053</t>
  </si>
  <si>
    <t>IH11/13/054</t>
  </si>
  <si>
    <t>IH11/13/055</t>
  </si>
  <si>
    <t>IH11/13/056</t>
  </si>
  <si>
    <t>IH11/13/057</t>
  </si>
  <si>
    <t>IH11/13/058</t>
  </si>
  <si>
    <t>IH11/13/059</t>
  </si>
  <si>
    <t>IH11/13/0510</t>
  </si>
  <si>
    <t>IH11/13/0511</t>
  </si>
  <si>
    <t>IH11/13/0512</t>
  </si>
  <si>
    <t>IH11/13/0513</t>
  </si>
  <si>
    <t>IH11/13/0514</t>
  </si>
  <si>
    <t>IH11/13/0515</t>
  </si>
  <si>
    <t>IH11/13/0516</t>
  </si>
  <si>
    <t>IH11/13/0517</t>
  </si>
  <si>
    <t>IH11/13/0518</t>
  </si>
  <si>
    <t>IH11/13/0519</t>
  </si>
  <si>
    <t>IH11/13/0520</t>
  </si>
  <si>
    <t>IH11/13/0521</t>
  </si>
  <si>
    <t>IH11/13/0522</t>
  </si>
  <si>
    <t>IH11/13/0523</t>
  </si>
  <si>
    <t>IH11/13/0524</t>
  </si>
  <si>
    <t>IH11/13/0525</t>
  </si>
  <si>
    <t>IH11/13/0526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</si>
  <si>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</si>
  <si>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</si>
  <si>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</si>
  <si>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</si>
  <si>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</si>
  <si>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</si>
  <si>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</si>
  <si>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</si>
  <si>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</si>
  <si>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CP110</t>
  </si>
  <si>
    <t>CP111</t>
  </si>
  <si>
    <t>CP112</t>
  </si>
  <si>
    <t>CP113</t>
  </si>
  <si>
    <t>GM13307i</t>
  </si>
  <si>
    <t>AugiteSyenite</t>
  </si>
  <si>
    <t>ALK</t>
  </si>
  <si>
    <t>Zirner et al 2015.</t>
  </si>
  <si>
    <t>GM13307c1</t>
  </si>
  <si>
    <t>GM13307c2</t>
  </si>
  <si>
    <t>GM13307c3</t>
  </si>
  <si>
    <t>GM13333a</t>
  </si>
  <si>
    <t>GM13335a</t>
  </si>
  <si>
    <t>GM18585_2</t>
  </si>
  <si>
    <t>GM18585_1</t>
  </si>
  <si>
    <t>KH157a</t>
  </si>
  <si>
    <t>KH155c</t>
  </si>
  <si>
    <t>KH155a</t>
  </si>
  <si>
    <t>KH157f</t>
  </si>
  <si>
    <t>GM18522_3e</t>
  </si>
  <si>
    <t>Phonolite</t>
  </si>
  <si>
    <t>GM18522_2g</t>
  </si>
  <si>
    <t>ID3A1a</t>
  </si>
  <si>
    <t>Agpaite</t>
  </si>
  <si>
    <t>ID3A1c</t>
  </si>
  <si>
    <t>ID3A4i</t>
  </si>
  <si>
    <t>ID3A4g</t>
  </si>
  <si>
    <t>ID3A1b</t>
  </si>
  <si>
    <t>ID3A4b</t>
  </si>
  <si>
    <t>ID3A4h</t>
  </si>
  <si>
    <t>ID3A4a</t>
  </si>
  <si>
    <t>ID3A1d</t>
  </si>
  <si>
    <t>ID3A4f</t>
  </si>
  <si>
    <t>ID93ab1</t>
  </si>
  <si>
    <t>GraniteSyeniteHybrid</t>
  </si>
  <si>
    <t>ID93ab2</t>
  </si>
  <si>
    <t>ID93c</t>
  </si>
  <si>
    <t>ID921a1</t>
  </si>
  <si>
    <t>ID921a2</t>
  </si>
  <si>
    <t>ID922b</t>
  </si>
  <si>
    <t>ID922c</t>
  </si>
  <si>
    <t>P-1-51a</t>
  </si>
  <si>
    <t>Pulaskite</t>
  </si>
  <si>
    <t>P-1-51i</t>
  </si>
  <si>
    <t>P-1-51e</t>
  </si>
  <si>
    <t>P-1-531a</t>
  </si>
  <si>
    <t>P-1-531e</t>
  </si>
  <si>
    <t>P-1-531f</t>
  </si>
  <si>
    <t>AL05-P04</t>
  </si>
  <si>
    <t>TypeAPhosphorite</t>
  </si>
  <si>
    <t>Joosu et al 2016.</t>
  </si>
  <si>
    <t>AL05-P05</t>
  </si>
  <si>
    <t>AL05-P02</t>
  </si>
  <si>
    <t>TypeBPhosphorite</t>
  </si>
  <si>
    <t>TypeCPhosphorite</t>
  </si>
  <si>
    <t>AL05-P06</t>
  </si>
  <si>
    <t>TypeDPhorsphorite</t>
  </si>
  <si>
    <t>87SMR63-1</t>
  </si>
  <si>
    <t>Alkali-feldspar syenite</t>
  </si>
  <si>
    <t>Mao et al. 2016</t>
  </si>
  <si>
    <t>87SMR63-2</t>
  </si>
  <si>
    <t>SMR63-4</t>
  </si>
  <si>
    <t>SMR63-5a</t>
  </si>
  <si>
    <t>SMR63-5b</t>
  </si>
  <si>
    <t>SMR63-6</t>
  </si>
  <si>
    <t>SMR63-7</t>
  </si>
  <si>
    <t>SMR63-8</t>
  </si>
  <si>
    <t>SMR63-9</t>
  </si>
  <si>
    <t>SMR63-10a</t>
  </si>
  <si>
    <t>SMR63-10b</t>
  </si>
  <si>
    <t>SMR63-11</t>
  </si>
  <si>
    <t>SMR63-12</t>
  </si>
  <si>
    <t>SMR63-13</t>
  </si>
  <si>
    <t>SMR63-14</t>
  </si>
  <si>
    <t>SMR63-15</t>
  </si>
  <si>
    <t>SMR63-16a</t>
  </si>
  <si>
    <t>SMR63-16b</t>
  </si>
  <si>
    <t>SMR63-18</t>
  </si>
  <si>
    <t>SMR63-19</t>
  </si>
  <si>
    <t>SMR63-20</t>
  </si>
  <si>
    <t>FE1-7</t>
  </si>
  <si>
    <t>Sövite</t>
  </si>
  <si>
    <t>FE1-6</t>
  </si>
  <si>
    <t>P2-036-1</t>
  </si>
  <si>
    <t>Apatite sövite</t>
  </si>
  <si>
    <t>P2-036-2</t>
  </si>
  <si>
    <t>NL-203A-1</t>
  </si>
  <si>
    <t>NL-203A-2</t>
  </si>
  <si>
    <t>LAC5-1</t>
  </si>
  <si>
    <t>LAC5-2</t>
  </si>
  <si>
    <t>BB-35-11</t>
  </si>
  <si>
    <t>Apatite-magnetite-pyroxene-phlogopite silicocarbonatite</t>
  </si>
  <si>
    <t>BB-35-10</t>
  </si>
  <si>
    <t>P21A\64.8-12</t>
  </si>
  <si>
    <t>Pyroxene phoscorite</t>
  </si>
  <si>
    <t>P21A\64.8-11</t>
  </si>
  <si>
    <t>STH-104-1</t>
  </si>
  <si>
    <t>Beforsite</t>
  </si>
  <si>
    <t>STH-104-2</t>
  </si>
  <si>
    <t>BI-101-11</t>
  </si>
  <si>
    <t>BI-101-10</t>
  </si>
  <si>
    <t>CI-100-1</t>
  </si>
  <si>
    <t>CI-100-3</t>
  </si>
  <si>
    <t>II-102-1</t>
  </si>
  <si>
    <t>II-102-3</t>
  </si>
  <si>
    <t>951-9-12</t>
  </si>
  <si>
    <t>Apatite-calcite-feldspar-biotite ijolite</t>
  </si>
  <si>
    <t>951-9-11</t>
  </si>
  <si>
    <t>MC-115-6</t>
  </si>
  <si>
    <t>MC-115-3</t>
  </si>
  <si>
    <t>CH-T2-5</t>
  </si>
  <si>
    <t>CH-T2-6</t>
  </si>
  <si>
    <t>J14-3</t>
  </si>
  <si>
    <t>J14-4</t>
  </si>
  <si>
    <t>L4-242-8</t>
  </si>
  <si>
    <t>Biotite-apatite sövite</t>
  </si>
  <si>
    <t>L4-242-7</t>
  </si>
  <si>
    <t>4-74D-2</t>
  </si>
  <si>
    <t>4-74D-4</t>
  </si>
  <si>
    <t>Kov783\141-2</t>
  </si>
  <si>
    <t>Pyroxene-apatite sövite</t>
  </si>
  <si>
    <t>Kov783\141-4</t>
  </si>
  <si>
    <t>C-18-30-1a</t>
  </si>
  <si>
    <t>Phlogopite-pyroxene phoscorite</t>
  </si>
  <si>
    <t>C-18-30-1b</t>
  </si>
  <si>
    <t>C-18-30-2a</t>
  </si>
  <si>
    <t>C-18-30-2b</t>
  </si>
  <si>
    <t>951-9-1</t>
  </si>
  <si>
    <t>AB3\Z92.3-1</t>
  </si>
  <si>
    <t>AB3\Z92.3-2</t>
  </si>
  <si>
    <t>H2-61-1</t>
  </si>
  <si>
    <t>H2-61-2</t>
  </si>
  <si>
    <t>BO-203-2</t>
  </si>
  <si>
    <t>BO-203-6</t>
  </si>
  <si>
    <t>G2\1201.4-2</t>
  </si>
  <si>
    <t>G2\1201.4-3</t>
  </si>
  <si>
    <t>CCM26\195.85-3</t>
  </si>
  <si>
    <t>Olivine-magnetite-phlogopite-apatite sövite</t>
  </si>
  <si>
    <t>CCM26\195.85-4</t>
  </si>
  <si>
    <t>154\2-1</t>
  </si>
  <si>
    <t>154\2-2</t>
  </si>
  <si>
    <t>158\25-1</t>
  </si>
  <si>
    <t>158\25-2</t>
  </si>
  <si>
    <t>4-ALV-1</t>
  </si>
  <si>
    <t>Olivine-phlogopite sövite</t>
  </si>
  <si>
    <t>4-ALV-2</t>
  </si>
  <si>
    <t>Sil106-3</t>
  </si>
  <si>
    <t>Sil106-4</t>
  </si>
  <si>
    <t>DOD-77-3a</t>
  </si>
  <si>
    <t>Biotite sövite</t>
  </si>
  <si>
    <t>DOD-77-3b</t>
  </si>
  <si>
    <t>DOD-77-5</t>
  </si>
  <si>
    <t>LSC-65-3</t>
  </si>
  <si>
    <t>LSC-65-5</t>
  </si>
  <si>
    <t>LSC-7912-2</t>
  </si>
  <si>
    <t>LSC-7912-3</t>
  </si>
  <si>
    <t>HC-Car-1</t>
  </si>
  <si>
    <t>Olivine-ilmenite-magnetite-apatite sövite</t>
  </si>
  <si>
    <t>HC-Car-2</t>
  </si>
  <si>
    <t>HC-Car-3</t>
  </si>
  <si>
    <t>HC-Car-4</t>
  </si>
  <si>
    <t>HC-Car-5</t>
  </si>
  <si>
    <t>HC-Car-6</t>
  </si>
  <si>
    <t>HC-Car-7</t>
  </si>
  <si>
    <t>HC-Car-8</t>
  </si>
  <si>
    <t>HC-Car-9</t>
  </si>
  <si>
    <t>JR3131-1-1</t>
  </si>
  <si>
    <t>Gabbro</t>
  </si>
  <si>
    <t>JR3131-1-4</t>
  </si>
  <si>
    <t>459-12-1</t>
  </si>
  <si>
    <t>459-12-2</t>
  </si>
  <si>
    <t>1275D-144-4</t>
  </si>
  <si>
    <t>1275D-144-6</t>
  </si>
  <si>
    <t>1270D-25-1</t>
  </si>
  <si>
    <t>1270-25-2</t>
  </si>
  <si>
    <t>JR3131-1-5</t>
  </si>
  <si>
    <t>JR3131-1-6</t>
  </si>
  <si>
    <t>JR3131-1-8</t>
  </si>
  <si>
    <t>459-12-3</t>
  </si>
  <si>
    <t>459-12-4</t>
  </si>
  <si>
    <t>459-12-5</t>
  </si>
  <si>
    <t>459-12-6</t>
  </si>
  <si>
    <t>459-12-7</t>
  </si>
  <si>
    <t>459-12-8</t>
  </si>
  <si>
    <t>459-12-9</t>
  </si>
  <si>
    <t>459-12-10</t>
  </si>
  <si>
    <t>459-12-11</t>
  </si>
  <si>
    <t>459-12-12</t>
  </si>
  <si>
    <t>459-12-13</t>
  </si>
  <si>
    <t>1270D-25-3</t>
  </si>
  <si>
    <t>1270D-25-4</t>
  </si>
  <si>
    <t>1270D-7</t>
  </si>
  <si>
    <t>1270D-8</t>
  </si>
  <si>
    <t>1270D-9</t>
  </si>
  <si>
    <t>1270D-10</t>
  </si>
  <si>
    <t>1270D-11</t>
  </si>
  <si>
    <t>1270D-12</t>
  </si>
  <si>
    <t>1270D-13</t>
  </si>
  <si>
    <t>1275D-7</t>
  </si>
  <si>
    <t>1275D-8</t>
  </si>
  <si>
    <t>1275D-9</t>
  </si>
  <si>
    <t>1275D-10</t>
  </si>
  <si>
    <t>1275D-11</t>
  </si>
  <si>
    <t>1275D-12</t>
  </si>
  <si>
    <t>894GZ1W-2a</t>
  </si>
  <si>
    <t>894GZ1W-3a</t>
  </si>
  <si>
    <t>894GZ1W-4a</t>
  </si>
  <si>
    <t>894GZ1W-5a</t>
  </si>
  <si>
    <t>894GZ1W-7a</t>
  </si>
  <si>
    <t>NZ10-14-5</t>
  </si>
  <si>
    <t>NZ10-14-7</t>
  </si>
  <si>
    <t>22-2R5-69-1</t>
  </si>
  <si>
    <t>22-2R5-69-2</t>
  </si>
  <si>
    <t>22-2R5-69-3</t>
  </si>
  <si>
    <t>22-2R5-69-4</t>
  </si>
  <si>
    <t>22-2R5-69-5</t>
  </si>
  <si>
    <t>22-2R5-69-6</t>
  </si>
  <si>
    <t>87SMR69-1</t>
  </si>
  <si>
    <t>Syenite-porphyry</t>
  </si>
  <si>
    <t>87SMR69-2</t>
  </si>
  <si>
    <t>87SMR69-3</t>
  </si>
  <si>
    <t>87SMR69-4</t>
  </si>
  <si>
    <t>87SMR69-5</t>
  </si>
  <si>
    <t>87SMR69-6</t>
  </si>
  <si>
    <t>87SMR69-7</t>
  </si>
  <si>
    <t>87SMR69-8</t>
  </si>
  <si>
    <t>87SMR69-9</t>
  </si>
  <si>
    <t>87SMR69-10</t>
  </si>
  <si>
    <t>87SMR69-11</t>
  </si>
  <si>
    <t>87SMR69-12</t>
  </si>
  <si>
    <t>87SMR69-13</t>
  </si>
  <si>
    <t>87SMR69-15</t>
  </si>
  <si>
    <t>87SMR69-16</t>
  </si>
  <si>
    <t>87SMR69-17</t>
  </si>
  <si>
    <t>87SMR69-18</t>
  </si>
  <si>
    <t>87SMR69-19</t>
  </si>
  <si>
    <t>87SMR69-20</t>
  </si>
  <si>
    <t>87SMR69-3a</t>
  </si>
  <si>
    <t>87SMR69-4a</t>
  </si>
  <si>
    <t>87SMR24-1</t>
  </si>
  <si>
    <t>Quartz monzonite</t>
  </si>
  <si>
    <t>87SMR24-2</t>
  </si>
  <si>
    <t>87SMR24-4</t>
  </si>
  <si>
    <t>87SMR24-5</t>
  </si>
  <si>
    <t>87SMR24-6</t>
  </si>
  <si>
    <t>87SMR24-7</t>
  </si>
  <si>
    <t>87SMR24-8</t>
  </si>
  <si>
    <t>87SMR24-12</t>
  </si>
  <si>
    <t>87SMR24-13</t>
  </si>
  <si>
    <t>87SMR24-14</t>
  </si>
  <si>
    <t>87SMR24-16</t>
  </si>
  <si>
    <t>87SMR24-19</t>
  </si>
  <si>
    <t>87SMR24-18</t>
  </si>
  <si>
    <t>87SMR5-2a</t>
  </si>
  <si>
    <t>87SMR5-3a</t>
  </si>
  <si>
    <t>87SMR5-6a</t>
  </si>
  <si>
    <t>87SMR5-1</t>
  </si>
  <si>
    <t>87SMR5-2</t>
  </si>
  <si>
    <t>87SMR5-3</t>
  </si>
  <si>
    <t>87SMR5-4</t>
  </si>
  <si>
    <t>87SMR5-5</t>
  </si>
  <si>
    <t>87SMR5-6</t>
  </si>
  <si>
    <t>87SMR5-7</t>
  </si>
  <si>
    <t>87SMR5-8</t>
  </si>
  <si>
    <t>87SMR5-9</t>
  </si>
  <si>
    <t>87SMR5-10</t>
  </si>
  <si>
    <t>87SMR5-11</t>
  </si>
  <si>
    <t>87SMR5-12</t>
  </si>
  <si>
    <t>87SMR5-13</t>
  </si>
  <si>
    <t>87SMR5-14</t>
  </si>
  <si>
    <t>87SMR5-15</t>
  </si>
  <si>
    <t>87SMR5-16</t>
  </si>
  <si>
    <t>87SMR5-17</t>
  </si>
  <si>
    <t>87SMR5-19</t>
  </si>
  <si>
    <t>87SMR10-9a</t>
  </si>
  <si>
    <t>Quartz syenite</t>
  </si>
  <si>
    <t>87SMR10-12a</t>
  </si>
  <si>
    <t>87SMR10-14a</t>
  </si>
  <si>
    <t>87SMR10-7</t>
  </si>
  <si>
    <t>87SMR10-6</t>
  </si>
  <si>
    <t>87SMR10-5</t>
  </si>
  <si>
    <t>87SMR10-9</t>
  </si>
  <si>
    <t>87SMR10-13</t>
  </si>
  <si>
    <t>87SMR10-14</t>
  </si>
  <si>
    <t>87SMR10-17</t>
  </si>
  <si>
    <t>87SMR10-19</t>
  </si>
  <si>
    <t>87SMR10-24</t>
  </si>
  <si>
    <t>87SMR48-1a</t>
  </si>
  <si>
    <t>87SMR48-2a</t>
  </si>
  <si>
    <t>87SMR48-3a</t>
  </si>
  <si>
    <t>87SMR48-3</t>
  </si>
  <si>
    <t>87SMR48-1</t>
  </si>
  <si>
    <t>87SMR48-2</t>
  </si>
  <si>
    <t>87SMR48-5</t>
  </si>
  <si>
    <t>87SMR48-6</t>
  </si>
  <si>
    <t>87SMR48-7</t>
  </si>
  <si>
    <t>87SMR48-8</t>
  </si>
  <si>
    <t>87SMR48-9</t>
  </si>
  <si>
    <t>87SMR48-10</t>
  </si>
  <si>
    <t>87SMR48-11</t>
  </si>
  <si>
    <t>87SMR48-14</t>
  </si>
  <si>
    <t>87SMR48-17</t>
  </si>
  <si>
    <t>87SMR48-20</t>
  </si>
  <si>
    <t>87SMR24-2a</t>
  </si>
  <si>
    <t>87SMR24-4a</t>
  </si>
  <si>
    <t>87SMR24-6a</t>
  </si>
  <si>
    <t>JLA481-1</t>
  </si>
  <si>
    <t>Diorite</t>
  </si>
  <si>
    <t>JLA481-2</t>
  </si>
  <si>
    <t>JLA481-3</t>
  </si>
  <si>
    <t>JLA481-4</t>
  </si>
  <si>
    <t>JLA481-5</t>
  </si>
  <si>
    <t>JLA481-6a</t>
  </si>
  <si>
    <t>JLA481-6b</t>
  </si>
  <si>
    <t>JLA481-7</t>
  </si>
  <si>
    <t>JLA481-8</t>
  </si>
  <si>
    <t>JLA481-9</t>
  </si>
  <si>
    <t>JLA481-10</t>
  </si>
  <si>
    <t>JLA481-11</t>
  </si>
  <si>
    <t>JLA481-12</t>
  </si>
  <si>
    <t>JLA481-13</t>
  </si>
  <si>
    <t>JLA481-14a</t>
  </si>
  <si>
    <t>JLA481-14b</t>
  </si>
  <si>
    <t>JLA481-15</t>
  </si>
  <si>
    <t>JLA481-16</t>
  </si>
  <si>
    <t>JLA481-17</t>
  </si>
  <si>
    <t>JLA481-29</t>
  </si>
  <si>
    <t>JLA481-19</t>
  </si>
  <si>
    <t>JLA481-20</t>
  </si>
  <si>
    <t>JLA481-21</t>
  </si>
  <si>
    <t>JLA481-22</t>
  </si>
  <si>
    <t>JLA481-2a</t>
  </si>
  <si>
    <t>JLA481-3a</t>
  </si>
  <si>
    <t>JLA481-5a</t>
  </si>
  <si>
    <t>JLA581-1</t>
  </si>
  <si>
    <t>JLA581-2</t>
  </si>
  <si>
    <t>JLA581-3</t>
  </si>
  <si>
    <t>JLA581-4</t>
  </si>
  <si>
    <t>JLA581-5</t>
  </si>
  <si>
    <t>JLA581-6</t>
  </si>
  <si>
    <t>JLA581-7</t>
  </si>
  <si>
    <t>JLA581-8</t>
  </si>
  <si>
    <t>JLA581-9</t>
  </si>
  <si>
    <t>JLA581-10a</t>
  </si>
  <si>
    <t>JLA581-10b</t>
  </si>
  <si>
    <t>JLA581-11</t>
  </si>
  <si>
    <t>JLA581-12</t>
  </si>
  <si>
    <t>JLA581-13</t>
  </si>
  <si>
    <t>JLA581-14</t>
  </si>
  <si>
    <t>JLA581-15</t>
  </si>
  <si>
    <t>JLA581-16</t>
  </si>
  <si>
    <t>JLA581-17</t>
  </si>
  <si>
    <t>JLA581-18</t>
  </si>
  <si>
    <t>JLA581-19</t>
  </si>
  <si>
    <t>JLA581-20</t>
  </si>
  <si>
    <t>JLA581-21</t>
  </si>
  <si>
    <t>JLA581-22</t>
  </si>
  <si>
    <t>JLA581-23</t>
  </si>
  <si>
    <t>JLA581-24a</t>
  </si>
  <si>
    <t>JLA581-24b</t>
  </si>
  <si>
    <t>JLA5101-1</t>
  </si>
  <si>
    <t>Granodiorite</t>
  </si>
  <si>
    <t>JLA5101-2</t>
  </si>
  <si>
    <t>JLA5101-3</t>
  </si>
  <si>
    <t>JLA5101-4</t>
  </si>
  <si>
    <t>JLA5101-5</t>
  </si>
  <si>
    <t>JLA5101-6</t>
  </si>
  <si>
    <t>JLA5101-7</t>
  </si>
  <si>
    <t>JLA5101-8</t>
  </si>
  <si>
    <t>JLA5101-9</t>
  </si>
  <si>
    <t>JLA5101-10</t>
  </si>
  <si>
    <t>JLA5101-11</t>
  </si>
  <si>
    <t>JLA5101-12</t>
  </si>
  <si>
    <t>JLA5101-13</t>
  </si>
  <si>
    <t>JLA5101-14</t>
  </si>
  <si>
    <t>JLA5101-15</t>
  </si>
  <si>
    <t>JLA5101-16</t>
  </si>
  <si>
    <t>JLA5101-17</t>
  </si>
  <si>
    <t>JLA5101-18</t>
  </si>
  <si>
    <t>JLA5101-19</t>
  </si>
  <si>
    <t>JLA5101-20</t>
  </si>
  <si>
    <t>JLA5101-21</t>
  </si>
  <si>
    <t>JLA5101-22</t>
  </si>
  <si>
    <t>JLA5101-23</t>
  </si>
  <si>
    <t>JLA5101-24</t>
  </si>
  <si>
    <t>GNX111-1</t>
  </si>
  <si>
    <t>GNX111-2</t>
  </si>
  <si>
    <t>GNX111-3</t>
  </si>
  <si>
    <t>GNX111-4</t>
  </si>
  <si>
    <t>GNX111-5</t>
  </si>
  <si>
    <t>GNX111-6</t>
  </si>
  <si>
    <t>GNX111-7</t>
  </si>
  <si>
    <t>GNX111-8</t>
  </si>
  <si>
    <t>GNX111-9</t>
  </si>
  <si>
    <t>IM</t>
  </si>
  <si>
    <t>PUMai1</t>
  </si>
  <si>
    <t>PUMai2</t>
  </si>
  <si>
    <t>UM</t>
  </si>
  <si>
    <t>LREE</t>
  </si>
  <si>
    <t>Sr/Y</t>
  </si>
  <si>
    <t>Pyrochlore-amphIMole-apatite beforsite</t>
  </si>
  <si>
    <t>Magnetite-phlogopite-amphIMole-apatite sövite</t>
  </si>
  <si>
    <t>Phlogopite-amphIMole sövite</t>
  </si>
  <si>
    <t>Lower Crustal Upr Amph.</t>
  </si>
  <si>
    <t>Lower Crustal Amph.-Granulite transition</t>
  </si>
  <si>
    <t>Lower Crustal Granulite</t>
  </si>
  <si>
    <t>Analysis Name</t>
  </si>
  <si>
    <t>Lithology Code</t>
  </si>
  <si>
    <t>Mafic Igneous</t>
  </si>
  <si>
    <t>Troc-Nel Hybrid</t>
  </si>
  <si>
    <t>LREE (La-Nd)</t>
  </si>
  <si>
    <t>Greenschist facies pelite</t>
  </si>
  <si>
    <t>Eclogite Facies Metabasite</t>
  </si>
  <si>
    <t>Blueschist Facies Metabasite</t>
  </si>
  <si>
    <t>Blueschist-Greenschist transition metabasite</t>
  </si>
  <si>
    <t>Greenschist Facies Metagreywacke</t>
  </si>
  <si>
    <t>Amphibolite facies Orthogneiss</t>
  </si>
  <si>
    <t>Amphibolite facies metabasite</t>
  </si>
  <si>
    <t>Amphibolite facies pelite</t>
  </si>
  <si>
    <t>Upper Greenschist facies pelite</t>
  </si>
  <si>
    <t>Amphibolite facies semipelite</t>
  </si>
  <si>
    <t>Paragneiss Upper Amphibolite</t>
  </si>
  <si>
    <t>Upper Amphibolite Paragneiss (leucosome present)</t>
  </si>
  <si>
    <t>Upper Amphibolite Paragneiss (leucosome?)</t>
  </si>
  <si>
    <t>EuAnom Arithmetic</t>
  </si>
  <si>
    <t>Joosu et al. 2015</t>
  </si>
  <si>
    <t>Key for Lithology Codes</t>
  </si>
  <si>
    <t>IM = Mafic I-type granitoids and Mafic Igneous rocks</t>
  </si>
  <si>
    <t>S = Felsic Granitoids (i.e. Aluminium Saturation Index &gt; 1.1)</t>
  </si>
  <si>
    <t>LM = Low- and medium-grade metamorphic rocks (i.e. sub-upper-amphibolite facies) and eclogites</t>
  </si>
  <si>
    <t>HM = High-grade (HT) metamorphic rocks and migmatites</t>
  </si>
  <si>
    <t>UM = Ultramafic rocks</t>
  </si>
  <si>
    <t>ALK = Alkali-rich igneous rocks</t>
  </si>
  <si>
    <t>AUT = Authigenic and fossil apatite</t>
  </si>
  <si>
    <t>All values are in ppm (except ratios, chondrite normalised values etc.), central values for each analysis provided only</t>
  </si>
  <si>
    <t>SmN, EuN and GdN are CI Chondrite Normalised values (McDonough &amp; Sun, 1995)</t>
  </si>
  <si>
    <t>EuAnom, Shields and Stille (2001)</t>
  </si>
  <si>
    <t>Sha &amp; Chappell 1999</t>
  </si>
  <si>
    <t>O'Reilly &amp; Griffin, 2000</t>
  </si>
  <si>
    <t>Age</t>
  </si>
  <si>
    <t>NA</t>
  </si>
  <si>
    <t>EuAnom, Lawrence and Kamber (2006)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</si>
</sst>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name val="Helvetica Neue"/>
    </font>
    <font>
      <b/>
      <sz val="12"/>
      <color theme="0"/>
      <name val="Helvetica Neue"/>
    </font>
    <font>
      <b/>
      <sz val="12"/>
      <color theme="1"/>
      <name val="Helvetica Neue"/>
    </font>
    <font>
      <sz val="12"/>
      <color theme="1"/>
      <name val="Helvetica Neue"/>
    </font>
    <font>
      <sz val="12"/>
      <color theme="0"/>
      <name val="Helvetica Neue"/>
    </font>
    <font>
      <sz val="12"/>
      <name val="Helvetica Neue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rgb="FFFFFFFF"/>
      <name val="Helvetica Neu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1FF06"/>
        <bgColor indexed="64"/>
      </patternFill>
    </fill>
    <fill>
      <patternFill patternType="solid">
        <fgColor rgb="FFFC02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800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D6666"/>
        <bgColor indexed="64"/>
      </patternFill>
    </fill>
    <fill>
      <patternFill patternType="solid">
        <fgColor rgb="FFFD6666"/>
        <bgColor rgb="FF000000"/>
      </patternFill>
    </fill>
    <fill>
      <patternFill patternType="solid">
        <fgColor rgb="FFFD6FC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4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6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6" fillId="5" borderId="0" xfId="0" applyNumberFormat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Alignment="1">
      <alignment horizontal="center" vertical="center"/>
    </xf>
    <xf numFmtId="0" fontId="8" fillId="7" borderId="0" xfId="0" applyNumberFormat="1" applyFont="1" applyFill="1" applyAlignment="1">
      <alignment horizontal="center" vertical="center"/>
    </xf>
    <xf numFmtId="0" fontId="8" fillId="6" borderId="0" xfId="0" applyNumberFormat="1" applyFont="1" applyFill="1" applyAlignment="1">
      <alignment horizontal="center" vertical="center"/>
    </xf>
    <xf numFmtId="0" fontId="9" fillId="5" borderId="0" xfId="0" applyNumberFormat="1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8" fillId="8" borderId="0" xfId="0" applyNumberFormat="1" applyFont="1" applyFill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0" fontId="8" fillId="10" borderId="0" xfId="0" applyNumberFormat="1" applyFont="1" applyFill="1" applyAlignment="1">
      <alignment horizontal="center" vertical="center"/>
    </xf>
    <xf numFmtId="0" fontId="8" fillId="11" borderId="0" xfId="0" applyNumberFormat="1" applyFont="1" applyFill="1" applyAlignment="1">
      <alignment horizontal="center" vertical="center"/>
    </xf>
    <xf numFmtId="0" fontId="8" fillId="12" borderId="0" xfId="0" applyNumberFormat="1" applyFont="1" applyFill="1" applyAlignment="1">
      <alignment horizontal="center" vertical="center"/>
    </xf>
    <xf numFmtId="0" fontId="9" fillId="5" borderId="0" xfId="4" applyNumberFormat="1" applyFont="1" applyFill="1" applyBorder="1" applyAlignment="1">
      <alignment horizontal="center" vertical="center"/>
    </xf>
    <xf numFmtId="0" fontId="9" fillId="5" borderId="0" xfId="5" applyNumberFormat="1" applyFont="1" applyFill="1" applyBorder="1" applyAlignment="1">
      <alignment horizontal="center" vertical="center"/>
    </xf>
    <xf numFmtId="0" fontId="8" fillId="8" borderId="0" xfId="4" applyNumberFormat="1" applyFont="1" applyFill="1" applyBorder="1" applyAlignment="1">
      <alignment horizontal="center" vertical="center"/>
    </xf>
    <xf numFmtId="0" fontId="9" fillId="5" borderId="0" xfId="6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5" borderId="0" xfId="7" applyNumberFormat="1" applyFont="1" applyFill="1" applyBorder="1" applyAlignment="1">
      <alignment horizontal="center" vertical="center"/>
    </xf>
    <xf numFmtId="0" fontId="8" fillId="7" borderId="0" xfId="5" applyNumberFormat="1" applyFont="1" applyFill="1" applyBorder="1" applyAlignment="1">
      <alignment horizontal="center" vertical="center"/>
    </xf>
    <xf numFmtId="0" fontId="9" fillId="5" borderId="0" xfId="8" applyNumberFormat="1" applyFont="1" applyFill="1" applyBorder="1" applyAlignment="1">
      <alignment horizontal="center" vertical="center"/>
    </xf>
    <xf numFmtId="0" fontId="8" fillId="9" borderId="0" xfId="8" applyNumberFormat="1" applyFont="1" applyFill="1" applyBorder="1" applyAlignment="1">
      <alignment horizontal="center" vertical="center"/>
    </xf>
    <xf numFmtId="0" fontId="8" fillId="6" borderId="0" xfId="8" applyNumberFormat="1" applyFont="1" applyFill="1" applyBorder="1" applyAlignment="1">
      <alignment horizontal="center" vertical="center"/>
    </xf>
    <xf numFmtId="0" fontId="9" fillId="5" borderId="0" xfId="2" applyNumberFormat="1" applyFont="1" applyFill="1" applyBorder="1" applyAlignment="1">
      <alignment horizontal="center" vertical="center"/>
    </xf>
    <xf numFmtId="0" fontId="9" fillId="5" borderId="0" xfId="1" applyNumberFormat="1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9" fillId="5" borderId="0" xfId="2" applyNumberFormat="1" applyFont="1" applyFill="1" applyAlignment="1">
      <alignment horizontal="center" vertical="center"/>
    </xf>
    <xf numFmtId="0" fontId="7" fillId="13" borderId="0" xfId="0" applyNumberFormat="1" applyFont="1" applyFill="1" applyAlignment="1">
      <alignment horizontal="center" vertical="center"/>
    </xf>
    <xf numFmtId="0" fontId="8" fillId="14" borderId="0" xfId="0" applyNumberFormat="1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0" fillId="5" borderId="0" xfId="0" applyFill="1"/>
    <xf numFmtId="1" fontId="6" fillId="5" borderId="0" xfId="0" applyNumberFormat="1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1" fontId="0" fillId="5" borderId="0" xfId="0" applyNumberFormat="1" applyFill="1"/>
    <xf numFmtId="165" fontId="6" fillId="5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0" fillId="5" borderId="0" xfId="0" applyNumberFormat="1" applyFill="1"/>
    <xf numFmtId="0" fontId="9" fillId="13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8" fillId="13" borderId="0" xfId="0" applyNumberFormat="1" applyFont="1" applyFill="1" applyAlignment="1">
      <alignment horizontal="center" vertical="center"/>
    </xf>
    <xf numFmtId="0" fontId="0" fillId="0" borderId="0" xfId="0" applyFill="1"/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6" fillId="5" borderId="0" xfId="0" applyNumberFormat="1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7" borderId="0" xfId="0" applyNumberFormat="1" applyFont="1" applyFill="1" applyAlignment="1">
      <alignment horizontal="left" vertical="center"/>
    </xf>
    <xf numFmtId="0" fontId="5" fillId="16" borderId="0" xfId="0" applyNumberFormat="1" applyFont="1" applyFill="1" applyAlignment="1">
      <alignment horizontal="left" vertical="center"/>
    </xf>
    <xf numFmtId="0" fontId="5" fillId="9" borderId="0" xfId="0" applyNumberFormat="1" applyFont="1" applyFill="1" applyAlignment="1">
      <alignment horizontal="left" vertical="center"/>
    </xf>
    <xf numFmtId="0" fontId="5" fillId="13" borderId="0" xfId="0" applyNumberFormat="1" applyFont="1" applyFill="1" applyAlignment="1">
      <alignment horizontal="left" vertical="center"/>
    </xf>
    <xf numFmtId="0" fontId="5" fillId="17" borderId="0" xfId="0" applyNumberFormat="1" applyFont="1" applyFill="1" applyAlignment="1">
      <alignment horizontal="left" vertical="center"/>
    </xf>
    <xf numFmtId="0" fontId="5" fillId="14" borderId="0" xfId="0" applyNumberFormat="1" applyFont="1" applyFill="1" applyAlignment="1">
      <alignment horizontal="left" vertical="center"/>
    </xf>
    <xf numFmtId="0" fontId="5" fillId="18" borderId="0" xfId="0" applyNumberFormat="1" applyFont="1" applyFill="1" applyAlignment="1">
      <alignment horizontal="left" vertical="center"/>
    </xf>
    <xf numFmtId="0" fontId="5" fillId="5" borderId="0" xfId="0" applyNumberFormat="1" applyFont="1" applyFill="1" applyAlignment="1">
      <alignment horizontal="left" vertical="center"/>
    </xf>
  </cellXfs>
  <cellStyles count="31"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Good" xfId="1" builtinId="26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Input" xfId="3" builtinId="20"/>
    <cellStyle name="Neutral" xfId="2" builtinId="28"/>
    <cellStyle name="Normal" xfId="0" builtinId="0"/>
    <cellStyle name="Normal 2" xfId="8"/>
    <cellStyle name="一般_Apa_1Cc" xfId="6"/>
    <cellStyle name="一般_Apa_4C" xfId="4"/>
    <cellStyle name="一般_Apatite-003_004" xfId="7"/>
    <cellStyle name="一般_EPMA" xfId="5"/>
  </cellStyles>
  <dxfs count="2">
    <dxf>
      <numFmt numFmtId="1" formatCode="0"/>
    </dxf>
    <dxf>
      <numFmt numFmtId="1" formatCode="0"/>
    </dxf>
  </dxfs>
  <tableStyles count="0" defaultTableStyle="TableStyleMedium9" defaultPivotStyle="PivotStyleMedium4"/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theme" Target="theme/theme1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03"/>
  <sheetViews>
    <sheetView topLeftCell="L1" zoomScale="50" zoomScaleNormal="50" zoomScalePageLayoutView="50" workbookViewId="0">
      <selection activeCell="AN13" sqref="AN13"/>
    </sheetView>
  </sheetViews>
  <sheetFormatPr baseColWidth="10" defaultRowHeight="19" customHeight="1" x14ac:dyDescent="0"/>
  <cols>
    <col min="1" max="1" bestFit="true" customWidth="true" width="22.0" collapsed="true"/>
    <col min="2" max="2" bestFit="true" customWidth="true" width="51.83203125" collapsed="true"/>
    <col min="3" max="3" customWidth="true" width="96.5" collapsed="true"/>
    <col min="4" max="4" customWidth="true" width="6.83203125" collapsed="true"/>
    <col min="5" max="5" bestFit="true" customWidth="true" width="15.6640625" collapsed="true"/>
    <col min="6" max="6" bestFit="true" customWidth="true" width="12.33203125" collapsed="true"/>
    <col min="7" max="7" bestFit="true" customWidth="true" width="26.5" collapsed="true"/>
    <col min="8" max="26" bestFit="true" customWidth="true" width="14.0" collapsed="true"/>
    <col min="27" max="27" bestFit="true" customWidth="true" width="7.0" collapsed="true"/>
    <col min="29" max="29" bestFit="true" customWidth="true" width="8.5" collapsed="true"/>
    <col min="30" max="30" bestFit="true" customWidth="true" width="7.33203125" collapsed="true"/>
    <col min="31" max="32" bestFit="true" customWidth="true" width="8.5" collapsed="true"/>
    <col min="33" max="33" bestFit="true" customWidth="true" width="19.5" collapsed="true"/>
    <col min="34" max="34" bestFit="true" customWidth="true" width="33.5" collapsed="true"/>
    <col min="35" max="35" bestFit="true" customWidth="true" width="37.1640625" collapsed="true"/>
    <col min="36" max="36" bestFit="true" customWidth="true" style="42" width="14.5" collapsed="true"/>
    <col min="37" max="37" style="45" width="10.83203125" collapsed="true"/>
    <col min="38" max="39" style="39" width="10.83203125" collapsed="true"/>
  </cols>
  <sheetData>
    <row r="1" spans="1:42" ht="19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42" ht="19" customHeight="1">
      <c r="A2" s="39"/>
      <c r="B2" s="52" t="s">
        <v>1381</v>
      </c>
      <c r="C2" s="52"/>
      <c r="D2" s="52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53" t="s">
        <v>1382</v>
      </c>
      <c r="AD2" s="39"/>
      <c r="AE2" s="39"/>
      <c r="AF2" s="39"/>
      <c r="AG2" s="39"/>
      <c r="AH2" s="39"/>
      <c r="AI2" s="39"/>
      <c r="AN2" s="49"/>
      <c r="AO2" s="49"/>
      <c r="AP2" s="49"/>
    </row>
    <row r="3" spans="1:42" ht="19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N3" s="49"/>
      <c r="AO3" s="49"/>
      <c r="AP3" s="49"/>
    </row>
    <row r="4" spans="1:42" s="8" customFormat="1" ht="19" customHeight="1">
      <c r="A4" s="1" t="s">
        <v>1353</v>
      </c>
      <c r="B4" s="2" t="s">
        <v>1</v>
      </c>
      <c r="C4" s="2" t="s">
        <v>1373</v>
      </c>
      <c r="D4" s="2"/>
      <c r="E4" s="2" t="s">
        <v>1354</v>
      </c>
      <c r="F4" s="2" t="s">
        <v>2</v>
      </c>
      <c r="G4" s="4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/>
      <c r="AC4" s="5" t="s">
        <v>24</v>
      </c>
      <c r="AD4" s="5" t="s">
        <v>25</v>
      </c>
      <c r="AE4" s="5" t="s">
        <v>26</v>
      </c>
      <c r="AF4" s="5" t="s">
        <v>27</v>
      </c>
      <c r="AG4" s="6" t="s">
        <v>1371</v>
      </c>
      <c r="AH4" s="6" t="s">
        <v>1383</v>
      </c>
      <c r="AI4" s="6" t="s">
        <v>1388</v>
      </c>
      <c r="AJ4" s="40" t="s">
        <v>1357</v>
      </c>
      <c r="AK4" s="43" t="s">
        <v>1346</v>
      </c>
      <c r="AL4" s="7"/>
      <c r="AM4" s="7"/>
      <c r="AN4" s="50"/>
      <c r="AO4" s="50"/>
      <c r="AP4" s="50"/>
    </row>
    <row r="5" spans="1:42" s="16" customFormat="1" ht="19" customHeight="1">
      <c r="A5" s="9" t="s">
        <v>28</v>
      </c>
      <c r="B5" s="10" t="s">
        <v>29</v>
      </c>
      <c r="C5" s="56" t="s">
        <v>1374</v>
      </c>
      <c r="D5" s="63"/>
      <c r="E5" s="11" t="s">
        <v>1341</v>
      </c>
      <c r="F5" s="11" t="s">
        <v>30</v>
      </c>
      <c r="G5" s="12" t="s">
        <v>31</v>
      </c>
      <c r="H5" s="13">
        <v>121</v>
      </c>
      <c r="I5" s="13">
        <v>27</v>
      </c>
      <c r="J5" s="13">
        <v>2363</v>
      </c>
      <c r="K5" s="13">
        <v>3988</v>
      </c>
      <c r="L5" s="13">
        <v>393</v>
      </c>
      <c r="M5" s="13">
        <v>134</v>
      </c>
      <c r="N5" s="13">
        <v>1347</v>
      </c>
      <c r="O5" s="13">
        <v>194</v>
      </c>
      <c r="P5" s="13">
        <v>23</v>
      </c>
      <c r="Q5" s="13">
        <v>177</v>
      </c>
      <c r="R5" s="13"/>
      <c r="S5" s="13">
        <v>148</v>
      </c>
      <c r="T5" s="13">
        <v>958</v>
      </c>
      <c r="U5" s="13">
        <v>29</v>
      </c>
      <c r="V5" s="13">
        <v>85</v>
      </c>
      <c r="W5" s="13">
        <v>12</v>
      </c>
      <c r="X5" s="13">
        <v>79</v>
      </c>
      <c r="Y5" s="13">
        <v>13</v>
      </c>
      <c r="Z5" s="13">
        <v>203</v>
      </c>
      <c r="AA5" s="13"/>
      <c r="AB5" s="13"/>
      <c r="AC5" s="14">
        <v>1310.8108108108108</v>
      </c>
      <c r="AD5" s="14">
        <v>408.5257548845471</v>
      </c>
      <c r="AE5" s="14">
        <v>889.4472361809045</v>
      </c>
      <c r="AF5" s="14"/>
      <c r="AG5" s="15">
        <v>0.37134349349895623</v>
      </c>
      <c r="AH5" s="15">
        <v>0.37834616735314636</v>
      </c>
      <c r="AI5" s="15"/>
      <c r="AJ5" s="41">
        <f>J5+K5+L5+N5</f>
        <v>8091</v>
      </c>
      <c r="AK5" s="44">
        <f>M5/T5</f>
        <v>0.13987473903966596</v>
      </c>
      <c r="AL5" s="10"/>
      <c r="AM5" s="10"/>
      <c r="AN5" s="51"/>
      <c r="AO5" s="51"/>
      <c r="AP5" s="51"/>
    </row>
    <row r="6" spans="1:42" s="16" customFormat="1" ht="19" customHeight="1">
      <c r="A6" s="9" t="s">
        <v>32</v>
      </c>
      <c r="B6" s="10" t="s">
        <v>29</v>
      </c>
      <c r="C6" s="57" t="s">
        <v>1375</v>
      </c>
      <c r="D6" s="63"/>
      <c r="E6" s="11" t="s">
        <v>1341</v>
      </c>
      <c r="F6" s="11" t="s">
        <v>30</v>
      </c>
      <c r="G6" s="12" t="s">
        <v>31</v>
      </c>
      <c r="H6" s="13">
        <v>110</v>
      </c>
      <c r="I6" s="13">
        <v>37</v>
      </c>
      <c r="J6" s="13">
        <v>1976</v>
      </c>
      <c r="K6" s="13">
        <v>3790</v>
      </c>
      <c r="L6" s="13">
        <v>372</v>
      </c>
      <c r="M6" s="13">
        <v>108</v>
      </c>
      <c r="N6" s="13">
        <v>1210</v>
      </c>
      <c r="O6" s="13">
        <v>166</v>
      </c>
      <c r="P6" s="13">
        <v>24</v>
      </c>
      <c r="Q6" s="13">
        <v>147</v>
      </c>
      <c r="R6" s="13"/>
      <c r="S6" s="13">
        <v>116</v>
      </c>
      <c r="T6" s="13">
        <v>868</v>
      </c>
      <c r="U6" s="13">
        <v>25</v>
      </c>
      <c r="V6" s="13">
        <v>78</v>
      </c>
      <c r="W6" s="13">
        <v>11</v>
      </c>
      <c r="X6" s="13">
        <v>80</v>
      </c>
      <c r="Y6" s="13">
        <v>15</v>
      </c>
      <c r="Z6" s="13">
        <v>222</v>
      </c>
      <c r="AA6" s="13"/>
      <c r="AB6" s="13"/>
      <c r="AC6" s="14">
        <v>1121.6216216216217</v>
      </c>
      <c r="AD6" s="14">
        <v>426.28774422735347</v>
      </c>
      <c r="AE6" s="14">
        <v>738.6934673366834</v>
      </c>
      <c r="AF6" s="14"/>
      <c r="AG6" s="15">
        <v>0.45829628191217425</v>
      </c>
      <c r="AH6" s="15">
        <v>0.468325204430454</v>
      </c>
      <c r="AI6" s="15"/>
      <c r="AJ6" s="41">
        <f t="shared" ref="AJ6:AJ69" si="0">J6+K6+L6+N6</f>
        <v>7348</v>
      </c>
      <c r="AK6" s="44">
        <f t="shared" ref="AK6:AK69" si="1">M6/T6</f>
        <v>0.12442396313364056</v>
      </c>
      <c r="AL6" s="10"/>
      <c r="AM6" s="10"/>
      <c r="AN6" s="51"/>
      <c r="AO6" s="51"/>
      <c r="AP6" s="51"/>
    </row>
    <row r="7" spans="1:42" s="16" customFormat="1" ht="19" customHeight="1">
      <c r="A7" s="9" t="s">
        <v>33</v>
      </c>
      <c r="B7" s="10" t="s">
        <v>29</v>
      </c>
      <c r="C7" s="58" t="s">
        <v>1376</v>
      </c>
      <c r="D7" s="63"/>
      <c r="E7" s="11" t="s">
        <v>1341</v>
      </c>
      <c r="F7" s="11" t="s">
        <v>30</v>
      </c>
      <c r="G7" s="12" t="s">
        <v>31</v>
      </c>
      <c r="H7" s="13">
        <v>85</v>
      </c>
      <c r="I7" s="13">
        <v>36</v>
      </c>
      <c r="J7" s="13">
        <v>1790</v>
      </c>
      <c r="K7" s="13">
        <v>4036</v>
      </c>
      <c r="L7" s="13">
        <v>446</v>
      </c>
      <c r="M7" s="13">
        <v>88</v>
      </c>
      <c r="N7" s="13">
        <v>1492</v>
      </c>
      <c r="O7" s="13">
        <v>212</v>
      </c>
      <c r="P7" s="13">
        <v>27</v>
      </c>
      <c r="Q7" s="13">
        <v>177</v>
      </c>
      <c r="R7" s="13"/>
      <c r="S7" s="13">
        <v>140</v>
      </c>
      <c r="T7" s="13">
        <v>1054</v>
      </c>
      <c r="U7" s="13">
        <v>32</v>
      </c>
      <c r="V7" s="13">
        <v>90</v>
      </c>
      <c r="W7" s="13">
        <v>14</v>
      </c>
      <c r="X7" s="13">
        <v>95</v>
      </c>
      <c r="Y7" s="13">
        <v>16</v>
      </c>
      <c r="Z7" s="13">
        <v>220</v>
      </c>
      <c r="AA7" s="13"/>
      <c r="AB7" s="13"/>
      <c r="AC7" s="14">
        <v>1432.4324324324325</v>
      </c>
      <c r="AD7" s="14">
        <v>479.5737122557727</v>
      </c>
      <c r="AE7" s="14">
        <v>889.4472361809045</v>
      </c>
      <c r="AF7" s="14"/>
      <c r="AG7" s="15">
        <v>0.41309092692316968</v>
      </c>
      <c r="AH7" s="15">
        <v>0.42487208853106267</v>
      </c>
      <c r="AI7" s="15"/>
      <c r="AJ7" s="41">
        <f t="shared" si="0"/>
        <v>7764</v>
      </c>
      <c r="AK7" s="44">
        <f t="shared" si="1"/>
        <v>8.3491461100569264E-2</v>
      </c>
      <c r="AL7" s="10"/>
      <c r="AM7" s="10"/>
      <c r="AN7" s="51"/>
      <c r="AO7" s="51"/>
      <c r="AP7" s="51"/>
    </row>
    <row r="8" spans="1:42" s="16" customFormat="1" ht="19" customHeight="1">
      <c r="A8" s="9" t="s">
        <v>34</v>
      </c>
      <c r="B8" s="10" t="s">
        <v>29</v>
      </c>
      <c r="C8" s="59" t="s">
        <v>1377</v>
      </c>
      <c r="D8" s="63"/>
      <c r="E8" s="11" t="s">
        <v>1341</v>
      </c>
      <c r="F8" s="11" t="s">
        <v>30</v>
      </c>
      <c r="G8" s="12" t="s">
        <v>31</v>
      </c>
      <c r="H8" s="13">
        <v>46</v>
      </c>
      <c r="I8" s="13">
        <v>7</v>
      </c>
      <c r="J8" s="13">
        <v>1389</v>
      </c>
      <c r="K8" s="13">
        <v>3972</v>
      </c>
      <c r="L8" s="13">
        <v>554</v>
      </c>
      <c r="M8" s="13">
        <v>50</v>
      </c>
      <c r="N8" s="13">
        <v>2335</v>
      </c>
      <c r="O8" s="13">
        <v>477</v>
      </c>
      <c r="P8" s="13">
        <v>25</v>
      </c>
      <c r="Q8" s="13">
        <v>480</v>
      </c>
      <c r="R8" s="13"/>
      <c r="S8" s="13">
        <v>358</v>
      </c>
      <c r="T8" s="13">
        <v>2649</v>
      </c>
      <c r="U8" s="13">
        <v>72</v>
      </c>
      <c r="V8" s="13">
        <v>201</v>
      </c>
      <c r="W8" s="13">
        <v>29</v>
      </c>
      <c r="X8" s="13">
        <v>198</v>
      </c>
      <c r="Y8" s="13">
        <v>33</v>
      </c>
      <c r="Z8" s="13">
        <v>159</v>
      </c>
      <c r="AA8" s="13"/>
      <c r="AB8" s="13"/>
      <c r="AC8" s="14">
        <v>3222.9729729729729</v>
      </c>
      <c r="AD8" s="14">
        <v>444.0497335701599</v>
      </c>
      <c r="AE8" s="14">
        <v>2412.0603015075376</v>
      </c>
      <c r="AF8" s="14"/>
      <c r="AG8" s="15">
        <v>0.15760323389078709</v>
      </c>
      <c r="AH8" s="15">
        <v>0.15926091315559118</v>
      </c>
      <c r="AI8" s="15"/>
      <c r="AJ8" s="41">
        <f t="shared" si="0"/>
        <v>8250</v>
      </c>
      <c r="AK8" s="44">
        <f t="shared" si="1"/>
        <v>1.8875047187617969E-2</v>
      </c>
      <c r="AL8" s="10"/>
      <c r="AM8" s="10"/>
      <c r="AN8" s="51"/>
      <c r="AO8" s="51"/>
      <c r="AP8" s="51"/>
    </row>
    <row r="9" spans="1:42" s="16" customFormat="1" ht="19" customHeight="1">
      <c r="A9" s="9" t="s">
        <v>35</v>
      </c>
      <c r="B9" s="10" t="s">
        <v>29</v>
      </c>
      <c r="C9" s="60" t="s">
        <v>1378</v>
      </c>
      <c r="D9" s="63"/>
      <c r="E9" s="11" t="s">
        <v>1341</v>
      </c>
      <c r="F9" s="11" t="s">
        <v>30</v>
      </c>
      <c r="G9" s="12" t="s">
        <v>31</v>
      </c>
      <c r="H9" s="13">
        <v>209</v>
      </c>
      <c r="I9" s="13">
        <v>26</v>
      </c>
      <c r="J9" s="13">
        <v>3329</v>
      </c>
      <c r="K9" s="13">
        <v>4938</v>
      </c>
      <c r="L9" s="13">
        <v>477</v>
      </c>
      <c r="M9" s="13">
        <v>218</v>
      </c>
      <c r="N9" s="13">
        <v>1615</v>
      </c>
      <c r="O9" s="13">
        <v>219</v>
      </c>
      <c r="P9" s="13">
        <v>40</v>
      </c>
      <c r="Q9" s="13">
        <v>195</v>
      </c>
      <c r="R9" s="13"/>
      <c r="S9" s="13">
        <v>135</v>
      </c>
      <c r="T9" s="13">
        <v>829</v>
      </c>
      <c r="U9" s="13">
        <v>28</v>
      </c>
      <c r="V9" s="13">
        <v>73</v>
      </c>
      <c r="W9" s="13">
        <v>9</v>
      </c>
      <c r="X9" s="13">
        <v>57</v>
      </c>
      <c r="Y9" s="13">
        <v>10</v>
      </c>
      <c r="Z9" s="13">
        <v>340</v>
      </c>
      <c r="AA9" s="13"/>
      <c r="AB9" s="13"/>
      <c r="AC9" s="14">
        <v>1479.7297297297298</v>
      </c>
      <c r="AD9" s="14">
        <v>710.47957371225584</v>
      </c>
      <c r="AE9" s="14">
        <v>979.89949748743709</v>
      </c>
      <c r="AF9" s="14"/>
      <c r="AG9" s="15">
        <v>0.57771274292109054</v>
      </c>
      <c r="AH9" s="15">
        <v>0.59002393448731894</v>
      </c>
      <c r="AI9" s="15"/>
      <c r="AJ9" s="41">
        <f t="shared" si="0"/>
        <v>10359</v>
      </c>
      <c r="AK9" s="44">
        <f t="shared" si="1"/>
        <v>0.26296743063932448</v>
      </c>
      <c r="AL9" s="10"/>
      <c r="AM9" s="10"/>
    </row>
    <row r="10" spans="1:42" s="16" customFormat="1" ht="19" customHeight="1">
      <c r="A10" s="9" t="s">
        <v>36</v>
      </c>
      <c r="B10" s="10" t="s">
        <v>29</v>
      </c>
      <c r="C10" s="61" t="s">
        <v>1379</v>
      </c>
      <c r="D10" s="63"/>
      <c r="E10" s="11" t="s">
        <v>1341</v>
      </c>
      <c r="F10" s="11" t="s">
        <v>30</v>
      </c>
      <c r="G10" s="12" t="s">
        <v>31</v>
      </c>
      <c r="H10" s="13">
        <v>142</v>
      </c>
      <c r="I10" s="13">
        <v>28</v>
      </c>
      <c r="J10" s="13">
        <v>2562</v>
      </c>
      <c r="K10" s="13">
        <v>6259</v>
      </c>
      <c r="L10" s="13">
        <v>696</v>
      </c>
      <c r="M10" s="13">
        <v>46</v>
      </c>
      <c r="N10" s="13">
        <v>2261</v>
      </c>
      <c r="O10" s="13">
        <v>335</v>
      </c>
      <c r="P10" s="13">
        <v>26</v>
      </c>
      <c r="Q10" s="13">
        <v>306</v>
      </c>
      <c r="R10" s="13"/>
      <c r="S10" s="13">
        <v>247</v>
      </c>
      <c r="T10" s="13">
        <v>1795</v>
      </c>
      <c r="U10" s="13">
        <v>54</v>
      </c>
      <c r="V10" s="13">
        <v>159</v>
      </c>
      <c r="W10" s="13">
        <v>23</v>
      </c>
      <c r="X10" s="13">
        <v>163</v>
      </c>
      <c r="Y10" s="13">
        <v>27</v>
      </c>
      <c r="Z10" s="13">
        <v>393</v>
      </c>
      <c r="AA10" s="13"/>
      <c r="AB10" s="13"/>
      <c r="AC10" s="14">
        <v>2263.5135135135138</v>
      </c>
      <c r="AD10" s="14">
        <v>461.81172291296627</v>
      </c>
      <c r="AE10" s="14">
        <v>1537.6884422110552</v>
      </c>
      <c r="AF10" s="14"/>
      <c r="AG10" s="15">
        <v>0.24298194533835954</v>
      </c>
      <c r="AH10" s="15">
        <v>0.24753649216068413</v>
      </c>
      <c r="AI10" s="15"/>
      <c r="AJ10" s="41">
        <f t="shared" si="0"/>
        <v>11778</v>
      </c>
      <c r="AK10" s="44">
        <f t="shared" si="1"/>
        <v>2.5626740947075208E-2</v>
      </c>
      <c r="AL10" s="10"/>
      <c r="AM10" s="10"/>
    </row>
    <row r="11" spans="1:42" s="16" customFormat="1" ht="19" customHeight="1">
      <c r="A11" s="9" t="s">
        <v>37</v>
      </c>
      <c r="B11" s="10" t="s">
        <v>29</v>
      </c>
      <c r="C11" s="62" t="s">
        <v>1380</v>
      </c>
      <c r="D11" s="63"/>
      <c r="E11" s="11" t="s">
        <v>1341</v>
      </c>
      <c r="F11" s="11" t="s">
        <v>30</v>
      </c>
      <c r="G11" s="12" t="s">
        <v>31</v>
      </c>
      <c r="H11" s="13">
        <v>158</v>
      </c>
      <c r="I11" s="13">
        <v>59</v>
      </c>
      <c r="J11" s="13">
        <v>2230</v>
      </c>
      <c r="K11" s="13">
        <v>3959</v>
      </c>
      <c r="L11" s="13">
        <v>394</v>
      </c>
      <c r="M11" s="13">
        <v>145</v>
      </c>
      <c r="N11" s="13">
        <v>1274</v>
      </c>
      <c r="O11" s="13">
        <v>161</v>
      </c>
      <c r="P11" s="13">
        <v>31</v>
      </c>
      <c r="Q11" s="13">
        <v>146</v>
      </c>
      <c r="R11" s="13"/>
      <c r="S11" s="13">
        <v>109</v>
      </c>
      <c r="T11" s="13">
        <v>828</v>
      </c>
      <c r="U11" s="13">
        <v>25</v>
      </c>
      <c r="V11" s="13">
        <v>73</v>
      </c>
      <c r="W11" s="13">
        <v>10</v>
      </c>
      <c r="X11" s="13">
        <v>73</v>
      </c>
      <c r="Y11" s="13">
        <v>14</v>
      </c>
      <c r="Z11" s="13">
        <v>221</v>
      </c>
      <c r="AA11" s="13"/>
      <c r="AB11" s="13"/>
      <c r="AC11" s="14">
        <v>1087.8378378378379</v>
      </c>
      <c r="AD11" s="14">
        <v>550.62166962699825</v>
      </c>
      <c r="AE11" s="14">
        <v>733.6683417085427</v>
      </c>
      <c r="AF11" s="14"/>
      <c r="AG11" s="15">
        <v>0.60457842615073909</v>
      </c>
      <c r="AH11" s="15">
        <v>0.6163413836240661</v>
      </c>
      <c r="AI11" s="15"/>
      <c r="AJ11" s="41">
        <f t="shared" si="0"/>
        <v>7857</v>
      </c>
      <c r="AK11" s="44">
        <f t="shared" si="1"/>
        <v>0.1751207729468599</v>
      </c>
      <c r="AL11" s="10"/>
      <c r="AM11" s="10"/>
    </row>
    <row r="12" spans="1:42" s="16" customFormat="1" ht="19" customHeight="1">
      <c r="A12" s="9" t="s">
        <v>38</v>
      </c>
      <c r="B12" s="10" t="s">
        <v>29</v>
      </c>
      <c r="C12" s="10"/>
      <c r="D12" s="10"/>
      <c r="E12" s="11" t="s">
        <v>1341</v>
      </c>
      <c r="F12" s="11" t="s">
        <v>30</v>
      </c>
      <c r="G12" s="12" t="s">
        <v>31</v>
      </c>
      <c r="H12" s="13">
        <v>109</v>
      </c>
      <c r="I12" s="13">
        <v>39</v>
      </c>
      <c r="J12" s="13">
        <v>1639</v>
      </c>
      <c r="K12" s="13">
        <v>3282</v>
      </c>
      <c r="L12" s="13">
        <v>354</v>
      </c>
      <c r="M12" s="13">
        <v>170</v>
      </c>
      <c r="N12" s="13">
        <v>1210</v>
      </c>
      <c r="O12" s="13">
        <v>171</v>
      </c>
      <c r="P12" s="13">
        <v>29</v>
      </c>
      <c r="Q12" s="13">
        <v>159</v>
      </c>
      <c r="R12" s="13"/>
      <c r="S12" s="13">
        <v>127</v>
      </c>
      <c r="T12" s="13">
        <v>939</v>
      </c>
      <c r="U12" s="13">
        <v>28</v>
      </c>
      <c r="V12" s="13">
        <v>84</v>
      </c>
      <c r="W12" s="13">
        <v>12</v>
      </c>
      <c r="X12" s="13">
        <v>89</v>
      </c>
      <c r="Y12" s="13">
        <v>18</v>
      </c>
      <c r="Z12" s="13">
        <v>130</v>
      </c>
      <c r="AA12" s="13"/>
      <c r="AB12" s="13"/>
      <c r="AC12" s="14">
        <v>1155.4054054054054</v>
      </c>
      <c r="AD12" s="14">
        <v>515.09769094138551</v>
      </c>
      <c r="AE12" s="14">
        <v>798.99497487437179</v>
      </c>
      <c r="AF12" s="14"/>
      <c r="AG12" s="15">
        <v>0.527115831677896</v>
      </c>
      <c r="AH12" s="15">
        <v>0.53610564670259542</v>
      </c>
      <c r="AI12" s="15"/>
      <c r="AJ12" s="41">
        <f t="shared" si="0"/>
        <v>6485</v>
      </c>
      <c r="AK12" s="44">
        <f t="shared" si="1"/>
        <v>0.1810436634717785</v>
      </c>
      <c r="AL12" s="10"/>
      <c r="AM12" s="10"/>
    </row>
    <row r="13" spans="1:42" s="16" customFormat="1" ht="19" customHeight="1">
      <c r="A13" s="9" t="s">
        <v>39</v>
      </c>
      <c r="B13" s="10" t="s">
        <v>29</v>
      </c>
      <c r="C13" s="10"/>
      <c r="D13" s="10"/>
      <c r="E13" s="11" t="s">
        <v>1341</v>
      </c>
      <c r="F13" s="11" t="s">
        <v>30</v>
      </c>
      <c r="G13" s="12" t="s">
        <v>31</v>
      </c>
      <c r="H13" s="13">
        <v>63</v>
      </c>
      <c r="I13" s="13">
        <v>17</v>
      </c>
      <c r="J13" s="13">
        <v>1478</v>
      </c>
      <c r="K13" s="13">
        <v>1857</v>
      </c>
      <c r="L13" s="13">
        <v>154</v>
      </c>
      <c r="M13" s="13">
        <v>342</v>
      </c>
      <c r="N13" s="13">
        <v>447</v>
      </c>
      <c r="O13" s="13">
        <v>56</v>
      </c>
      <c r="P13" s="13">
        <v>12</v>
      </c>
      <c r="Q13" s="13">
        <v>52</v>
      </c>
      <c r="R13" s="13"/>
      <c r="S13" s="13">
        <v>41</v>
      </c>
      <c r="T13" s="13">
        <v>267</v>
      </c>
      <c r="U13" s="13">
        <v>8</v>
      </c>
      <c r="V13" s="13">
        <v>21</v>
      </c>
      <c r="W13" s="13">
        <v>2</v>
      </c>
      <c r="X13" s="13">
        <v>19</v>
      </c>
      <c r="Y13" s="13">
        <v>2</v>
      </c>
      <c r="Z13" s="13">
        <v>320</v>
      </c>
      <c r="AA13" s="13"/>
      <c r="AB13" s="13"/>
      <c r="AC13" s="14">
        <v>378.37837837837839</v>
      </c>
      <c r="AD13" s="14">
        <v>213.14387211367674</v>
      </c>
      <c r="AE13" s="14">
        <v>261.30653266331655</v>
      </c>
      <c r="AF13" s="14"/>
      <c r="AG13" s="15">
        <v>0.6664026880564764</v>
      </c>
      <c r="AH13" s="15">
        <v>0.67785150054811261</v>
      </c>
      <c r="AI13" s="15"/>
      <c r="AJ13" s="41">
        <f t="shared" si="0"/>
        <v>3936</v>
      </c>
      <c r="AK13" s="44">
        <f t="shared" si="1"/>
        <v>1.2808988764044944</v>
      </c>
      <c r="AL13" s="10"/>
      <c r="AM13" s="10"/>
    </row>
    <row r="14" spans="1:42" s="16" customFormat="1" ht="19" customHeight="1">
      <c r="A14" s="9" t="s">
        <v>40</v>
      </c>
      <c r="B14" s="10" t="s">
        <v>29</v>
      </c>
      <c r="C14" s="10"/>
      <c r="D14" s="10"/>
      <c r="E14" s="11" t="s">
        <v>1341</v>
      </c>
      <c r="F14" s="11" t="s">
        <v>30</v>
      </c>
      <c r="G14" s="12" t="s">
        <v>31</v>
      </c>
      <c r="H14" s="13">
        <v>64</v>
      </c>
      <c r="I14" s="13">
        <v>14</v>
      </c>
      <c r="J14" s="13">
        <v>1628</v>
      </c>
      <c r="K14" s="13">
        <v>3641</v>
      </c>
      <c r="L14" s="13">
        <v>431</v>
      </c>
      <c r="M14" s="13">
        <v>218</v>
      </c>
      <c r="N14" s="13">
        <v>1589</v>
      </c>
      <c r="O14" s="13">
        <v>241</v>
      </c>
      <c r="P14" s="13">
        <v>24</v>
      </c>
      <c r="Q14" s="13">
        <v>207</v>
      </c>
      <c r="R14" s="13"/>
      <c r="S14" s="13">
        <v>147</v>
      </c>
      <c r="T14" s="13">
        <v>896</v>
      </c>
      <c r="U14" s="13">
        <v>31</v>
      </c>
      <c r="V14" s="13">
        <v>83</v>
      </c>
      <c r="W14" s="13">
        <v>10</v>
      </c>
      <c r="X14" s="13">
        <v>66</v>
      </c>
      <c r="Y14" s="13">
        <v>11</v>
      </c>
      <c r="Z14" s="13">
        <v>81</v>
      </c>
      <c r="AA14" s="13"/>
      <c r="AB14" s="13"/>
      <c r="AC14" s="14">
        <v>1628.3783783783786</v>
      </c>
      <c r="AD14" s="14">
        <v>426.28774422735347</v>
      </c>
      <c r="AE14" s="14">
        <v>1040.2010050251256</v>
      </c>
      <c r="AF14" s="14"/>
      <c r="AG14" s="15">
        <v>0.31948665037175433</v>
      </c>
      <c r="AH14" s="15">
        <v>0.32754166227921949</v>
      </c>
      <c r="AI14" s="15"/>
      <c r="AJ14" s="41">
        <f t="shared" si="0"/>
        <v>7289</v>
      </c>
      <c r="AK14" s="44">
        <f t="shared" si="1"/>
        <v>0.24330357142857142</v>
      </c>
      <c r="AL14" s="10"/>
      <c r="AM14" s="10"/>
    </row>
    <row r="15" spans="1:42" s="16" customFormat="1" ht="19" customHeight="1">
      <c r="A15" s="9" t="s">
        <v>41</v>
      </c>
      <c r="B15" s="10" t="s">
        <v>29</v>
      </c>
      <c r="C15" s="10"/>
      <c r="D15" s="10"/>
      <c r="E15" s="11" t="s">
        <v>1341</v>
      </c>
      <c r="F15" s="11" t="s">
        <v>30</v>
      </c>
      <c r="G15" s="12" t="s">
        <v>31</v>
      </c>
      <c r="H15" s="13">
        <v>26</v>
      </c>
      <c r="I15" s="13">
        <v>35</v>
      </c>
      <c r="J15" s="13">
        <v>1814</v>
      </c>
      <c r="K15" s="13">
        <v>2703</v>
      </c>
      <c r="L15" s="13">
        <v>235</v>
      </c>
      <c r="M15" s="13">
        <v>229</v>
      </c>
      <c r="N15" s="13">
        <v>728</v>
      </c>
      <c r="O15" s="13">
        <v>93</v>
      </c>
      <c r="P15" s="13">
        <v>16</v>
      </c>
      <c r="Q15" s="13">
        <v>102</v>
      </c>
      <c r="R15" s="13"/>
      <c r="S15" s="13">
        <v>89</v>
      </c>
      <c r="T15" s="13">
        <v>516</v>
      </c>
      <c r="U15" s="13">
        <v>19</v>
      </c>
      <c r="V15" s="13">
        <v>53</v>
      </c>
      <c r="W15" s="13">
        <v>6</v>
      </c>
      <c r="X15" s="13">
        <v>37</v>
      </c>
      <c r="Y15" s="13">
        <v>6</v>
      </c>
      <c r="Z15" s="13">
        <v>101</v>
      </c>
      <c r="AA15" s="13"/>
      <c r="AB15" s="13"/>
      <c r="AC15" s="14">
        <v>628.37837837837844</v>
      </c>
      <c r="AD15" s="14">
        <v>284.19182948490231</v>
      </c>
      <c r="AE15" s="14">
        <v>512.56281407035169</v>
      </c>
      <c r="AF15" s="14"/>
      <c r="AG15" s="15">
        <v>0.4981708634341781</v>
      </c>
      <c r="AH15" s="15">
        <v>0.50075745499910329</v>
      </c>
      <c r="AI15" s="15"/>
      <c r="AJ15" s="41">
        <f t="shared" si="0"/>
        <v>5480</v>
      </c>
      <c r="AK15" s="44">
        <f t="shared" si="1"/>
        <v>0.44379844961240311</v>
      </c>
      <c r="AL15" s="10"/>
      <c r="AM15" s="10"/>
    </row>
    <row r="16" spans="1:42" s="16" customFormat="1" ht="19" customHeight="1">
      <c r="A16" s="9" t="s">
        <v>42</v>
      </c>
      <c r="B16" s="10" t="s">
        <v>29</v>
      </c>
      <c r="C16" s="10"/>
      <c r="D16" s="10"/>
      <c r="E16" s="11" t="s">
        <v>1341</v>
      </c>
      <c r="F16" s="11" t="s">
        <v>30</v>
      </c>
      <c r="G16" s="12" t="s">
        <v>31</v>
      </c>
      <c r="H16" s="13">
        <v>210</v>
      </c>
      <c r="I16" s="13">
        <v>60</v>
      </c>
      <c r="J16" s="13">
        <v>3161</v>
      </c>
      <c r="K16" s="13">
        <v>6732</v>
      </c>
      <c r="L16" s="13">
        <v>598</v>
      </c>
      <c r="M16" s="13">
        <v>160</v>
      </c>
      <c r="N16" s="13">
        <v>1844</v>
      </c>
      <c r="O16" s="13">
        <v>169</v>
      </c>
      <c r="P16" s="13">
        <v>28</v>
      </c>
      <c r="Q16" s="13">
        <v>125</v>
      </c>
      <c r="R16" s="13"/>
      <c r="S16" s="13">
        <v>86</v>
      </c>
      <c r="T16" s="13">
        <v>704</v>
      </c>
      <c r="U16" s="13">
        <v>19</v>
      </c>
      <c r="V16" s="13">
        <v>58</v>
      </c>
      <c r="W16" s="13">
        <v>9</v>
      </c>
      <c r="X16" s="13">
        <v>75</v>
      </c>
      <c r="Y16" s="13">
        <v>14</v>
      </c>
      <c r="Z16" s="13">
        <v>193</v>
      </c>
      <c r="AA16" s="13"/>
      <c r="AB16" s="13"/>
      <c r="AC16" s="14">
        <v>1141.8918918918919</v>
      </c>
      <c r="AD16" s="14">
        <v>497.33570159857908</v>
      </c>
      <c r="AE16" s="14">
        <v>628.14070351758789</v>
      </c>
      <c r="AF16" s="14"/>
      <c r="AG16" s="15">
        <v>0.56195089614553151</v>
      </c>
      <c r="AH16" s="15">
        <v>0.58723059382477349</v>
      </c>
      <c r="AI16" s="15"/>
      <c r="AJ16" s="41">
        <f t="shared" si="0"/>
        <v>12335</v>
      </c>
      <c r="AK16" s="44">
        <f t="shared" si="1"/>
        <v>0.22727272727272727</v>
      </c>
      <c r="AL16" s="10"/>
      <c r="AM16" s="10"/>
    </row>
    <row r="17" spans="1:39" s="16" customFormat="1" ht="19" customHeight="1">
      <c r="A17" s="9" t="s">
        <v>43</v>
      </c>
      <c r="B17" s="10" t="s">
        <v>44</v>
      </c>
      <c r="C17" s="10"/>
      <c r="D17" s="10"/>
      <c r="E17" s="17" t="s">
        <v>45</v>
      </c>
      <c r="F17" s="17" t="s">
        <v>30</v>
      </c>
      <c r="G17" s="12" t="s">
        <v>46</v>
      </c>
      <c r="H17" s="13"/>
      <c r="I17" s="13"/>
      <c r="J17" s="13">
        <v>420</v>
      </c>
      <c r="K17" s="13">
        <v>1426</v>
      </c>
      <c r="L17" s="13">
        <v>229</v>
      </c>
      <c r="M17" s="13">
        <v>65.3</v>
      </c>
      <c r="N17" s="13">
        <v>1123</v>
      </c>
      <c r="O17" s="13">
        <v>472</v>
      </c>
      <c r="P17" s="13">
        <v>2.93</v>
      </c>
      <c r="Q17" s="13">
        <v>605</v>
      </c>
      <c r="R17" s="13">
        <v>121</v>
      </c>
      <c r="S17" s="13">
        <v>732</v>
      </c>
      <c r="T17" s="13">
        <v>3698</v>
      </c>
      <c r="U17" s="13">
        <v>137</v>
      </c>
      <c r="V17" s="13">
        <v>323</v>
      </c>
      <c r="W17" s="13">
        <v>41.1</v>
      </c>
      <c r="X17" s="13">
        <v>244</v>
      </c>
      <c r="Y17" s="13">
        <v>29.7</v>
      </c>
      <c r="Z17" s="13">
        <v>3074</v>
      </c>
      <c r="AA17" s="13"/>
      <c r="AB17" s="13"/>
      <c r="AC17" s="14">
        <v>3189.1891891891892</v>
      </c>
      <c r="AD17" s="14">
        <v>52.042628774422745</v>
      </c>
      <c r="AE17" s="14">
        <v>3040.2010050251256</v>
      </c>
      <c r="AF17" s="14">
        <v>3351.8005540166205</v>
      </c>
      <c r="AG17" s="15">
        <v>1.6708739427739972E-2</v>
      </c>
      <c r="AH17" s="15">
        <v>1.6713520360583219E-2</v>
      </c>
      <c r="AI17" s="15">
        <v>1.6050170400505898E-2</v>
      </c>
      <c r="AJ17" s="41">
        <f t="shared" si="0"/>
        <v>3198</v>
      </c>
      <c r="AK17" s="44">
        <f t="shared" si="1"/>
        <v>1.7658193618171985E-2</v>
      </c>
      <c r="AL17" s="10"/>
      <c r="AM17" s="10"/>
    </row>
    <row r="18" spans="1:39" s="16" customFormat="1" ht="19" customHeight="1">
      <c r="A18" s="9" t="s">
        <v>47</v>
      </c>
      <c r="B18" s="10" t="s">
        <v>44</v>
      </c>
      <c r="C18" s="10"/>
      <c r="D18" s="10"/>
      <c r="E18" s="17" t="s">
        <v>45</v>
      </c>
      <c r="F18" s="17" t="s">
        <v>30</v>
      </c>
      <c r="G18" s="12" t="s">
        <v>46</v>
      </c>
      <c r="H18" s="13"/>
      <c r="I18" s="13"/>
      <c r="J18" s="13">
        <v>749</v>
      </c>
      <c r="K18" s="13">
        <v>2338</v>
      </c>
      <c r="L18" s="13">
        <v>323</v>
      </c>
      <c r="M18" s="13">
        <v>48.7</v>
      </c>
      <c r="N18" s="13">
        <v>1395</v>
      </c>
      <c r="O18" s="13">
        <v>529</v>
      </c>
      <c r="P18" s="13">
        <v>2.0099999999999998</v>
      </c>
      <c r="Q18" s="13">
        <v>647</v>
      </c>
      <c r="R18" s="13">
        <v>137</v>
      </c>
      <c r="S18" s="13">
        <v>893</v>
      </c>
      <c r="T18" s="13">
        <v>4391</v>
      </c>
      <c r="U18" s="13">
        <v>175</v>
      </c>
      <c r="V18" s="13">
        <v>438</v>
      </c>
      <c r="W18" s="13">
        <v>57.7</v>
      </c>
      <c r="X18" s="13">
        <v>347</v>
      </c>
      <c r="Y18" s="13">
        <v>40.700000000000003</v>
      </c>
      <c r="Z18" s="13">
        <v>3313</v>
      </c>
      <c r="AA18" s="13"/>
      <c r="AB18" s="13"/>
      <c r="AC18" s="14">
        <v>3574.3243243243246</v>
      </c>
      <c r="AD18" s="14">
        <v>35.701598579040848</v>
      </c>
      <c r="AE18" s="14">
        <v>3251.2562814070352</v>
      </c>
      <c r="AF18" s="14">
        <v>3795.0138504155125</v>
      </c>
      <c r="AG18" s="15">
        <v>1.0461116977818014E-2</v>
      </c>
      <c r="AH18" s="15">
        <v>1.0472854794759035E-2</v>
      </c>
      <c r="AI18" s="15">
        <v>9.7908539010589709E-3</v>
      </c>
      <c r="AJ18" s="41">
        <f t="shared" si="0"/>
        <v>4805</v>
      </c>
      <c r="AK18" s="44">
        <f t="shared" si="1"/>
        <v>1.1090867683898884E-2</v>
      </c>
      <c r="AL18" s="10"/>
      <c r="AM18" s="10"/>
    </row>
    <row r="19" spans="1:39" s="16" customFormat="1" ht="19" customHeight="1">
      <c r="A19" s="9" t="s">
        <v>1342</v>
      </c>
      <c r="B19" s="10" t="s">
        <v>44</v>
      </c>
      <c r="C19" s="10"/>
      <c r="D19" s="10"/>
      <c r="E19" s="17" t="s">
        <v>45</v>
      </c>
      <c r="F19" s="17" t="s">
        <v>30</v>
      </c>
      <c r="G19" s="12" t="s">
        <v>46</v>
      </c>
      <c r="H19" s="13"/>
      <c r="I19" s="13"/>
      <c r="J19" s="13">
        <v>391</v>
      </c>
      <c r="K19" s="13">
        <v>1328</v>
      </c>
      <c r="L19" s="13">
        <v>210</v>
      </c>
      <c r="M19" s="13">
        <v>49.9</v>
      </c>
      <c r="N19" s="13">
        <v>987</v>
      </c>
      <c r="O19" s="13">
        <v>420</v>
      </c>
      <c r="P19" s="13">
        <v>3.85</v>
      </c>
      <c r="Q19" s="13">
        <v>503</v>
      </c>
      <c r="R19" s="13">
        <v>108</v>
      </c>
      <c r="S19" s="13">
        <v>694</v>
      </c>
      <c r="T19" s="13">
        <v>3372</v>
      </c>
      <c r="U19" s="13">
        <v>139</v>
      </c>
      <c r="V19" s="13">
        <v>365</v>
      </c>
      <c r="W19" s="13">
        <v>50.6</v>
      </c>
      <c r="X19" s="13">
        <v>324</v>
      </c>
      <c r="Y19" s="13">
        <v>40.9</v>
      </c>
      <c r="Z19" s="13">
        <v>2448</v>
      </c>
      <c r="AA19" s="13"/>
      <c r="AB19" s="13"/>
      <c r="AC19" s="14">
        <v>2837.8378378378379</v>
      </c>
      <c r="AD19" s="14">
        <v>68.383658969804628</v>
      </c>
      <c r="AE19" s="14">
        <v>2527.6381909547736</v>
      </c>
      <c r="AF19" s="14">
        <v>2991.6897506925206</v>
      </c>
      <c r="AG19" s="15">
        <v>2.549024862019296E-2</v>
      </c>
      <c r="AH19" s="15">
        <v>2.5532955764855737E-2</v>
      </c>
      <c r="AI19" s="15">
        <v>2.3676732479701458E-2</v>
      </c>
      <c r="AJ19" s="41">
        <f t="shared" si="0"/>
        <v>2916</v>
      </c>
      <c r="AK19" s="44">
        <f t="shared" si="1"/>
        <v>1.4798339264531436E-2</v>
      </c>
      <c r="AL19" s="10"/>
      <c r="AM19" s="10"/>
    </row>
    <row r="20" spans="1:39" s="16" customFormat="1" ht="19" customHeight="1">
      <c r="A20" s="9" t="s">
        <v>1343</v>
      </c>
      <c r="B20" s="10" t="s">
        <v>44</v>
      </c>
      <c r="C20" s="10"/>
      <c r="D20" s="10"/>
      <c r="E20" s="17" t="s">
        <v>45</v>
      </c>
      <c r="F20" s="17" t="s">
        <v>30</v>
      </c>
      <c r="G20" s="12" t="s">
        <v>46</v>
      </c>
      <c r="H20" s="13"/>
      <c r="I20" s="13"/>
      <c r="J20" s="13">
        <v>369</v>
      </c>
      <c r="K20" s="13">
        <v>1179</v>
      </c>
      <c r="L20" s="13">
        <v>195</v>
      </c>
      <c r="M20" s="13">
        <v>60.7</v>
      </c>
      <c r="N20" s="13">
        <v>995</v>
      </c>
      <c r="O20" s="13">
        <v>454</v>
      </c>
      <c r="P20" s="13">
        <v>6.23</v>
      </c>
      <c r="Q20" s="13">
        <v>583</v>
      </c>
      <c r="R20" s="13">
        <v>131</v>
      </c>
      <c r="S20" s="13">
        <v>792</v>
      </c>
      <c r="T20" s="13">
        <v>3722</v>
      </c>
      <c r="U20" s="13">
        <v>142</v>
      </c>
      <c r="V20" s="13">
        <v>336</v>
      </c>
      <c r="W20" s="13">
        <v>43</v>
      </c>
      <c r="X20" s="13">
        <v>266</v>
      </c>
      <c r="Y20" s="13">
        <v>31</v>
      </c>
      <c r="Z20" s="13">
        <v>2403</v>
      </c>
      <c r="AA20" s="13"/>
      <c r="AB20" s="13"/>
      <c r="AC20" s="14">
        <v>3067.5675675675675</v>
      </c>
      <c r="AD20" s="14">
        <v>110.65719360568386</v>
      </c>
      <c r="AE20" s="14">
        <v>2929.64824120603</v>
      </c>
      <c r="AF20" s="14">
        <v>3628.8088642659282</v>
      </c>
      <c r="AG20" s="15">
        <v>3.6902855302888539E-2</v>
      </c>
      <c r="AH20" s="15">
        <v>3.6912617626083957E-2</v>
      </c>
      <c r="AI20" s="15">
        <v>3.4108466637886699E-2</v>
      </c>
      <c r="AJ20" s="41">
        <f t="shared" si="0"/>
        <v>2738</v>
      </c>
      <c r="AK20" s="44">
        <f t="shared" si="1"/>
        <v>1.630843632455669E-2</v>
      </c>
      <c r="AL20" s="10"/>
      <c r="AM20" s="10"/>
    </row>
    <row r="21" spans="1:39" s="16" customFormat="1" ht="19" customHeight="1">
      <c r="A21" s="9" t="s">
        <v>48</v>
      </c>
      <c r="B21" s="10" t="s">
        <v>44</v>
      </c>
      <c r="C21" s="10"/>
      <c r="D21" s="10"/>
      <c r="E21" s="17" t="s">
        <v>45</v>
      </c>
      <c r="F21" s="17" t="s">
        <v>30</v>
      </c>
      <c r="G21" s="12" t="s">
        <v>46</v>
      </c>
      <c r="H21" s="13"/>
      <c r="I21" s="13"/>
      <c r="J21" s="13">
        <v>597</v>
      </c>
      <c r="K21" s="13">
        <v>1990</v>
      </c>
      <c r="L21" s="13">
        <v>312</v>
      </c>
      <c r="M21" s="13">
        <v>47.8</v>
      </c>
      <c r="N21" s="13">
        <v>1582</v>
      </c>
      <c r="O21" s="13">
        <v>622</v>
      </c>
      <c r="P21" s="13">
        <v>2.48</v>
      </c>
      <c r="Q21" s="13">
        <v>827</v>
      </c>
      <c r="R21" s="13">
        <v>167</v>
      </c>
      <c r="S21" s="13">
        <v>1030</v>
      </c>
      <c r="T21" s="13">
        <v>5384</v>
      </c>
      <c r="U21" s="13">
        <v>202</v>
      </c>
      <c r="V21" s="13">
        <v>500</v>
      </c>
      <c r="W21" s="13">
        <v>58.6</v>
      </c>
      <c r="X21" s="13">
        <v>326</v>
      </c>
      <c r="Y21" s="13">
        <v>35.9</v>
      </c>
      <c r="Z21" s="13">
        <v>2773</v>
      </c>
      <c r="AA21" s="13"/>
      <c r="AB21" s="13"/>
      <c r="AC21" s="14">
        <v>4202.7027027027025</v>
      </c>
      <c r="AD21" s="14">
        <v>44.049733570159859</v>
      </c>
      <c r="AE21" s="14">
        <v>4155.7788944723616</v>
      </c>
      <c r="AF21" s="14">
        <v>4626.0387811634346</v>
      </c>
      <c r="AG21" s="15">
        <v>1.0540128146013373E-2</v>
      </c>
      <c r="AH21" s="15">
        <v>1.0540294241519433E-2</v>
      </c>
      <c r="AI21" s="15">
        <v>1.0151286469044585E-2</v>
      </c>
      <c r="AJ21" s="41">
        <f t="shared" si="0"/>
        <v>4481</v>
      </c>
      <c r="AK21" s="44">
        <f t="shared" si="1"/>
        <v>8.8781575037147099E-3</v>
      </c>
      <c r="AL21" s="10"/>
      <c r="AM21" s="10"/>
    </row>
    <row r="22" spans="1:39" s="16" customFormat="1" ht="19" customHeight="1">
      <c r="A22" s="9" t="s">
        <v>49</v>
      </c>
      <c r="B22" s="10" t="s">
        <v>44</v>
      </c>
      <c r="C22" s="10"/>
      <c r="D22" s="10"/>
      <c r="E22" s="17" t="s">
        <v>45</v>
      </c>
      <c r="F22" s="17" t="s">
        <v>30</v>
      </c>
      <c r="G22" s="12" t="s">
        <v>46</v>
      </c>
      <c r="H22" s="13"/>
      <c r="I22" s="13"/>
      <c r="J22" s="13">
        <v>606</v>
      </c>
      <c r="K22" s="13">
        <v>1881</v>
      </c>
      <c r="L22" s="13">
        <v>301</v>
      </c>
      <c r="M22" s="13">
        <v>27.9</v>
      </c>
      <c r="N22" s="13">
        <v>1554</v>
      </c>
      <c r="O22" s="13">
        <v>675</v>
      </c>
      <c r="P22" s="13">
        <v>30.5</v>
      </c>
      <c r="Q22" s="13">
        <v>876</v>
      </c>
      <c r="R22" s="13">
        <v>184</v>
      </c>
      <c r="S22" s="13">
        <v>1121</v>
      </c>
      <c r="T22" s="13">
        <v>5974</v>
      </c>
      <c r="U22" s="13">
        <v>217</v>
      </c>
      <c r="V22" s="13">
        <v>524</v>
      </c>
      <c r="W22" s="13">
        <v>63.6</v>
      </c>
      <c r="X22" s="13">
        <v>365</v>
      </c>
      <c r="Y22" s="13">
        <v>41.2</v>
      </c>
      <c r="Z22" s="13">
        <v>8116</v>
      </c>
      <c r="AA22" s="13"/>
      <c r="AB22" s="13"/>
      <c r="AC22" s="14">
        <v>4560.8108108108108</v>
      </c>
      <c r="AD22" s="14">
        <v>541.74067495559507</v>
      </c>
      <c r="AE22" s="14">
        <v>4402.010050251256</v>
      </c>
      <c r="AF22" s="14">
        <v>5096.9529085872573</v>
      </c>
      <c r="AG22" s="15">
        <v>0.12088619941275952</v>
      </c>
      <c r="AH22" s="15">
        <v>0.12090517803650873</v>
      </c>
      <c r="AI22" s="15">
        <v>0.11446161418194556</v>
      </c>
      <c r="AJ22" s="41">
        <f t="shared" si="0"/>
        <v>4342</v>
      </c>
      <c r="AK22" s="44">
        <f t="shared" si="1"/>
        <v>4.6702376966856378E-3</v>
      </c>
      <c r="AL22" s="10"/>
      <c r="AM22" s="10"/>
    </row>
    <row r="23" spans="1:39" s="16" customFormat="1" ht="19" customHeight="1">
      <c r="A23" s="9" t="s">
        <v>50</v>
      </c>
      <c r="B23" s="10" t="s">
        <v>44</v>
      </c>
      <c r="C23" s="10"/>
      <c r="D23" s="10"/>
      <c r="E23" s="17" t="s">
        <v>45</v>
      </c>
      <c r="F23" s="17" t="s">
        <v>30</v>
      </c>
      <c r="G23" s="12" t="s">
        <v>46</v>
      </c>
      <c r="H23" s="13"/>
      <c r="I23" s="13"/>
      <c r="J23" s="13">
        <v>548</v>
      </c>
      <c r="K23" s="13">
        <v>2075</v>
      </c>
      <c r="L23" s="13">
        <v>307</v>
      </c>
      <c r="M23" s="13">
        <v>18.600000000000001</v>
      </c>
      <c r="N23" s="13">
        <v>1361</v>
      </c>
      <c r="O23" s="13">
        <v>592</v>
      </c>
      <c r="P23" s="13">
        <v>2.57</v>
      </c>
      <c r="Q23" s="13">
        <v>692</v>
      </c>
      <c r="R23" s="13">
        <v>151</v>
      </c>
      <c r="S23" s="13">
        <v>911</v>
      </c>
      <c r="T23" s="13">
        <v>4243</v>
      </c>
      <c r="U23" s="13">
        <v>166</v>
      </c>
      <c r="V23" s="13">
        <v>404</v>
      </c>
      <c r="W23" s="13">
        <v>54.7</v>
      </c>
      <c r="X23" s="13">
        <v>355</v>
      </c>
      <c r="Y23" s="13">
        <v>37.5</v>
      </c>
      <c r="Z23" s="13">
        <v>5451</v>
      </c>
      <c r="AA23" s="13"/>
      <c r="AB23" s="13"/>
      <c r="AC23" s="14">
        <v>4000</v>
      </c>
      <c r="AD23" s="14">
        <v>45.648312611012436</v>
      </c>
      <c r="AE23" s="14">
        <v>3477.3869346733668</v>
      </c>
      <c r="AF23" s="14">
        <v>4182.825484764543</v>
      </c>
      <c r="AG23" s="15">
        <v>1.2209696518268112E-2</v>
      </c>
      <c r="AH23" s="15">
        <v>1.2239628150200072E-2</v>
      </c>
      <c r="AI23" s="15">
        <v>1.1243326421651198E-2</v>
      </c>
      <c r="AJ23" s="41">
        <f t="shared" si="0"/>
        <v>4291</v>
      </c>
      <c r="AK23" s="44">
        <f t="shared" si="1"/>
        <v>4.3836907848220606E-3</v>
      </c>
      <c r="AL23" s="10"/>
      <c r="AM23" s="10"/>
    </row>
    <row r="24" spans="1:39" s="16" customFormat="1" ht="19" customHeight="1">
      <c r="A24" s="9" t="s">
        <v>51</v>
      </c>
      <c r="B24" s="10" t="s">
        <v>29</v>
      </c>
      <c r="C24" s="10"/>
      <c r="D24" s="10"/>
      <c r="E24" s="11" t="s">
        <v>1341</v>
      </c>
      <c r="F24" s="11" t="s">
        <v>30</v>
      </c>
      <c r="G24" s="12" t="s">
        <v>46</v>
      </c>
      <c r="H24" s="13"/>
      <c r="I24" s="13"/>
      <c r="J24" s="13">
        <v>1141</v>
      </c>
      <c r="K24" s="13">
        <v>3012</v>
      </c>
      <c r="L24" s="13">
        <v>387</v>
      </c>
      <c r="M24" s="13">
        <v>359</v>
      </c>
      <c r="N24" s="13">
        <v>1645</v>
      </c>
      <c r="O24" s="13">
        <v>316</v>
      </c>
      <c r="P24" s="13">
        <v>12.8</v>
      </c>
      <c r="Q24" s="13">
        <v>303</v>
      </c>
      <c r="R24" s="13">
        <v>36</v>
      </c>
      <c r="S24" s="13">
        <v>189</v>
      </c>
      <c r="T24" s="13">
        <v>979</v>
      </c>
      <c r="U24" s="13">
        <v>35.5</v>
      </c>
      <c r="V24" s="13">
        <v>85.9</v>
      </c>
      <c r="W24" s="13">
        <v>10.9</v>
      </c>
      <c r="X24" s="13">
        <v>62.6</v>
      </c>
      <c r="Y24" s="13">
        <v>8.18</v>
      </c>
      <c r="Z24" s="13">
        <v>669</v>
      </c>
      <c r="AA24" s="13"/>
      <c r="AB24" s="13"/>
      <c r="AC24" s="14">
        <v>2135.1351351351354</v>
      </c>
      <c r="AD24" s="14">
        <v>227.35346358792188</v>
      </c>
      <c r="AE24" s="14">
        <v>1522.613065326633</v>
      </c>
      <c r="AF24" s="14">
        <v>997.22991689750688</v>
      </c>
      <c r="AG24" s="15">
        <v>0.12431334861115911</v>
      </c>
      <c r="AH24" s="15">
        <v>0.12609391096557163</v>
      </c>
      <c r="AI24" s="15">
        <v>0.13724174477872556</v>
      </c>
      <c r="AJ24" s="41">
        <f t="shared" si="0"/>
        <v>6185</v>
      </c>
      <c r="AK24" s="44">
        <f t="shared" si="1"/>
        <v>0.36670071501532175</v>
      </c>
      <c r="AL24" s="10"/>
      <c r="AM24" s="10"/>
    </row>
    <row r="25" spans="1:39" s="16" customFormat="1" ht="19" customHeight="1">
      <c r="A25" s="9" t="s">
        <v>52</v>
      </c>
      <c r="B25" s="10" t="s">
        <v>29</v>
      </c>
      <c r="C25" s="10"/>
      <c r="D25" s="10"/>
      <c r="E25" s="11" t="s">
        <v>1341</v>
      </c>
      <c r="F25" s="11" t="s">
        <v>30</v>
      </c>
      <c r="G25" s="12" t="s">
        <v>46</v>
      </c>
      <c r="H25" s="13"/>
      <c r="I25" s="13"/>
      <c r="J25" s="13">
        <v>1623</v>
      </c>
      <c r="K25" s="13">
        <v>3581</v>
      </c>
      <c r="L25" s="13">
        <v>435</v>
      </c>
      <c r="M25" s="13">
        <v>249</v>
      </c>
      <c r="N25" s="13">
        <v>1906</v>
      </c>
      <c r="O25" s="13">
        <v>357</v>
      </c>
      <c r="P25" s="13">
        <v>16.3</v>
      </c>
      <c r="Q25" s="13">
        <v>309</v>
      </c>
      <c r="R25" s="13">
        <v>35.1</v>
      </c>
      <c r="S25" s="13">
        <v>179</v>
      </c>
      <c r="T25" s="13">
        <v>841</v>
      </c>
      <c r="U25" s="13">
        <v>31.4</v>
      </c>
      <c r="V25" s="13">
        <v>73.8</v>
      </c>
      <c r="W25" s="13">
        <v>8.36</v>
      </c>
      <c r="X25" s="13">
        <v>50</v>
      </c>
      <c r="Y25" s="13">
        <v>6.37</v>
      </c>
      <c r="Z25" s="13">
        <v>810</v>
      </c>
      <c r="AA25" s="13"/>
      <c r="AB25" s="13"/>
      <c r="AC25" s="14">
        <v>2412.1621621621621</v>
      </c>
      <c r="AD25" s="14">
        <v>289.52042628774427</v>
      </c>
      <c r="AE25" s="14">
        <v>1552.7638190954774</v>
      </c>
      <c r="AF25" s="14">
        <v>972.29916897506928</v>
      </c>
      <c r="AG25" s="15">
        <v>0.14604077234042637</v>
      </c>
      <c r="AH25" s="15">
        <v>0.14959712860731761</v>
      </c>
      <c r="AI25" s="15">
        <v>0.16248311554123651</v>
      </c>
      <c r="AJ25" s="41">
        <f t="shared" si="0"/>
        <v>7545</v>
      </c>
      <c r="AK25" s="44">
        <f t="shared" si="1"/>
        <v>0.29607609988109396</v>
      </c>
      <c r="AL25" s="10"/>
      <c r="AM25" s="10"/>
    </row>
    <row r="26" spans="1:39" s="16" customFormat="1" ht="19" customHeight="1">
      <c r="A26" s="9" t="s">
        <v>53</v>
      </c>
      <c r="B26" s="10" t="s">
        <v>29</v>
      </c>
      <c r="C26" s="10"/>
      <c r="D26" s="10"/>
      <c r="E26" s="11" t="s">
        <v>1341</v>
      </c>
      <c r="F26" s="11" t="s">
        <v>30</v>
      </c>
      <c r="G26" s="12" t="s">
        <v>46</v>
      </c>
      <c r="H26" s="13"/>
      <c r="I26" s="13"/>
      <c r="J26" s="13">
        <v>1489</v>
      </c>
      <c r="K26" s="13">
        <v>2912</v>
      </c>
      <c r="L26" s="13">
        <v>304</v>
      </c>
      <c r="M26" s="13">
        <v>97</v>
      </c>
      <c r="N26" s="13">
        <v>1156</v>
      </c>
      <c r="O26" s="13">
        <v>224</v>
      </c>
      <c r="P26" s="13">
        <v>9.2899999999999991</v>
      </c>
      <c r="Q26" s="13">
        <v>225</v>
      </c>
      <c r="R26" s="13">
        <v>26.1</v>
      </c>
      <c r="S26" s="13">
        <v>139</v>
      </c>
      <c r="T26" s="13">
        <v>707</v>
      </c>
      <c r="U26" s="13">
        <v>26.2</v>
      </c>
      <c r="V26" s="13">
        <v>64.5</v>
      </c>
      <c r="W26" s="13">
        <v>7.51</v>
      </c>
      <c r="X26" s="13">
        <v>45.8</v>
      </c>
      <c r="Y26" s="13">
        <v>6.22</v>
      </c>
      <c r="Z26" s="13">
        <v>1114</v>
      </c>
      <c r="AA26" s="13"/>
      <c r="AB26" s="13"/>
      <c r="AC26" s="14">
        <v>1513.5135135135135</v>
      </c>
      <c r="AD26" s="14">
        <v>165.00888099467139</v>
      </c>
      <c r="AE26" s="14">
        <v>1130.6532663316582</v>
      </c>
      <c r="AF26" s="14">
        <v>722.99168975069256</v>
      </c>
      <c r="AG26" s="15">
        <v>0.12480973760991992</v>
      </c>
      <c r="AH26" s="15">
        <v>0.12613901833709443</v>
      </c>
      <c r="AI26" s="15">
        <v>0.13946717872830741</v>
      </c>
      <c r="AJ26" s="41">
        <f t="shared" si="0"/>
        <v>5861</v>
      </c>
      <c r="AK26" s="44">
        <f t="shared" si="1"/>
        <v>0.13719943422913719</v>
      </c>
      <c r="AL26" s="10"/>
      <c r="AM26" s="10"/>
    </row>
    <row r="27" spans="1:39" s="16" customFormat="1" ht="19" customHeight="1">
      <c r="A27" s="9" t="s">
        <v>54</v>
      </c>
      <c r="B27" s="10" t="s">
        <v>29</v>
      </c>
      <c r="C27" s="10"/>
      <c r="D27" s="10"/>
      <c r="E27" s="11" t="s">
        <v>1341</v>
      </c>
      <c r="F27" s="11" t="s">
        <v>30</v>
      </c>
      <c r="G27" s="12" t="s">
        <v>46</v>
      </c>
      <c r="H27" s="13"/>
      <c r="I27" s="13"/>
      <c r="J27" s="13">
        <v>567</v>
      </c>
      <c r="K27" s="13">
        <v>2038</v>
      </c>
      <c r="L27" s="13">
        <v>313</v>
      </c>
      <c r="M27" s="13">
        <v>81.3</v>
      </c>
      <c r="N27" s="13">
        <v>1519</v>
      </c>
      <c r="O27" s="13">
        <v>510</v>
      </c>
      <c r="P27" s="13">
        <v>17.600000000000001</v>
      </c>
      <c r="Q27" s="13">
        <v>554</v>
      </c>
      <c r="R27" s="13">
        <v>100</v>
      </c>
      <c r="S27" s="13">
        <v>621</v>
      </c>
      <c r="T27" s="13">
        <v>3432</v>
      </c>
      <c r="U27" s="13">
        <v>119</v>
      </c>
      <c r="V27" s="13">
        <v>306</v>
      </c>
      <c r="W27" s="13">
        <v>41.8</v>
      </c>
      <c r="X27" s="13">
        <v>281</v>
      </c>
      <c r="Y27" s="13">
        <v>35.1</v>
      </c>
      <c r="Z27" s="13">
        <v>2908</v>
      </c>
      <c r="AA27" s="13"/>
      <c r="AB27" s="13"/>
      <c r="AC27" s="14">
        <v>3445.9459459459463</v>
      </c>
      <c r="AD27" s="14">
        <v>312.6110124333926</v>
      </c>
      <c r="AE27" s="14">
        <v>2783.9195979899496</v>
      </c>
      <c r="AF27" s="14">
        <v>2770.0831024930749</v>
      </c>
      <c r="AG27" s="15">
        <v>0.10035883125525424</v>
      </c>
      <c r="AH27" s="15">
        <v>0.10093033121660053</v>
      </c>
      <c r="AI27" s="15">
        <v>9.7566569113594001E-2</v>
      </c>
      <c r="AJ27" s="41">
        <f t="shared" si="0"/>
        <v>4437</v>
      </c>
      <c r="AK27" s="44">
        <f t="shared" si="1"/>
        <v>2.3688811188811189E-2</v>
      </c>
      <c r="AL27" s="10"/>
      <c r="AM27" s="10"/>
    </row>
    <row r="28" spans="1:39" s="16" customFormat="1" ht="19" customHeight="1">
      <c r="A28" s="9" t="s">
        <v>55</v>
      </c>
      <c r="B28" s="10" t="s">
        <v>29</v>
      </c>
      <c r="C28" s="10"/>
      <c r="D28" s="10"/>
      <c r="E28" s="11" t="s">
        <v>1341</v>
      </c>
      <c r="F28" s="11" t="s">
        <v>30</v>
      </c>
      <c r="G28" s="12" t="s">
        <v>46</v>
      </c>
      <c r="H28" s="13"/>
      <c r="I28" s="13"/>
      <c r="J28" s="13">
        <v>3312</v>
      </c>
      <c r="K28" s="13">
        <v>5887</v>
      </c>
      <c r="L28" s="13">
        <v>514</v>
      </c>
      <c r="M28" s="13">
        <v>260</v>
      </c>
      <c r="N28" s="13">
        <v>1634</v>
      </c>
      <c r="O28" s="13">
        <v>196</v>
      </c>
      <c r="P28" s="13">
        <v>29.4</v>
      </c>
      <c r="Q28" s="13">
        <v>254</v>
      </c>
      <c r="R28" s="13">
        <v>19.5</v>
      </c>
      <c r="S28" s="13">
        <v>107</v>
      </c>
      <c r="T28" s="13">
        <v>726</v>
      </c>
      <c r="U28" s="13">
        <v>23.7</v>
      </c>
      <c r="V28" s="13">
        <v>67.3</v>
      </c>
      <c r="W28" s="13">
        <v>10</v>
      </c>
      <c r="X28" s="13">
        <v>68.099999999999994</v>
      </c>
      <c r="Y28" s="13">
        <v>11.6</v>
      </c>
      <c r="Z28" s="13">
        <v>2027</v>
      </c>
      <c r="AA28" s="13"/>
      <c r="AB28" s="13"/>
      <c r="AC28" s="14">
        <v>1324.3243243243244</v>
      </c>
      <c r="AD28" s="14">
        <v>522.20248667850797</v>
      </c>
      <c r="AE28" s="14">
        <v>1276.3819095477386</v>
      </c>
      <c r="AF28" s="14">
        <v>540.16620498614964</v>
      </c>
      <c r="AG28" s="15">
        <v>0.40158513858831835</v>
      </c>
      <c r="AH28" s="15">
        <v>0.40165339061551841</v>
      </c>
      <c r="AI28" s="15">
        <v>0.53170028781208034</v>
      </c>
      <c r="AJ28" s="41">
        <f t="shared" si="0"/>
        <v>11347</v>
      </c>
      <c r="AK28" s="44">
        <f t="shared" si="1"/>
        <v>0.35812672176308541</v>
      </c>
      <c r="AL28" s="10"/>
      <c r="AM28" s="10"/>
    </row>
    <row r="29" spans="1:39" s="16" customFormat="1" ht="19" customHeight="1">
      <c r="A29" s="9" t="s">
        <v>56</v>
      </c>
      <c r="B29" s="10" t="s">
        <v>29</v>
      </c>
      <c r="C29" s="10"/>
      <c r="D29" s="10"/>
      <c r="E29" s="11" t="s">
        <v>1341</v>
      </c>
      <c r="F29" s="11" t="s">
        <v>30</v>
      </c>
      <c r="G29" s="12" t="s">
        <v>46</v>
      </c>
      <c r="H29" s="13"/>
      <c r="I29" s="13"/>
      <c r="J29" s="13">
        <v>1460</v>
      </c>
      <c r="K29" s="13">
        <v>3462</v>
      </c>
      <c r="L29" s="13">
        <v>432</v>
      </c>
      <c r="M29" s="13">
        <v>46.3</v>
      </c>
      <c r="N29" s="13">
        <v>1850</v>
      </c>
      <c r="O29" s="13">
        <v>375</v>
      </c>
      <c r="P29" s="13">
        <v>30.9</v>
      </c>
      <c r="Q29" s="13">
        <v>360</v>
      </c>
      <c r="R29" s="13">
        <v>49.5</v>
      </c>
      <c r="S29" s="13">
        <v>286</v>
      </c>
      <c r="T29" s="13">
        <v>1634</v>
      </c>
      <c r="U29" s="13">
        <v>55.3</v>
      </c>
      <c r="V29" s="13">
        <v>142</v>
      </c>
      <c r="W29" s="13">
        <v>17</v>
      </c>
      <c r="X29" s="13">
        <v>99</v>
      </c>
      <c r="Y29" s="13">
        <v>11.9</v>
      </c>
      <c r="Z29" s="13">
        <v>3428</v>
      </c>
      <c r="AA29" s="13"/>
      <c r="AB29" s="13"/>
      <c r="AC29" s="14">
        <v>2533.7837837837837</v>
      </c>
      <c r="AD29" s="14">
        <v>548.84547069271764</v>
      </c>
      <c r="AE29" s="14">
        <v>1809.0452261306532</v>
      </c>
      <c r="AF29" s="14">
        <v>1371.1911357340721</v>
      </c>
      <c r="AG29" s="15">
        <v>0.25275941992638162</v>
      </c>
      <c r="AH29" s="15">
        <v>0.25635429390986986</v>
      </c>
      <c r="AI29" s="15">
        <v>0.26580983815104497</v>
      </c>
      <c r="AJ29" s="41">
        <f t="shared" si="0"/>
        <v>7204</v>
      </c>
      <c r="AK29" s="44">
        <f t="shared" si="1"/>
        <v>2.8335373317013461E-2</v>
      </c>
      <c r="AL29" s="10"/>
      <c r="AM29" s="10"/>
    </row>
    <row r="30" spans="1:39" s="16" customFormat="1" ht="19" customHeight="1">
      <c r="A30" s="9" t="s">
        <v>57</v>
      </c>
      <c r="B30" s="10" t="s">
        <v>29</v>
      </c>
      <c r="C30" s="10"/>
      <c r="D30" s="10"/>
      <c r="E30" s="11" t="s">
        <v>1341</v>
      </c>
      <c r="F30" s="11" t="s">
        <v>30</v>
      </c>
      <c r="G30" s="12" t="s">
        <v>46</v>
      </c>
      <c r="H30" s="13"/>
      <c r="I30" s="13"/>
      <c r="J30" s="13">
        <v>732</v>
      </c>
      <c r="K30" s="13">
        <v>2124</v>
      </c>
      <c r="L30" s="13">
        <v>304</v>
      </c>
      <c r="M30" s="13">
        <v>195</v>
      </c>
      <c r="N30" s="13">
        <v>1470</v>
      </c>
      <c r="O30" s="13">
        <v>327</v>
      </c>
      <c r="P30" s="13">
        <v>37.9</v>
      </c>
      <c r="Q30" s="13">
        <v>297</v>
      </c>
      <c r="R30" s="13">
        <v>40.700000000000003</v>
      </c>
      <c r="S30" s="13">
        <v>223</v>
      </c>
      <c r="T30" s="13">
        <v>1183</v>
      </c>
      <c r="U30" s="13">
        <v>43.3</v>
      </c>
      <c r="V30" s="13">
        <v>107</v>
      </c>
      <c r="W30" s="13">
        <v>13.2</v>
      </c>
      <c r="X30" s="13">
        <v>84.6</v>
      </c>
      <c r="Y30" s="13">
        <v>11.9</v>
      </c>
      <c r="Z30" s="13">
        <v>645</v>
      </c>
      <c r="AA30" s="13"/>
      <c r="AB30" s="13"/>
      <c r="AC30" s="14">
        <v>2209.4594594594596</v>
      </c>
      <c r="AD30" s="14">
        <v>673.17939609236237</v>
      </c>
      <c r="AE30" s="14">
        <v>1492.4623115577888</v>
      </c>
      <c r="AF30" s="14">
        <v>1127.4238227146816</v>
      </c>
      <c r="AG30" s="15">
        <v>0.36369185397852416</v>
      </c>
      <c r="AH30" s="15">
        <v>0.37071154383798138</v>
      </c>
      <c r="AI30" s="15">
        <v>0.38128031882522384</v>
      </c>
      <c r="AJ30" s="41">
        <f t="shared" si="0"/>
        <v>4630</v>
      </c>
      <c r="AK30" s="44">
        <f t="shared" si="1"/>
        <v>0.16483516483516483</v>
      </c>
      <c r="AL30" s="10"/>
      <c r="AM30" s="10"/>
    </row>
    <row r="31" spans="1:39" s="16" customFormat="1" ht="19" customHeight="1">
      <c r="A31" s="9" t="s">
        <v>58</v>
      </c>
      <c r="B31" s="10" t="s">
        <v>29</v>
      </c>
      <c r="C31" s="10"/>
      <c r="D31" s="10"/>
      <c r="E31" s="11" t="s">
        <v>1341</v>
      </c>
      <c r="F31" s="11" t="s">
        <v>30</v>
      </c>
      <c r="G31" s="12" t="s">
        <v>46</v>
      </c>
      <c r="H31" s="13"/>
      <c r="I31" s="13"/>
      <c r="J31" s="13">
        <v>488</v>
      </c>
      <c r="K31" s="13">
        <v>1387</v>
      </c>
      <c r="L31" s="13">
        <v>209</v>
      </c>
      <c r="M31" s="13">
        <v>170</v>
      </c>
      <c r="N31" s="13">
        <v>965</v>
      </c>
      <c r="O31" s="13">
        <v>209</v>
      </c>
      <c r="P31" s="13">
        <v>24.4</v>
      </c>
      <c r="Q31" s="13">
        <v>185</v>
      </c>
      <c r="R31" s="13">
        <v>23.1</v>
      </c>
      <c r="S31" s="13">
        <v>132</v>
      </c>
      <c r="T31" s="13">
        <v>768</v>
      </c>
      <c r="U31" s="13">
        <v>25.7</v>
      </c>
      <c r="V31" s="13">
        <v>66.7</v>
      </c>
      <c r="W31" s="13">
        <v>8.44</v>
      </c>
      <c r="X31" s="13">
        <v>52.1</v>
      </c>
      <c r="Y31" s="13">
        <v>8.01</v>
      </c>
      <c r="Z31" s="13">
        <v>509</v>
      </c>
      <c r="AA31" s="13"/>
      <c r="AB31" s="13"/>
      <c r="AC31" s="14">
        <v>1412.1621621621623</v>
      </c>
      <c r="AD31" s="14">
        <v>433.39253996447604</v>
      </c>
      <c r="AE31" s="14">
        <v>929.64824120603009</v>
      </c>
      <c r="AF31" s="14">
        <v>639.88919667590028</v>
      </c>
      <c r="AG31" s="15">
        <v>0.3701346098224978</v>
      </c>
      <c r="AH31" s="15">
        <v>0.37825076943311953</v>
      </c>
      <c r="AI31" s="15">
        <v>0.39956747143183852</v>
      </c>
      <c r="AJ31" s="41">
        <f t="shared" si="0"/>
        <v>3049</v>
      </c>
      <c r="AK31" s="44">
        <f t="shared" si="1"/>
        <v>0.22135416666666666</v>
      </c>
      <c r="AL31" s="10"/>
      <c r="AM31" s="10"/>
    </row>
    <row r="32" spans="1:39" s="16" customFormat="1" ht="19" customHeight="1">
      <c r="A32" s="9" t="s">
        <v>59</v>
      </c>
      <c r="B32" s="10" t="s">
        <v>29</v>
      </c>
      <c r="C32" s="10"/>
      <c r="D32" s="10"/>
      <c r="E32" s="11" t="s">
        <v>1341</v>
      </c>
      <c r="F32" s="11" t="s">
        <v>30</v>
      </c>
      <c r="G32" s="12" t="s">
        <v>46</v>
      </c>
      <c r="H32" s="13"/>
      <c r="I32" s="13"/>
      <c r="J32" s="13">
        <v>332</v>
      </c>
      <c r="K32" s="13">
        <v>1235</v>
      </c>
      <c r="L32" s="13">
        <v>226</v>
      </c>
      <c r="M32" s="13">
        <v>30.7</v>
      </c>
      <c r="N32" s="13">
        <v>984</v>
      </c>
      <c r="O32" s="13">
        <v>426</v>
      </c>
      <c r="P32" s="13">
        <v>6.87</v>
      </c>
      <c r="Q32" s="13">
        <v>493</v>
      </c>
      <c r="R32" s="13">
        <v>87.3</v>
      </c>
      <c r="S32" s="13">
        <v>446</v>
      </c>
      <c r="T32" s="13">
        <v>2619</v>
      </c>
      <c r="U32" s="13">
        <v>72.599999999999994</v>
      </c>
      <c r="V32" s="13">
        <v>187</v>
      </c>
      <c r="W32" s="13">
        <v>22.5</v>
      </c>
      <c r="X32" s="13">
        <v>131</v>
      </c>
      <c r="Y32" s="13">
        <v>16.600000000000001</v>
      </c>
      <c r="Z32" s="13">
        <v>6507</v>
      </c>
      <c r="AA32" s="13"/>
      <c r="AB32" s="13"/>
      <c r="AC32" s="14">
        <v>2878.3783783783783</v>
      </c>
      <c r="AD32" s="14">
        <v>122.02486678507994</v>
      </c>
      <c r="AE32" s="14">
        <v>2477.3869346733668</v>
      </c>
      <c r="AF32" s="14">
        <v>2418.2825484764544</v>
      </c>
      <c r="AG32" s="15">
        <v>4.5567667607731489E-2</v>
      </c>
      <c r="AH32" s="15">
        <v>4.5695925627165797E-2</v>
      </c>
      <c r="AI32" s="15">
        <v>4.4927688273500764E-2</v>
      </c>
      <c r="AJ32" s="41">
        <f t="shared" si="0"/>
        <v>2777</v>
      </c>
      <c r="AK32" s="44">
        <f t="shared" si="1"/>
        <v>1.1722031309660175E-2</v>
      </c>
      <c r="AL32" s="10"/>
      <c r="AM32" s="10"/>
    </row>
    <row r="33" spans="1:39" s="16" customFormat="1" ht="19" customHeight="1">
      <c r="A33" s="9" t="s">
        <v>60</v>
      </c>
      <c r="B33" s="10" t="s">
        <v>61</v>
      </c>
      <c r="C33" s="10"/>
      <c r="D33" s="10"/>
      <c r="E33" s="17" t="s">
        <v>45</v>
      </c>
      <c r="F33" s="17" t="s">
        <v>30</v>
      </c>
      <c r="G33" s="12" t="s">
        <v>46</v>
      </c>
      <c r="H33" s="13"/>
      <c r="I33" s="13"/>
      <c r="J33" s="13">
        <v>111</v>
      </c>
      <c r="K33" s="13">
        <v>381</v>
      </c>
      <c r="L33" s="13">
        <v>69.400000000000006</v>
      </c>
      <c r="M33" s="13">
        <v>71.7</v>
      </c>
      <c r="N33" s="13">
        <v>438</v>
      </c>
      <c r="O33" s="13">
        <v>290</v>
      </c>
      <c r="P33" s="13">
        <v>5.66</v>
      </c>
      <c r="Q33" s="13">
        <v>533</v>
      </c>
      <c r="R33" s="13">
        <v>123</v>
      </c>
      <c r="S33" s="13">
        <v>849</v>
      </c>
      <c r="T33" s="13">
        <v>5239</v>
      </c>
      <c r="U33" s="13">
        <v>180</v>
      </c>
      <c r="V33" s="13">
        <v>489</v>
      </c>
      <c r="W33" s="13">
        <v>66.900000000000006</v>
      </c>
      <c r="X33" s="13">
        <v>417</v>
      </c>
      <c r="Y33" s="13">
        <v>52.2</v>
      </c>
      <c r="Z33" s="13">
        <v>799</v>
      </c>
      <c r="AA33" s="13"/>
      <c r="AB33" s="13"/>
      <c r="AC33" s="14">
        <v>1959.4594594594596</v>
      </c>
      <c r="AD33" s="14">
        <v>100.5328596802842</v>
      </c>
      <c r="AE33" s="14">
        <v>2678.3919597989948</v>
      </c>
      <c r="AF33" s="14">
        <v>3407.2022160664819</v>
      </c>
      <c r="AG33" s="15">
        <v>4.335320414225706E-2</v>
      </c>
      <c r="AH33" s="15">
        <v>4.3883658705254437E-2</v>
      </c>
      <c r="AI33" s="15">
        <v>4.2666257015488936E-2</v>
      </c>
      <c r="AJ33" s="41">
        <f t="shared" si="0"/>
        <v>999.4</v>
      </c>
      <c r="AK33" s="44">
        <f t="shared" si="1"/>
        <v>1.3685817904180187E-2</v>
      </c>
      <c r="AL33" s="10"/>
      <c r="AM33" s="10"/>
    </row>
    <row r="34" spans="1:39" s="16" customFormat="1" ht="19" customHeight="1">
      <c r="A34" s="9" t="s">
        <v>62</v>
      </c>
      <c r="B34" s="10" t="s">
        <v>61</v>
      </c>
      <c r="C34" s="10"/>
      <c r="D34" s="10"/>
      <c r="E34" s="17" t="s">
        <v>45</v>
      </c>
      <c r="F34" s="17" t="s">
        <v>30</v>
      </c>
      <c r="G34" s="12" t="s">
        <v>46</v>
      </c>
      <c r="H34" s="13"/>
      <c r="I34" s="13"/>
      <c r="J34" s="13">
        <v>336</v>
      </c>
      <c r="K34" s="13">
        <v>1300</v>
      </c>
      <c r="L34" s="13">
        <v>213</v>
      </c>
      <c r="M34" s="13">
        <v>69.2</v>
      </c>
      <c r="N34" s="13">
        <v>1045</v>
      </c>
      <c r="O34" s="13">
        <v>471</v>
      </c>
      <c r="P34" s="13">
        <v>14.6</v>
      </c>
      <c r="Q34" s="13">
        <v>545</v>
      </c>
      <c r="R34" s="13">
        <v>106</v>
      </c>
      <c r="S34" s="13">
        <v>644</v>
      </c>
      <c r="T34" s="13">
        <v>3163</v>
      </c>
      <c r="U34" s="13">
        <v>116</v>
      </c>
      <c r="V34" s="13">
        <v>288</v>
      </c>
      <c r="W34" s="13">
        <v>36</v>
      </c>
      <c r="X34" s="13">
        <v>221</v>
      </c>
      <c r="Y34" s="13">
        <v>25</v>
      </c>
      <c r="Z34" s="13">
        <v>5851</v>
      </c>
      <c r="AA34" s="13"/>
      <c r="AB34" s="13"/>
      <c r="AC34" s="14">
        <v>3182.4324324324325</v>
      </c>
      <c r="AD34" s="14">
        <v>259.32504440497337</v>
      </c>
      <c r="AE34" s="14">
        <v>2738.6934673366832</v>
      </c>
      <c r="AF34" s="14">
        <v>2936.2880886426592</v>
      </c>
      <c r="AG34" s="15">
        <v>8.7593153327506612E-2</v>
      </c>
      <c r="AH34" s="15">
        <v>8.7840166869282588E-2</v>
      </c>
      <c r="AI34" s="15">
        <v>8.3702567349937876E-2</v>
      </c>
      <c r="AJ34" s="41">
        <f t="shared" si="0"/>
        <v>2894</v>
      </c>
      <c r="AK34" s="44">
        <f t="shared" si="1"/>
        <v>2.1877963958267469E-2</v>
      </c>
      <c r="AL34" s="10"/>
      <c r="AM34" s="10"/>
    </row>
    <row r="35" spans="1:39" s="16" customFormat="1" ht="19" customHeight="1">
      <c r="A35" s="9" t="s">
        <v>63</v>
      </c>
      <c r="B35" s="10" t="s">
        <v>61</v>
      </c>
      <c r="C35" s="10"/>
      <c r="D35" s="10"/>
      <c r="E35" s="17" t="s">
        <v>45</v>
      </c>
      <c r="F35" s="17" t="s">
        <v>30</v>
      </c>
      <c r="G35" s="12" t="s">
        <v>46</v>
      </c>
      <c r="H35" s="13"/>
      <c r="I35" s="13"/>
      <c r="J35" s="13">
        <v>232</v>
      </c>
      <c r="K35" s="13">
        <v>877</v>
      </c>
      <c r="L35" s="13">
        <v>165</v>
      </c>
      <c r="M35" s="13">
        <v>52.2</v>
      </c>
      <c r="N35" s="13">
        <v>900</v>
      </c>
      <c r="O35" s="13">
        <v>337</v>
      </c>
      <c r="P35" s="13">
        <v>4.95</v>
      </c>
      <c r="Q35" s="13">
        <v>393</v>
      </c>
      <c r="R35" s="13">
        <v>61</v>
      </c>
      <c r="S35" s="13">
        <v>370</v>
      </c>
      <c r="T35" s="13">
        <v>2335</v>
      </c>
      <c r="U35" s="13">
        <v>72.8</v>
      </c>
      <c r="V35" s="13">
        <v>190</v>
      </c>
      <c r="W35" s="13">
        <v>23.9</v>
      </c>
      <c r="X35" s="13">
        <v>146</v>
      </c>
      <c r="Y35" s="13">
        <v>20.6</v>
      </c>
      <c r="Z35" s="13">
        <v>993</v>
      </c>
      <c r="AA35" s="13"/>
      <c r="AB35" s="13"/>
      <c r="AC35" s="14">
        <v>2277.0270270270271</v>
      </c>
      <c r="AD35" s="14">
        <v>87.921847246891659</v>
      </c>
      <c r="AE35" s="14">
        <v>1974.8743718592964</v>
      </c>
      <c r="AF35" s="14">
        <v>1689.7506925207756</v>
      </c>
      <c r="AG35" s="15">
        <v>4.1356484545911877E-2</v>
      </c>
      <c r="AH35" s="15">
        <v>4.1461305659929226E-2</v>
      </c>
      <c r="AI35" s="15">
        <v>4.2649158804100008E-2</v>
      </c>
      <c r="AJ35" s="41">
        <f t="shared" si="0"/>
        <v>2174</v>
      </c>
      <c r="AK35" s="44">
        <f t="shared" si="1"/>
        <v>2.2355460385438973E-2</v>
      </c>
      <c r="AL35" s="10"/>
      <c r="AM35" s="10"/>
    </row>
    <row r="36" spans="1:39" s="16" customFormat="1" ht="19" customHeight="1">
      <c r="A36" s="9" t="s">
        <v>64</v>
      </c>
      <c r="B36" s="10" t="s">
        <v>61</v>
      </c>
      <c r="C36" s="10"/>
      <c r="D36" s="10"/>
      <c r="E36" s="17" t="s">
        <v>45</v>
      </c>
      <c r="F36" s="17" t="s">
        <v>30</v>
      </c>
      <c r="G36" s="12" t="s">
        <v>46</v>
      </c>
      <c r="H36" s="13"/>
      <c r="I36" s="13"/>
      <c r="J36" s="13">
        <v>797</v>
      </c>
      <c r="K36" s="13">
        <v>2325</v>
      </c>
      <c r="L36" s="13">
        <v>352</v>
      </c>
      <c r="M36" s="13">
        <v>29.6</v>
      </c>
      <c r="N36" s="13">
        <v>1765</v>
      </c>
      <c r="O36" s="13">
        <v>550</v>
      </c>
      <c r="P36" s="13">
        <v>6.63</v>
      </c>
      <c r="Q36" s="13">
        <v>583</v>
      </c>
      <c r="R36" s="13">
        <v>96.7</v>
      </c>
      <c r="S36" s="13">
        <v>561</v>
      </c>
      <c r="T36" s="13">
        <v>3157</v>
      </c>
      <c r="U36" s="13">
        <v>103</v>
      </c>
      <c r="V36" s="13">
        <v>266</v>
      </c>
      <c r="W36" s="13">
        <v>34.5</v>
      </c>
      <c r="X36" s="13">
        <v>214</v>
      </c>
      <c r="Y36" s="13">
        <v>26.6</v>
      </c>
      <c r="Z36" s="13">
        <v>2290</v>
      </c>
      <c r="AA36" s="13"/>
      <c r="AB36" s="13"/>
      <c r="AC36" s="14">
        <v>3716.2162162162163</v>
      </c>
      <c r="AD36" s="14">
        <v>117.7619893428064</v>
      </c>
      <c r="AE36" s="14">
        <v>2929.64824120603</v>
      </c>
      <c r="AF36" s="14">
        <v>2678.6703601108034</v>
      </c>
      <c r="AG36" s="15">
        <v>3.5439178784721449E-2</v>
      </c>
      <c r="AH36" s="15">
        <v>3.569002953305872E-2</v>
      </c>
      <c r="AI36" s="15">
        <v>3.5342564596887206E-2</v>
      </c>
      <c r="AJ36" s="41">
        <f t="shared" si="0"/>
        <v>5239</v>
      </c>
      <c r="AK36" s="44">
        <f t="shared" si="1"/>
        <v>9.3759898637947418E-3</v>
      </c>
      <c r="AL36" s="10"/>
      <c r="AM36" s="10"/>
    </row>
    <row r="37" spans="1:39" s="16" customFormat="1" ht="19" customHeight="1">
      <c r="A37" s="9" t="s">
        <v>65</v>
      </c>
      <c r="B37" s="10" t="s">
        <v>61</v>
      </c>
      <c r="C37" s="10"/>
      <c r="D37" s="10"/>
      <c r="E37" s="17" t="s">
        <v>45</v>
      </c>
      <c r="F37" s="17" t="s">
        <v>30</v>
      </c>
      <c r="G37" s="12" t="s">
        <v>46</v>
      </c>
      <c r="H37" s="13"/>
      <c r="I37" s="13"/>
      <c r="J37" s="13">
        <v>3429</v>
      </c>
      <c r="K37" s="13">
        <v>6442</v>
      </c>
      <c r="L37" s="13">
        <v>668</v>
      </c>
      <c r="M37" s="13">
        <v>117</v>
      </c>
      <c r="N37" s="13">
        <v>2472</v>
      </c>
      <c r="O37" s="13">
        <v>408</v>
      </c>
      <c r="P37" s="13">
        <v>7.16</v>
      </c>
      <c r="Q37" s="13">
        <v>387</v>
      </c>
      <c r="R37" s="13">
        <v>45.1</v>
      </c>
      <c r="S37" s="13">
        <v>244</v>
      </c>
      <c r="T37" s="13">
        <v>1405</v>
      </c>
      <c r="U37" s="13">
        <v>47.5</v>
      </c>
      <c r="V37" s="13">
        <v>121</v>
      </c>
      <c r="W37" s="13">
        <v>15.7</v>
      </c>
      <c r="X37" s="13">
        <v>96.8</v>
      </c>
      <c r="Y37" s="13">
        <v>12.8</v>
      </c>
      <c r="Z37" s="13">
        <v>708</v>
      </c>
      <c r="AA37" s="13"/>
      <c r="AB37" s="13"/>
      <c r="AC37" s="14">
        <v>2756.7567567567571</v>
      </c>
      <c r="AD37" s="14">
        <v>127.17584369449379</v>
      </c>
      <c r="AE37" s="14">
        <v>1944.7236180904522</v>
      </c>
      <c r="AF37" s="14">
        <v>1249.3074792243767</v>
      </c>
      <c r="AG37" s="15">
        <v>5.41003401289862E-2</v>
      </c>
      <c r="AH37" s="15">
        <v>5.4925808615411062E-2</v>
      </c>
      <c r="AI37" s="15">
        <v>6.005961574954323E-2</v>
      </c>
      <c r="AJ37" s="41">
        <f t="shared" si="0"/>
        <v>13011</v>
      </c>
      <c r="AK37" s="44">
        <f t="shared" si="1"/>
        <v>8.3274021352313168E-2</v>
      </c>
      <c r="AL37" s="10"/>
      <c r="AM37" s="10"/>
    </row>
    <row r="38" spans="1:39" s="16" customFormat="1" ht="19" customHeight="1">
      <c r="A38" s="9" t="s">
        <v>66</v>
      </c>
      <c r="B38" s="10" t="s">
        <v>61</v>
      </c>
      <c r="C38" s="10"/>
      <c r="D38" s="10"/>
      <c r="E38" s="17" t="s">
        <v>45</v>
      </c>
      <c r="F38" s="17" t="s">
        <v>30</v>
      </c>
      <c r="G38" s="12" t="s">
        <v>46</v>
      </c>
      <c r="H38" s="13"/>
      <c r="I38" s="13"/>
      <c r="J38" s="13">
        <v>1555</v>
      </c>
      <c r="K38" s="13">
        <v>4243</v>
      </c>
      <c r="L38" s="13">
        <v>598</v>
      </c>
      <c r="M38" s="13">
        <v>57.1</v>
      </c>
      <c r="N38" s="13">
        <v>2788</v>
      </c>
      <c r="O38" s="13">
        <v>696</v>
      </c>
      <c r="P38" s="13">
        <v>6.62</v>
      </c>
      <c r="Q38" s="13">
        <v>681</v>
      </c>
      <c r="R38" s="13">
        <v>98.1</v>
      </c>
      <c r="S38" s="13">
        <v>522</v>
      </c>
      <c r="T38" s="13">
        <v>2524</v>
      </c>
      <c r="U38" s="13">
        <v>95.8</v>
      </c>
      <c r="V38" s="13">
        <v>225</v>
      </c>
      <c r="W38" s="13">
        <v>26.4</v>
      </c>
      <c r="X38" s="13">
        <v>152</v>
      </c>
      <c r="Y38" s="13">
        <v>19.3</v>
      </c>
      <c r="Z38" s="13">
        <v>695</v>
      </c>
      <c r="AA38" s="13"/>
      <c r="AB38" s="13"/>
      <c r="AC38" s="14">
        <v>4702.7027027027025</v>
      </c>
      <c r="AD38" s="14">
        <v>117.58436944937834</v>
      </c>
      <c r="AE38" s="14">
        <v>3422.1105527638188</v>
      </c>
      <c r="AF38" s="14">
        <v>2717.4515235457061</v>
      </c>
      <c r="AG38" s="15">
        <v>2.8944510046496258E-2</v>
      </c>
      <c r="AH38" s="15">
        <v>2.9310877116777389E-2</v>
      </c>
      <c r="AI38" s="15">
        <v>3.0019075306671906E-2</v>
      </c>
      <c r="AJ38" s="41">
        <f t="shared" si="0"/>
        <v>9184</v>
      </c>
      <c r="AK38" s="44">
        <f t="shared" si="1"/>
        <v>2.2622820919175911E-2</v>
      </c>
      <c r="AL38" s="10"/>
      <c r="AM38" s="10"/>
    </row>
    <row r="39" spans="1:39" s="16" customFormat="1" ht="19" customHeight="1">
      <c r="A39" s="9" t="s">
        <v>67</v>
      </c>
      <c r="B39" s="10" t="s">
        <v>61</v>
      </c>
      <c r="C39" s="10"/>
      <c r="D39" s="10"/>
      <c r="E39" s="17" t="s">
        <v>45</v>
      </c>
      <c r="F39" s="17" t="s">
        <v>30</v>
      </c>
      <c r="G39" s="12" t="s">
        <v>46</v>
      </c>
      <c r="H39" s="13"/>
      <c r="I39" s="13"/>
      <c r="J39" s="13">
        <v>461</v>
      </c>
      <c r="K39" s="13">
        <v>1399</v>
      </c>
      <c r="L39" s="13">
        <v>219</v>
      </c>
      <c r="M39" s="13">
        <v>166</v>
      </c>
      <c r="N39" s="13">
        <v>998</v>
      </c>
      <c r="O39" s="13">
        <v>245</v>
      </c>
      <c r="P39" s="13">
        <v>14.8</v>
      </c>
      <c r="Q39" s="13">
        <v>226</v>
      </c>
      <c r="R39" s="13">
        <v>31.9</v>
      </c>
      <c r="S39" s="13">
        <v>188</v>
      </c>
      <c r="T39" s="13">
        <v>1170</v>
      </c>
      <c r="U39" s="13">
        <v>37</v>
      </c>
      <c r="V39" s="13">
        <v>96.5</v>
      </c>
      <c r="W39" s="13">
        <v>12.7</v>
      </c>
      <c r="X39" s="13">
        <v>78.400000000000006</v>
      </c>
      <c r="Y39" s="13">
        <v>10.9</v>
      </c>
      <c r="Z39" s="13">
        <v>656</v>
      </c>
      <c r="AA39" s="13"/>
      <c r="AB39" s="13"/>
      <c r="AC39" s="14">
        <v>1655.4054054054054</v>
      </c>
      <c r="AD39" s="14">
        <v>262.87744227353465</v>
      </c>
      <c r="AE39" s="14">
        <v>1135.678391959799</v>
      </c>
      <c r="AF39" s="14">
        <v>883.65650969529077</v>
      </c>
      <c r="AG39" s="15">
        <v>0.18836943736457656</v>
      </c>
      <c r="AH39" s="15">
        <v>0.19172266390098297</v>
      </c>
      <c r="AI39" s="15">
        <v>0.19575938013111893</v>
      </c>
      <c r="AJ39" s="41">
        <f t="shared" si="0"/>
        <v>3077</v>
      </c>
      <c r="AK39" s="44">
        <f t="shared" si="1"/>
        <v>0.14188034188034188</v>
      </c>
      <c r="AL39" s="10"/>
      <c r="AM39" s="10"/>
    </row>
    <row r="40" spans="1:39" s="16" customFormat="1" ht="19" customHeight="1">
      <c r="A40" s="9" t="s">
        <v>68</v>
      </c>
      <c r="B40" s="10" t="s">
        <v>61</v>
      </c>
      <c r="C40" s="10"/>
      <c r="D40" s="10"/>
      <c r="E40" s="17" t="s">
        <v>45</v>
      </c>
      <c r="F40" s="17" t="s">
        <v>30</v>
      </c>
      <c r="G40" s="12" t="s">
        <v>46</v>
      </c>
      <c r="H40" s="13"/>
      <c r="I40" s="13"/>
      <c r="J40" s="13">
        <v>940</v>
      </c>
      <c r="K40" s="13">
        <v>2437</v>
      </c>
      <c r="L40" s="13">
        <v>362</v>
      </c>
      <c r="M40" s="13">
        <v>105</v>
      </c>
      <c r="N40" s="13">
        <v>1778</v>
      </c>
      <c r="O40" s="13">
        <v>483</v>
      </c>
      <c r="P40" s="13">
        <v>26.1</v>
      </c>
      <c r="Q40" s="13">
        <v>474</v>
      </c>
      <c r="R40" s="13">
        <v>83.3</v>
      </c>
      <c r="S40" s="13">
        <v>505</v>
      </c>
      <c r="T40" s="13">
        <v>3497</v>
      </c>
      <c r="U40" s="13">
        <v>104</v>
      </c>
      <c r="V40" s="13">
        <v>275</v>
      </c>
      <c r="W40" s="13">
        <v>40.299999999999997</v>
      </c>
      <c r="X40" s="13">
        <v>293</v>
      </c>
      <c r="Y40" s="13">
        <v>39.299999999999997</v>
      </c>
      <c r="Z40" s="13">
        <v>2180</v>
      </c>
      <c r="AA40" s="13"/>
      <c r="AB40" s="13"/>
      <c r="AC40" s="14">
        <v>3263.5135135135138</v>
      </c>
      <c r="AD40" s="14">
        <v>463.58792184724695</v>
      </c>
      <c r="AE40" s="14">
        <v>2381.9095477386932</v>
      </c>
      <c r="AF40" s="14">
        <v>2307.4792243767311</v>
      </c>
      <c r="AG40" s="15">
        <v>0.16423496231101548</v>
      </c>
      <c r="AH40" s="15">
        <v>0.16627492942710773</v>
      </c>
      <c r="AI40" s="15">
        <v>0.15945173019649247</v>
      </c>
      <c r="AJ40" s="41">
        <f t="shared" si="0"/>
        <v>5517</v>
      </c>
      <c r="AK40" s="44">
        <f t="shared" si="1"/>
        <v>3.0025736345438949E-2</v>
      </c>
      <c r="AL40" s="10"/>
      <c r="AM40" s="10"/>
    </row>
    <row r="41" spans="1:39" s="16" customFormat="1" ht="19" customHeight="1">
      <c r="A41" s="9" t="s">
        <v>69</v>
      </c>
      <c r="B41" s="10" t="s">
        <v>61</v>
      </c>
      <c r="C41" s="10"/>
      <c r="D41" s="10"/>
      <c r="E41" s="17" t="s">
        <v>45</v>
      </c>
      <c r="F41" s="17" t="s">
        <v>30</v>
      </c>
      <c r="G41" s="12" t="s">
        <v>46</v>
      </c>
      <c r="H41" s="13"/>
      <c r="I41" s="13"/>
      <c r="J41" s="13">
        <v>651</v>
      </c>
      <c r="K41" s="13">
        <v>1891</v>
      </c>
      <c r="L41" s="13">
        <v>284</v>
      </c>
      <c r="M41" s="13">
        <v>54.1</v>
      </c>
      <c r="N41" s="13">
        <v>1330</v>
      </c>
      <c r="O41" s="13">
        <v>383</v>
      </c>
      <c r="P41" s="13">
        <v>5.3</v>
      </c>
      <c r="Q41" s="13">
        <v>381</v>
      </c>
      <c r="R41" s="13">
        <v>62.5</v>
      </c>
      <c r="S41" s="13">
        <v>360</v>
      </c>
      <c r="T41" s="13">
        <v>2017</v>
      </c>
      <c r="U41" s="13">
        <v>68.900000000000006</v>
      </c>
      <c r="V41" s="13">
        <v>179</v>
      </c>
      <c r="W41" s="13">
        <v>25</v>
      </c>
      <c r="X41" s="13">
        <v>182</v>
      </c>
      <c r="Y41" s="13">
        <v>23.9</v>
      </c>
      <c r="Z41" s="13">
        <v>4087</v>
      </c>
      <c r="AA41" s="13"/>
      <c r="AB41" s="13"/>
      <c r="AC41" s="14">
        <v>2587.8378378378379</v>
      </c>
      <c r="AD41" s="14">
        <v>94.138543516873895</v>
      </c>
      <c r="AE41" s="14">
        <v>1914.572864321608</v>
      </c>
      <c r="AF41" s="14">
        <v>1731.3019390581717</v>
      </c>
      <c r="AG41" s="15">
        <v>4.1816950848896646E-2</v>
      </c>
      <c r="AH41" s="15">
        <v>4.2292464733055521E-2</v>
      </c>
      <c r="AI41" s="15">
        <v>4.1592832541813216E-2</v>
      </c>
      <c r="AJ41" s="41">
        <f t="shared" si="0"/>
        <v>4156</v>
      </c>
      <c r="AK41" s="44">
        <f t="shared" si="1"/>
        <v>2.6822012890431336E-2</v>
      </c>
      <c r="AL41" s="10"/>
      <c r="AM41" s="10"/>
    </row>
    <row r="42" spans="1:39" s="16" customFormat="1" ht="19" customHeight="1">
      <c r="A42" s="9" t="s">
        <v>70</v>
      </c>
      <c r="B42" s="10" t="s">
        <v>1355</v>
      </c>
      <c r="C42" s="10"/>
      <c r="D42" s="10"/>
      <c r="E42" s="11" t="s">
        <v>1341</v>
      </c>
      <c r="F42" s="11" t="s">
        <v>30</v>
      </c>
      <c r="G42" s="12" t="s">
        <v>46</v>
      </c>
      <c r="H42" s="13"/>
      <c r="I42" s="13"/>
      <c r="J42" s="13">
        <v>1439</v>
      </c>
      <c r="K42" s="13">
        <v>2883</v>
      </c>
      <c r="L42" s="13">
        <v>301</v>
      </c>
      <c r="M42" s="13">
        <v>239</v>
      </c>
      <c r="N42" s="13">
        <v>1127</v>
      </c>
      <c r="O42" s="13">
        <v>188</v>
      </c>
      <c r="P42" s="13">
        <v>22.6</v>
      </c>
      <c r="Q42" s="13">
        <v>86</v>
      </c>
      <c r="R42" s="13">
        <v>20.6</v>
      </c>
      <c r="S42" s="13">
        <v>111</v>
      </c>
      <c r="T42" s="13">
        <v>549</v>
      </c>
      <c r="U42" s="13">
        <v>21.6</v>
      </c>
      <c r="V42" s="13">
        <v>54.9</v>
      </c>
      <c r="W42" s="13">
        <v>6.89</v>
      </c>
      <c r="X42" s="13">
        <v>44.1</v>
      </c>
      <c r="Y42" s="13">
        <v>5.93</v>
      </c>
      <c r="Z42" s="13">
        <v>361</v>
      </c>
      <c r="AA42" s="13"/>
      <c r="AB42" s="13"/>
      <c r="AC42" s="14">
        <v>1270.2702702702704</v>
      </c>
      <c r="AD42" s="14">
        <v>401.42095914742458</v>
      </c>
      <c r="AE42" s="14">
        <v>432.1608040201005</v>
      </c>
      <c r="AF42" s="14">
        <v>570.63711911357348</v>
      </c>
      <c r="AG42" s="15">
        <v>0.47158556397327278</v>
      </c>
      <c r="AH42" s="15">
        <v>0.5417878855775472</v>
      </c>
      <c r="AI42" s="15">
        <v>0.41261905732124177</v>
      </c>
      <c r="AJ42" s="41">
        <f t="shared" si="0"/>
        <v>5750</v>
      </c>
      <c r="AK42" s="44">
        <f t="shared" si="1"/>
        <v>0.43533697632058288</v>
      </c>
      <c r="AL42" s="10"/>
      <c r="AM42" s="10"/>
    </row>
    <row r="43" spans="1:39" s="16" customFormat="1" ht="19" customHeight="1">
      <c r="A43" s="9" t="s">
        <v>71</v>
      </c>
      <c r="B43" s="10" t="s">
        <v>1355</v>
      </c>
      <c r="C43" s="10"/>
      <c r="D43" s="10"/>
      <c r="E43" s="11" t="s">
        <v>1341</v>
      </c>
      <c r="F43" s="11" t="s">
        <v>30</v>
      </c>
      <c r="G43" s="12" t="s">
        <v>46</v>
      </c>
      <c r="H43" s="13"/>
      <c r="I43" s="13"/>
      <c r="J43" s="13">
        <v>2989</v>
      </c>
      <c r="K43" s="13">
        <v>6141</v>
      </c>
      <c r="L43" s="13">
        <v>763</v>
      </c>
      <c r="M43" s="13">
        <v>35.799999999999997</v>
      </c>
      <c r="N43" s="13">
        <v>3323</v>
      </c>
      <c r="O43" s="13">
        <v>613</v>
      </c>
      <c r="P43" s="13">
        <v>40.4</v>
      </c>
      <c r="Q43" s="13">
        <v>557</v>
      </c>
      <c r="R43" s="13">
        <v>65.599999999999994</v>
      </c>
      <c r="S43" s="13">
        <v>332</v>
      </c>
      <c r="T43" s="13">
        <v>1438</v>
      </c>
      <c r="U43" s="13">
        <v>59.3</v>
      </c>
      <c r="V43" s="13">
        <v>129</v>
      </c>
      <c r="W43" s="13">
        <v>14.1</v>
      </c>
      <c r="X43" s="13">
        <v>74.400000000000006</v>
      </c>
      <c r="Y43" s="13">
        <v>8.51</v>
      </c>
      <c r="Z43" s="13">
        <v>915</v>
      </c>
      <c r="AA43" s="13"/>
      <c r="AB43" s="13"/>
      <c r="AC43" s="14">
        <v>4141.8918918918916</v>
      </c>
      <c r="AD43" s="14">
        <v>717.58436944937841</v>
      </c>
      <c r="AE43" s="14">
        <v>2798.9949748743716</v>
      </c>
      <c r="AF43" s="14">
        <v>1817.174515235457</v>
      </c>
      <c r="AG43" s="15">
        <v>0.20677022496512718</v>
      </c>
      <c r="AH43" s="15">
        <v>0.21075240113778348</v>
      </c>
      <c r="AI43" s="15">
        <v>0.22800353760007913</v>
      </c>
      <c r="AJ43" s="41">
        <f t="shared" si="0"/>
        <v>13216</v>
      </c>
      <c r="AK43" s="44">
        <f t="shared" si="1"/>
        <v>2.4895688456189148E-2</v>
      </c>
      <c r="AL43" s="10"/>
      <c r="AM43" s="10"/>
    </row>
    <row r="44" spans="1:39" s="16" customFormat="1" ht="19" customHeight="1">
      <c r="A44" s="9" t="s">
        <v>72</v>
      </c>
      <c r="B44" s="10" t="s">
        <v>1355</v>
      </c>
      <c r="C44" s="10"/>
      <c r="D44" s="10"/>
      <c r="E44" s="11" t="s">
        <v>1341</v>
      </c>
      <c r="F44" s="11" t="s">
        <v>30</v>
      </c>
      <c r="G44" s="12" t="s">
        <v>46</v>
      </c>
      <c r="H44" s="13"/>
      <c r="I44" s="13"/>
      <c r="J44" s="13">
        <v>1014</v>
      </c>
      <c r="K44" s="13">
        <v>2174</v>
      </c>
      <c r="L44" s="13">
        <v>303</v>
      </c>
      <c r="M44" s="13">
        <v>518</v>
      </c>
      <c r="N44" s="13">
        <v>1516</v>
      </c>
      <c r="O44" s="13">
        <v>307</v>
      </c>
      <c r="P44" s="13">
        <v>94.6</v>
      </c>
      <c r="Q44" s="13">
        <v>280</v>
      </c>
      <c r="R44" s="13">
        <v>33.5</v>
      </c>
      <c r="S44" s="13">
        <v>166</v>
      </c>
      <c r="T44" s="13">
        <v>810</v>
      </c>
      <c r="U44" s="13">
        <v>29.6</v>
      </c>
      <c r="V44" s="13">
        <v>67.2</v>
      </c>
      <c r="W44" s="13">
        <v>7.15</v>
      </c>
      <c r="X44" s="13">
        <v>41</v>
      </c>
      <c r="Y44" s="13">
        <v>5.52</v>
      </c>
      <c r="Z44" s="13">
        <v>680</v>
      </c>
      <c r="AA44" s="13"/>
      <c r="AB44" s="13"/>
      <c r="AC44" s="14">
        <v>2074.3243243243246</v>
      </c>
      <c r="AD44" s="14">
        <v>1680.2841918294848</v>
      </c>
      <c r="AE44" s="14">
        <v>1407.035175879397</v>
      </c>
      <c r="AF44" s="14">
        <v>927.97783933518008</v>
      </c>
      <c r="AG44" s="15">
        <v>0.96530346362170183</v>
      </c>
      <c r="AH44" s="15">
        <v>0.98353978921327445</v>
      </c>
      <c r="AI44" s="15">
        <v>1.0591377156484774</v>
      </c>
      <c r="AJ44" s="41">
        <f t="shared" si="0"/>
        <v>5007</v>
      </c>
      <c r="AK44" s="44">
        <f t="shared" si="1"/>
        <v>0.63950617283950617</v>
      </c>
      <c r="AL44" s="10"/>
      <c r="AM44" s="10"/>
    </row>
    <row r="45" spans="1:39" s="16" customFormat="1" ht="19" customHeight="1">
      <c r="A45" s="9" t="s">
        <v>73</v>
      </c>
      <c r="B45" s="10" t="s">
        <v>1355</v>
      </c>
      <c r="C45" s="10"/>
      <c r="D45" s="10"/>
      <c r="E45" s="11" t="s">
        <v>1341</v>
      </c>
      <c r="F45" s="11" t="s">
        <v>30</v>
      </c>
      <c r="G45" s="12" t="s">
        <v>46</v>
      </c>
      <c r="H45" s="13"/>
      <c r="I45" s="13"/>
      <c r="J45" s="13">
        <v>4006</v>
      </c>
      <c r="K45" s="13">
        <v>7692</v>
      </c>
      <c r="L45" s="13">
        <v>814</v>
      </c>
      <c r="M45" s="13">
        <v>268</v>
      </c>
      <c r="N45" s="13">
        <v>2972</v>
      </c>
      <c r="O45" s="13">
        <v>416</v>
      </c>
      <c r="P45" s="13">
        <v>27.2</v>
      </c>
      <c r="Q45" s="13">
        <v>384</v>
      </c>
      <c r="R45" s="13">
        <v>39.9</v>
      </c>
      <c r="S45" s="13">
        <v>208</v>
      </c>
      <c r="T45" s="13">
        <v>1051</v>
      </c>
      <c r="U45" s="13">
        <v>40</v>
      </c>
      <c r="V45" s="13">
        <v>96.3</v>
      </c>
      <c r="W45" s="13">
        <v>11.4</v>
      </c>
      <c r="X45" s="13">
        <v>66.5</v>
      </c>
      <c r="Y45" s="13">
        <v>8.2899999999999991</v>
      </c>
      <c r="Z45" s="13">
        <v>724</v>
      </c>
      <c r="AA45" s="13"/>
      <c r="AB45" s="13"/>
      <c r="AC45" s="14">
        <v>2810.8108108108108</v>
      </c>
      <c r="AD45" s="14">
        <v>483.12611012433393</v>
      </c>
      <c r="AE45" s="14">
        <v>1929.64824120603</v>
      </c>
      <c r="AF45" s="14">
        <v>1105.2631578947369</v>
      </c>
      <c r="AG45" s="15">
        <v>0.20383093908122113</v>
      </c>
      <c r="AH45" s="15">
        <v>0.20744626866761898</v>
      </c>
      <c r="AI45" s="15">
        <v>0.23461234916031926</v>
      </c>
      <c r="AJ45" s="41">
        <f t="shared" si="0"/>
        <v>15484</v>
      </c>
      <c r="AK45" s="44">
        <f t="shared" si="1"/>
        <v>0.25499524262607043</v>
      </c>
      <c r="AL45" s="10"/>
      <c r="AM45" s="10"/>
    </row>
    <row r="46" spans="1:39" s="16" customFormat="1" ht="19" customHeight="1">
      <c r="A46" s="9" t="s">
        <v>74</v>
      </c>
      <c r="B46" s="10" t="s">
        <v>1359</v>
      </c>
      <c r="C46" s="10"/>
      <c r="D46" s="10"/>
      <c r="E46" s="18" t="s">
        <v>183</v>
      </c>
      <c r="F46" s="18" t="s">
        <v>30</v>
      </c>
      <c r="G46" s="12" t="s">
        <v>75</v>
      </c>
      <c r="H46" s="13">
        <v>0.22</v>
      </c>
      <c r="I46" s="13">
        <v>0.19</v>
      </c>
      <c r="J46" s="13">
        <v>23</v>
      </c>
      <c r="K46" s="13">
        <v>28</v>
      </c>
      <c r="L46" s="13">
        <v>5</v>
      </c>
      <c r="M46" s="13">
        <v>344</v>
      </c>
      <c r="N46" s="13">
        <v>16</v>
      </c>
      <c r="O46" s="13">
        <v>3</v>
      </c>
      <c r="P46" s="13">
        <v>0.74</v>
      </c>
      <c r="Q46" s="13">
        <v>2.7</v>
      </c>
      <c r="R46" s="13">
        <v>0.56000000000000005</v>
      </c>
      <c r="S46" s="13">
        <v>4.7</v>
      </c>
      <c r="T46" s="13">
        <v>30</v>
      </c>
      <c r="U46" s="13">
        <v>1.1000000000000001</v>
      </c>
      <c r="V46" s="13">
        <v>3.4</v>
      </c>
      <c r="W46" s="13">
        <v>0.43</v>
      </c>
      <c r="X46" s="13">
        <v>3.2</v>
      </c>
      <c r="Y46" s="13">
        <v>0.44</v>
      </c>
      <c r="Z46" s="13"/>
      <c r="AA46" s="13">
        <v>2</v>
      </c>
      <c r="AB46" s="13"/>
      <c r="AC46" s="14">
        <v>20.27027027027027</v>
      </c>
      <c r="AD46" s="14">
        <v>13.143872113676732</v>
      </c>
      <c r="AE46" s="14">
        <v>13.5678391959799</v>
      </c>
      <c r="AF46" s="14">
        <v>15.51246537396122</v>
      </c>
      <c r="AG46" s="15">
        <v>0.77686799416417229</v>
      </c>
      <c r="AH46" s="15">
        <v>0.79257106167297586</v>
      </c>
      <c r="AI46" s="15">
        <v>0.70890823893910815</v>
      </c>
      <c r="AJ46" s="41">
        <f t="shared" si="0"/>
        <v>72</v>
      </c>
      <c r="AK46" s="44">
        <f t="shared" si="1"/>
        <v>11.466666666666667</v>
      </c>
      <c r="AL46" s="10"/>
      <c r="AM46" s="10"/>
    </row>
    <row r="47" spans="1:39" s="16" customFormat="1" ht="19" customHeight="1">
      <c r="A47" s="9" t="s">
        <v>76</v>
      </c>
      <c r="B47" s="10" t="s">
        <v>1359</v>
      </c>
      <c r="C47" s="10"/>
      <c r="D47" s="10"/>
      <c r="E47" s="18" t="s">
        <v>183</v>
      </c>
      <c r="F47" s="18" t="s">
        <v>30</v>
      </c>
      <c r="G47" s="12" t="s">
        <v>75</v>
      </c>
      <c r="H47" s="13">
        <v>0.06</v>
      </c>
      <c r="I47" s="13">
        <v>5.0000000000000001E-3</v>
      </c>
      <c r="J47" s="13">
        <v>8.1999999999999993</v>
      </c>
      <c r="K47" s="13">
        <v>9.8000000000000007</v>
      </c>
      <c r="L47" s="13">
        <v>1.7</v>
      </c>
      <c r="M47" s="13">
        <v>342</v>
      </c>
      <c r="N47" s="13">
        <v>5.5</v>
      </c>
      <c r="O47" s="13">
        <v>1.3</v>
      </c>
      <c r="P47" s="13">
        <v>0.3</v>
      </c>
      <c r="Q47" s="13">
        <v>1.7</v>
      </c>
      <c r="R47" s="13">
        <v>0.5</v>
      </c>
      <c r="S47" s="13">
        <v>4.2</v>
      </c>
      <c r="T47" s="13">
        <v>32</v>
      </c>
      <c r="U47" s="13">
        <v>1.1000000000000001</v>
      </c>
      <c r="V47" s="13">
        <v>3.5</v>
      </c>
      <c r="W47" s="13">
        <v>0.49</v>
      </c>
      <c r="X47" s="13">
        <v>3.1</v>
      </c>
      <c r="Y47" s="13">
        <v>0.52</v>
      </c>
      <c r="Z47" s="13"/>
      <c r="AA47" s="13">
        <v>0.8</v>
      </c>
      <c r="AB47" s="13"/>
      <c r="AC47" s="14">
        <v>8.7837837837837842</v>
      </c>
      <c r="AD47" s="14">
        <v>5.3285968028419184</v>
      </c>
      <c r="AE47" s="14">
        <v>8.5427135678391952</v>
      </c>
      <c r="AF47" s="14">
        <v>13.850415512465373</v>
      </c>
      <c r="AG47" s="15">
        <v>0.61508067034019276</v>
      </c>
      <c r="AH47" s="15">
        <v>0.61514021333899183</v>
      </c>
      <c r="AI47" s="15">
        <v>0.52119971298723378</v>
      </c>
      <c r="AJ47" s="41">
        <f t="shared" si="0"/>
        <v>25.2</v>
      </c>
      <c r="AK47" s="44">
        <f t="shared" si="1"/>
        <v>10.6875</v>
      </c>
      <c r="AL47" s="10"/>
      <c r="AM47" s="10"/>
    </row>
    <row r="48" spans="1:39" s="16" customFormat="1" ht="19" customHeight="1">
      <c r="A48" s="9" t="s">
        <v>77</v>
      </c>
      <c r="B48" s="10" t="s">
        <v>1360</v>
      </c>
      <c r="C48" s="10"/>
      <c r="D48" s="10"/>
      <c r="E48" s="18" t="s">
        <v>183</v>
      </c>
      <c r="F48" s="18" t="s">
        <v>30</v>
      </c>
      <c r="G48" s="12" t="s">
        <v>75</v>
      </c>
      <c r="H48" s="13">
        <v>0.03</v>
      </c>
      <c r="I48" s="13">
        <v>0.02</v>
      </c>
      <c r="J48" s="13">
        <v>50</v>
      </c>
      <c r="K48" s="13">
        <v>23</v>
      </c>
      <c r="L48" s="13">
        <v>11.3</v>
      </c>
      <c r="M48" s="13">
        <v>407</v>
      </c>
      <c r="N48" s="13">
        <v>42</v>
      </c>
      <c r="O48" s="13">
        <v>7.8</v>
      </c>
      <c r="P48" s="13">
        <v>1.6</v>
      </c>
      <c r="Q48" s="13">
        <v>7.3</v>
      </c>
      <c r="R48" s="13">
        <v>1</v>
      </c>
      <c r="S48" s="13">
        <v>5.7</v>
      </c>
      <c r="T48" s="13">
        <v>38</v>
      </c>
      <c r="U48" s="13">
        <v>1.1000000000000001</v>
      </c>
      <c r="V48" s="13">
        <v>4</v>
      </c>
      <c r="W48" s="13">
        <v>0.7</v>
      </c>
      <c r="X48" s="13">
        <v>6.3</v>
      </c>
      <c r="Y48" s="13">
        <v>1.2</v>
      </c>
      <c r="Z48" s="13"/>
      <c r="AA48" s="13">
        <v>1.5</v>
      </c>
      <c r="AB48" s="13"/>
      <c r="AC48" s="14">
        <v>52.702702702702702</v>
      </c>
      <c r="AD48" s="14">
        <v>28.419182948490235</v>
      </c>
      <c r="AE48" s="14">
        <v>36.683417085427131</v>
      </c>
      <c r="AF48" s="14">
        <v>27.700831024930746</v>
      </c>
      <c r="AG48" s="15">
        <v>0.63587463055453508</v>
      </c>
      <c r="AH48" s="15">
        <v>0.64633883677330983</v>
      </c>
      <c r="AI48" s="15">
        <v>0.66817783307319267</v>
      </c>
      <c r="AJ48" s="41">
        <f t="shared" si="0"/>
        <v>126.3</v>
      </c>
      <c r="AK48" s="44">
        <f t="shared" si="1"/>
        <v>10.710526315789474</v>
      </c>
      <c r="AL48" s="10"/>
      <c r="AM48" s="10"/>
    </row>
    <row r="49" spans="1:39" s="16" customFormat="1" ht="19" customHeight="1">
      <c r="A49" s="9" t="s">
        <v>78</v>
      </c>
      <c r="B49" s="10" t="s">
        <v>1360</v>
      </c>
      <c r="C49" s="10"/>
      <c r="D49" s="10"/>
      <c r="E49" s="18" t="s">
        <v>183</v>
      </c>
      <c r="F49" s="18" t="s">
        <v>30</v>
      </c>
      <c r="G49" s="12" t="s">
        <v>75</v>
      </c>
      <c r="H49" s="13">
        <v>50.003</v>
      </c>
      <c r="I49" s="13">
        <v>50.003999999999998</v>
      </c>
      <c r="J49" s="13">
        <v>8.6999999999999993</v>
      </c>
      <c r="K49" s="13">
        <v>14</v>
      </c>
      <c r="L49" s="13">
        <v>3.5</v>
      </c>
      <c r="M49" s="13">
        <v>217</v>
      </c>
      <c r="N49" s="13">
        <v>12</v>
      </c>
      <c r="O49" s="13">
        <v>3.2</v>
      </c>
      <c r="P49" s="13">
        <v>0.81</v>
      </c>
      <c r="Q49" s="13">
        <v>2.5</v>
      </c>
      <c r="R49" s="13">
        <v>0.41</v>
      </c>
      <c r="S49" s="13">
        <v>2.6</v>
      </c>
      <c r="T49" s="13">
        <v>12</v>
      </c>
      <c r="U49" s="13">
        <v>0.47</v>
      </c>
      <c r="V49" s="13">
        <v>1.7</v>
      </c>
      <c r="W49" s="13">
        <v>0.28999999999999998</v>
      </c>
      <c r="X49" s="13">
        <v>2.2000000000000002</v>
      </c>
      <c r="Y49" s="13">
        <v>0.43</v>
      </c>
      <c r="Z49" s="13"/>
      <c r="AA49" s="13">
        <v>0.51</v>
      </c>
      <c r="AB49" s="13"/>
      <c r="AC49" s="14">
        <v>21.621621621621625</v>
      </c>
      <c r="AD49" s="14">
        <v>14.387211367673181</v>
      </c>
      <c r="AE49" s="14">
        <v>12.562814070351758</v>
      </c>
      <c r="AF49" s="14">
        <v>11.357340720221606</v>
      </c>
      <c r="AG49" s="15">
        <v>0.84174046325131202</v>
      </c>
      <c r="AH49" s="15">
        <v>0.87294931080139548</v>
      </c>
      <c r="AI49" s="15">
        <v>0.824692852477525</v>
      </c>
      <c r="AJ49" s="41">
        <f t="shared" si="0"/>
        <v>38.200000000000003</v>
      </c>
      <c r="AK49" s="44">
        <f t="shared" si="1"/>
        <v>18.083333333333332</v>
      </c>
      <c r="AL49" s="10"/>
      <c r="AM49" s="10"/>
    </row>
    <row r="50" spans="1:39" s="16" customFormat="1" ht="19" customHeight="1">
      <c r="A50" s="9" t="s">
        <v>79</v>
      </c>
      <c r="B50" s="10" t="s">
        <v>1360</v>
      </c>
      <c r="C50" s="10"/>
      <c r="D50" s="10"/>
      <c r="E50" s="18" t="s">
        <v>183</v>
      </c>
      <c r="F50" s="18" t="s">
        <v>30</v>
      </c>
      <c r="G50" s="12" t="s">
        <v>75</v>
      </c>
      <c r="H50" s="13">
        <v>0.21</v>
      </c>
      <c r="I50" s="13">
        <v>0.02</v>
      </c>
      <c r="J50" s="13">
        <v>7.7</v>
      </c>
      <c r="K50" s="13">
        <v>3.4</v>
      </c>
      <c r="L50" s="13">
        <v>2.8</v>
      </c>
      <c r="M50" s="13">
        <v>324</v>
      </c>
      <c r="N50" s="13">
        <v>12</v>
      </c>
      <c r="O50" s="13">
        <v>3.2</v>
      </c>
      <c r="P50" s="13">
        <v>0.89</v>
      </c>
      <c r="Q50" s="13">
        <v>3.2</v>
      </c>
      <c r="R50" s="13">
        <v>0.52</v>
      </c>
      <c r="S50" s="13">
        <v>4.3</v>
      </c>
      <c r="T50" s="13">
        <v>32</v>
      </c>
      <c r="U50" s="13">
        <v>0.98</v>
      </c>
      <c r="V50" s="13">
        <v>3.9</v>
      </c>
      <c r="W50" s="13">
        <v>0.55000000000000004</v>
      </c>
      <c r="X50" s="13">
        <v>3</v>
      </c>
      <c r="Y50" s="13">
        <v>0.43</v>
      </c>
      <c r="Z50" s="13"/>
      <c r="AA50" s="13">
        <v>5.3</v>
      </c>
      <c r="AB50" s="13"/>
      <c r="AC50" s="14">
        <v>21.621621621621625</v>
      </c>
      <c r="AD50" s="14">
        <v>15.808170515097693</v>
      </c>
      <c r="AE50" s="14">
        <v>16.08040201005025</v>
      </c>
      <c r="AF50" s="14">
        <v>14.40443213296399</v>
      </c>
      <c r="AG50" s="15">
        <v>0.83858472264167361</v>
      </c>
      <c r="AH50" s="15">
        <v>0.84779144413088414</v>
      </c>
      <c r="AI50" s="15">
        <v>0.83712579180756796</v>
      </c>
      <c r="AJ50" s="41">
        <f t="shared" si="0"/>
        <v>25.9</v>
      </c>
      <c r="AK50" s="44">
        <f t="shared" si="1"/>
        <v>10.125</v>
      </c>
      <c r="AL50" s="10"/>
      <c r="AM50" s="10"/>
    </row>
    <row r="51" spans="1:39" s="16" customFormat="1" ht="19" customHeight="1">
      <c r="A51" s="9" t="s">
        <v>80</v>
      </c>
      <c r="B51" s="10" t="s">
        <v>1360</v>
      </c>
      <c r="C51" s="10"/>
      <c r="D51" s="10"/>
      <c r="E51" s="18" t="s">
        <v>183</v>
      </c>
      <c r="F51" s="18" t="s">
        <v>30</v>
      </c>
      <c r="G51" s="12" t="s">
        <v>75</v>
      </c>
      <c r="H51" s="13">
        <v>0.43</v>
      </c>
      <c r="I51" s="13">
        <v>0.5</v>
      </c>
      <c r="J51" s="13">
        <v>18</v>
      </c>
      <c r="K51" s="13">
        <v>60</v>
      </c>
      <c r="L51" s="13">
        <v>9.6</v>
      </c>
      <c r="M51" s="13">
        <v>937</v>
      </c>
      <c r="N51" s="13">
        <v>54</v>
      </c>
      <c r="O51" s="13">
        <v>22</v>
      </c>
      <c r="P51" s="13">
        <v>6.3</v>
      </c>
      <c r="Q51" s="13">
        <v>37</v>
      </c>
      <c r="R51" s="13">
        <v>8.9</v>
      </c>
      <c r="S51" s="13">
        <v>81</v>
      </c>
      <c r="T51" s="13">
        <v>545</v>
      </c>
      <c r="U51" s="13">
        <v>21</v>
      </c>
      <c r="V51" s="13">
        <v>68</v>
      </c>
      <c r="W51" s="13">
        <v>11</v>
      </c>
      <c r="X51" s="13">
        <v>79</v>
      </c>
      <c r="Y51" s="13">
        <v>10</v>
      </c>
      <c r="Z51" s="13"/>
      <c r="AA51" s="13">
        <v>0.77</v>
      </c>
      <c r="AB51" s="13"/>
      <c r="AC51" s="14">
        <v>148.64864864864865</v>
      </c>
      <c r="AD51" s="14">
        <v>111.90053285968028</v>
      </c>
      <c r="AE51" s="14">
        <v>185.92964824120602</v>
      </c>
      <c r="AF51" s="14">
        <v>246.53739612188366</v>
      </c>
      <c r="AG51" s="15">
        <v>0.6689049104492194</v>
      </c>
      <c r="AH51" s="15">
        <v>0.67309652443043178</v>
      </c>
      <c r="AI51" s="15">
        <v>0.63596113578822688</v>
      </c>
      <c r="AJ51" s="41">
        <f t="shared" si="0"/>
        <v>141.6</v>
      </c>
      <c r="AK51" s="44">
        <f t="shared" si="1"/>
        <v>1.7192660550458716</v>
      </c>
      <c r="AL51" s="10"/>
      <c r="AM51" s="10"/>
    </row>
    <row r="52" spans="1:39" s="16" customFormat="1" ht="19" customHeight="1">
      <c r="A52" s="9" t="s">
        <v>81</v>
      </c>
      <c r="B52" s="10" t="s">
        <v>1360</v>
      </c>
      <c r="C52" s="10"/>
      <c r="D52" s="10"/>
      <c r="E52" s="18" t="s">
        <v>183</v>
      </c>
      <c r="F52" s="18" t="s">
        <v>30</v>
      </c>
      <c r="G52" s="12" t="s">
        <v>75</v>
      </c>
      <c r="H52" s="13">
        <v>0.22</v>
      </c>
      <c r="I52" s="13">
        <v>0.12</v>
      </c>
      <c r="J52" s="13">
        <v>5.7</v>
      </c>
      <c r="K52" s="13">
        <v>14</v>
      </c>
      <c r="L52" s="13">
        <v>1.8</v>
      </c>
      <c r="M52" s="13">
        <v>268</v>
      </c>
      <c r="N52" s="13">
        <v>8.4</v>
      </c>
      <c r="O52" s="13">
        <v>3.5</v>
      </c>
      <c r="P52" s="13">
        <v>0.85</v>
      </c>
      <c r="Q52" s="13">
        <v>5.5</v>
      </c>
      <c r="R52" s="13">
        <v>1.6</v>
      </c>
      <c r="S52" s="13">
        <v>16</v>
      </c>
      <c r="T52" s="13">
        <v>119</v>
      </c>
      <c r="U52" s="13">
        <v>4.5999999999999996</v>
      </c>
      <c r="V52" s="13">
        <v>16</v>
      </c>
      <c r="W52" s="13">
        <v>2.8</v>
      </c>
      <c r="X52" s="13">
        <v>19</v>
      </c>
      <c r="Y52" s="13">
        <v>3</v>
      </c>
      <c r="Z52" s="13"/>
      <c r="AA52" s="13">
        <v>6.5</v>
      </c>
      <c r="AB52" s="13"/>
      <c r="AC52" s="14">
        <v>23.648648648648649</v>
      </c>
      <c r="AD52" s="14">
        <v>15.097690941385435</v>
      </c>
      <c r="AE52" s="14">
        <v>27.638190954773869</v>
      </c>
      <c r="AF52" s="14">
        <v>44.3213296398892</v>
      </c>
      <c r="AG52" s="15">
        <v>0.58875497332761839</v>
      </c>
      <c r="AH52" s="15">
        <v>0.59054440583981171</v>
      </c>
      <c r="AI52" s="15">
        <v>0.51780795497180288</v>
      </c>
      <c r="AJ52" s="41">
        <f t="shared" si="0"/>
        <v>29.9</v>
      </c>
      <c r="AK52" s="44">
        <f t="shared" si="1"/>
        <v>2.2521008403361344</v>
      </c>
      <c r="AL52" s="10"/>
      <c r="AM52" s="10"/>
    </row>
    <row r="53" spans="1:39" s="16" customFormat="1" ht="19" customHeight="1">
      <c r="A53" s="9" t="s">
        <v>82</v>
      </c>
      <c r="B53" s="10" t="s">
        <v>1350</v>
      </c>
      <c r="C53" s="10"/>
      <c r="D53" s="10"/>
      <c r="E53" s="48" t="s">
        <v>234</v>
      </c>
      <c r="F53" s="48" t="s">
        <v>30</v>
      </c>
      <c r="G53" s="12" t="s">
        <v>83</v>
      </c>
      <c r="H53" s="13">
        <v>5.09</v>
      </c>
      <c r="I53" s="13">
        <v>38</v>
      </c>
      <c r="J53" s="13">
        <v>127</v>
      </c>
      <c r="K53" s="13">
        <v>622</v>
      </c>
      <c r="L53" s="13">
        <v>113</v>
      </c>
      <c r="M53" s="13"/>
      <c r="N53" s="13">
        <v>634</v>
      </c>
      <c r="O53" s="13">
        <v>261</v>
      </c>
      <c r="P53" s="13">
        <v>93.9</v>
      </c>
      <c r="Q53" s="13">
        <v>369</v>
      </c>
      <c r="R53" s="13">
        <v>63.2</v>
      </c>
      <c r="S53" s="13">
        <v>417</v>
      </c>
      <c r="T53" s="13">
        <v>1803</v>
      </c>
      <c r="U53" s="13">
        <v>77.900000000000006</v>
      </c>
      <c r="V53" s="13">
        <v>184</v>
      </c>
      <c r="W53" s="13">
        <v>22.9</v>
      </c>
      <c r="X53" s="13">
        <v>110</v>
      </c>
      <c r="Y53" s="13">
        <v>14.61</v>
      </c>
      <c r="Z53" s="13"/>
      <c r="AA53" s="13"/>
      <c r="AB53" s="13"/>
      <c r="AC53" s="14">
        <v>1763.5135135135135</v>
      </c>
      <c r="AD53" s="14">
        <v>1667.8507992895206</v>
      </c>
      <c r="AE53" s="14">
        <v>1854.2713567839196</v>
      </c>
      <c r="AF53" s="14">
        <v>1750.6925207756233</v>
      </c>
      <c r="AG53" s="15">
        <v>0.92202873254450846</v>
      </c>
      <c r="AH53" s="15">
        <v>0.92231900268550548</v>
      </c>
      <c r="AI53" s="15">
        <v>0.94805757148055081</v>
      </c>
      <c r="AJ53" s="41">
        <f t="shared" si="0"/>
        <v>1496</v>
      </c>
      <c r="AK53" s="44"/>
      <c r="AL53" s="10"/>
      <c r="AM53" s="10"/>
    </row>
    <row r="54" spans="1:39" s="16" customFormat="1" ht="19" customHeight="1">
      <c r="A54" s="9" t="s">
        <v>84</v>
      </c>
      <c r="B54" s="10" t="s">
        <v>1350</v>
      </c>
      <c r="C54" s="10"/>
      <c r="D54" s="10"/>
      <c r="E54" s="48" t="s">
        <v>234</v>
      </c>
      <c r="F54" s="48" t="s">
        <v>30</v>
      </c>
      <c r="G54" s="12" t="s">
        <v>83</v>
      </c>
      <c r="H54" s="13">
        <v>4.67</v>
      </c>
      <c r="I54" s="13">
        <v>25.3</v>
      </c>
      <c r="J54" s="13">
        <v>133</v>
      </c>
      <c r="K54" s="13">
        <v>432</v>
      </c>
      <c r="L54" s="13">
        <v>81.8</v>
      </c>
      <c r="M54" s="13"/>
      <c r="N54" s="13">
        <v>442</v>
      </c>
      <c r="O54" s="13">
        <v>184</v>
      </c>
      <c r="P54" s="13">
        <v>54.9</v>
      </c>
      <c r="Q54" s="13">
        <v>271</v>
      </c>
      <c r="R54" s="13">
        <v>43</v>
      </c>
      <c r="S54" s="13">
        <v>280</v>
      </c>
      <c r="T54" s="13">
        <v>1370</v>
      </c>
      <c r="U54" s="13">
        <v>56.9</v>
      </c>
      <c r="V54" s="13">
        <v>144</v>
      </c>
      <c r="W54" s="13">
        <v>21.2</v>
      </c>
      <c r="X54" s="13">
        <v>123</v>
      </c>
      <c r="Y54" s="13">
        <v>17.29</v>
      </c>
      <c r="Z54" s="13"/>
      <c r="AA54" s="13"/>
      <c r="AB54" s="13"/>
      <c r="AC54" s="14">
        <v>1243.2432432432433</v>
      </c>
      <c r="AD54" s="14">
        <v>975.13321492007105</v>
      </c>
      <c r="AE54" s="14">
        <v>1361.8090452261306</v>
      </c>
      <c r="AF54" s="14">
        <v>1191.1357340720222</v>
      </c>
      <c r="AG54" s="15">
        <v>0.74864770986460394</v>
      </c>
      <c r="AH54" s="15">
        <v>0.74942433040962098</v>
      </c>
      <c r="AI54" s="15">
        <v>0.79562079731028601</v>
      </c>
      <c r="AJ54" s="41">
        <f t="shared" si="0"/>
        <v>1088.8</v>
      </c>
      <c r="AK54" s="44"/>
      <c r="AL54" s="10"/>
      <c r="AM54" s="10"/>
    </row>
    <row r="55" spans="1:39" s="16" customFormat="1" ht="19" customHeight="1">
      <c r="A55" s="9" t="s">
        <v>85</v>
      </c>
      <c r="B55" s="10" t="s">
        <v>1350</v>
      </c>
      <c r="C55" s="10"/>
      <c r="D55" s="10"/>
      <c r="E55" s="48" t="s">
        <v>234</v>
      </c>
      <c r="F55" s="48" t="s">
        <v>30</v>
      </c>
      <c r="G55" s="12" t="s">
        <v>83</v>
      </c>
      <c r="H55" s="13">
        <v>2.09</v>
      </c>
      <c r="I55" s="13">
        <v>20.3</v>
      </c>
      <c r="J55" s="13">
        <v>62.65</v>
      </c>
      <c r="K55" s="13">
        <v>302</v>
      </c>
      <c r="L55" s="13">
        <v>54</v>
      </c>
      <c r="M55" s="13"/>
      <c r="N55" s="13">
        <v>298</v>
      </c>
      <c r="O55" s="13">
        <v>128</v>
      </c>
      <c r="P55" s="13">
        <v>43.7</v>
      </c>
      <c r="Q55" s="13">
        <v>168</v>
      </c>
      <c r="R55" s="13">
        <v>28.2</v>
      </c>
      <c r="S55" s="13">
        <v>195</v>
      </c>
      <c r="T55" s="13">
        <v>1096</v>
      </c>
      <c r="U55" s="13">
        <v>40.1</v>
      </c>
      <c r="V55" s="13">
        <v>104</v>
      </c>
      <c r="W55" s="13">
        <v>15.1</v>
      </c>
      <c r="X55" s="13">
        <v>93.2</v>
      </c>
      <c r="Y55" s="13">
        <v>13.4</v>
      </c>
      <c r="Z55" s="13"/>
      <c r="AA55" s="13"/>
      <c r="AB55" s="13"/>
      <c r="AC55" s="14">
        <v>864.8648648648649</v>
      </c>
      <c r="AD55" s="14">
        <v>776.19893428063949</v>
      </c>
      <c r="AE55" s="14">
        <v>844.2211055276382</v>
      </c>
      <c r="AF55" s="14">
        <v>781.16343490304712</v>
      </c>
      <c r="AG55" s="15">
        <v>0.90832052655886031</v>
      </c>
      <c r="AH55" s="15">
        <v>0.90838679494816021</v>
      </c>
      <c r="AI55" s="15">
        <v>0.92845367041046623</v>
      </c>
      <c r="AJ55" s="41">
        <f t="shared" si="0"/>
        <v>716.65</v>
      </c>
      <c r="AK55" s="44"/>
      <c r="AL55" s="10"/>
      <c r="AM55" s="10"/>
    </row>
    <row r="56" spans="1:39" s="16" customFormat="1" ht="19" customHeight="1">
      <c r="A56" s="9" t="s">
        <v>86</v>
      </c>
      <c r="B56" s="10" t="s">
        <v>1350</v>
      </c>
      <c r="C56" s="10"/>
      <c r="D56" s="10"/>
      <c r="E56" s="48" t="s">
        <v>234</v>
      </c>
      <c r="F56" s="48" t="s">
        <v>30</v>
      </c>
      <c r="G56" s="12" t="s">
        <v>83</v>
      </c>
      <c r="H56" s="13">
        <v>3.61</v>
      </c>
      <c r="I56" s="13">
        <v>35.299999999999997</v>
      </c>
      <c r="J56" s="13">
        <v>166</v>
      </c>
      <c r="K56" s="13">
        <v>436</v>
      </c>
      <c r="L56" s="13">
        <v>72</v>
      </c>
      <c r="M56" s="13"/>
      <c r="N56" s="13">
        <v>354</v>
      </c>
      <c r="O56" s="13">
        <v>128</v>
      </c>
      <c r="P56" s="13">
        <v>29</v>
      </c>
      <c r="Q56" s="13">
        <v>171</v>
      </c>
      <c r="R56" s="13">
        <v>30</v>
      </c>
      <c r="S56" s="13">
        <v>202</v>
      </c>
      <c r="T56" s="13">
        <v>1231</v>
      </c>
      <c r="U56" s="13">
        <v>44.8</v>
      </c>
      <c r="V56" s="13">
        <v>131</v>
      </c>
      <c r="W56" s="13">
        <v>19</v>
      </c>
      <c r="X56" s="13">
        <v>117</v>
      </c>
      <c r="Y56" s="13">
        <v>17.100000000000001</v>
      </c>
      <c r="Z56" s="13"/>
      <c r="AA56" s="13"/>
      <c r="AB56" s="13"/>
      <c r="AC56" s="14">
        <v>864.8648648648649</v>
      </c>
      <c r="AD56" s="14">
        <v>515.09769094138551</v>
      </c>
      <c r="AE56" s="14">
        <v>859.2964824120603</v>
      </c>
      <c r="AF56" s="14">
        <v>831.02493074792244</v>
      </c>
      <c r="AG56" s="15">
        <v>0.59750520652247674</v>
      </c>
      <c r="AH56" s="15">
        <v>0.59750832266561671</v>
      </c>
      <c r="AI56" s="15">
        <v>0.60355856351341874</v>
      </c>
      <c r="AJ56" s="41">
        <f t="shared" si="0"/>
        <v>1028</v>
      </c>
      <c r="AK56" s="44"/>
      <c r="AL56" s="10"/>
      <c r="AM56" s="10"/>
    </row>
    <row r="57" spans="1:39" s="16" customFormat="1" ht="19" customHeight="1">
      <c r="A57" s="9" t="s">
        <v>87</v>
      </c>
      <c r="B57" s="10" t="s">
        <v>1351</v>
      </c>
      <c r="C57" s="10"/>
      <c r="D57" s="10"/>
      <c r="E57" s="48" t="s">
        <v>234</v>
      </c>
      <c r="F57" s="48" t="s">
        <v>30</v>
      </c>
      <c r="G57" s="12" t="s">
        <v>83</v>
      </c>
      <c r="H57" s="13">
        <v>8.61</v>
      </c>
      <c r="I57" s="13">
        <v>16</v>
      </c>
      <c r="J57" s="13">
        <v>202</v>
      </c>
      <c r="K57" s="13">
        <v>630</v>
      </c>
      <c r="L57" s="13">
        <v>96.1</v>
      </c>
      <c r="M57" s="13"/>
      <c r="N57" s="13">
        <v>505</v>
      </c>
      <c r="O57" s="13">
        <v>184</v>
      </c>
      <c r="P57" s="13">
        <v>47.4</v>
      </c>
      <c r="Q57" s="13">
        <v>255</v>
      </c>
      <c r="R57" s="13">
        <v>41.4</v>
      </c>
      <c r="S57" s="13">
        <v>282</v>
      </c>
      <c r="T57" s="13">
        <v>1156</v>
      </c>
      <c r="U57" s="13">
        <v>54.3</v>
      </c>
      <c r="V57" s="13">
        <v>120</v>
      </c>
      <c r="W57" s="13">
        <v>15.9</v>
      </c>
      <c r="X57" s="13">
        <v>76.400000000000006</v>
      </c>
      <c r="Y57" s="13">
        <v>10.63</v>
      </c>
      <c r="Z57" s="13"/>
      <c r="AA57" s="13"/>
      <c r="AB57" s="13"/>
      <c r="AC57" s="14">
        <v>1243.2432432432433</v>
      </c>
      <c r="AD57" s="14">
        <v>841.91829484902314</v>
      </c>
      <c r="AE57" s="14">
        <v>1281.4070351758794</v>
      </c>
      <c r="AF57" s="14">
        <v>1146.814404432133</v>
      </c>
      <c r="AG57" s="15">
        <v>0.666958352248465</v>
      </c>
      <c r="AH57" s="15">
        <v>0.66703456782554782</v>
      </c>
      <c r="AI57" s="15">
        <v>0.69566714930475948</v>
      </c>
      <c r="AJ57" s="41">
        <f t="shared" si="0"/>
        <v>1433.1</v>
      </c>
      <c r="AK57" s="44"/>
      <c r="AL57" s="10"/>
      <c r="AM57" s="10"/>
    </row>
    <row r="58" spans="1:39" s="16" customFormat="1" ht="19" customHeight="1">
      <c r="A58" s="9" t="s">
        <v>88</v>
      </c>
      <c r="B58" s="10" t="s">
        <v>1351</v>
      </c>
      <c r="C58" s="10"/>
      <c r="D58" s="10"/>
      <c r="E58" s="48" t="s">
        <v>234</v>
      </c>
      <c r="F58" s="48" t="s">
        <v>30</v>
      </c>
      <c r="G58" s="12" t="s">
        <v>83</v>
      </c>
      <c r="H58" s="13">
        <v>10</v>
      </c>
      <c r="I58" s="13">
        <v>11.4</v>
      </c>
      <c r="J58" s="13">
        <v>188</v>
      </c>
      <c r="K58" s="13">
        <v>594</v>
      </c>
      <c r="L58" s="13">
        <v>94.1</v>
      </c>
      <c r="M58" s="13"/>
      <c r="N58" s="13">
        <v>533</v>
      </c>
      <c r="O58" s="13">
        <v>195</v>
      </c>
      <c r="P58" s="13">
        <v>37</v>
      </c>
      <c r="Q58" s="13">
        <v>259</v>
      </c>
      <c r="R58" s="13">
        <v>40.700000000000003</v>
      </c>
      <c r="S58" s="13">
        <v>251</v>
      </c>
      <c r="T58" s="13">
        <v>1126</v>
      </c>
      <c r="U58" s="13">
        <v>47.7</v>
      </c>
      <c r="V58" s="13">
        <v>115</v>
      </c>
      <c r="W58" s="13">
        <v>16.45</v>
      </c>
      <c r="X58" s="13">
        <v>84.3</v>
      </c>
      <c r="Y58" s="13">
        <v>12.3</v>
      </c>
      <c r="Z58" s="13"/>
      <c r="AA58" s="13"/>
      <c r="AB58" s="13"/>
      <c r="AC58" s="14">
        <v>1317.5675675675677</v>
      </c>
      <c r="AD58" s="14">
        <v>657.19360568383661</v>
      </c>
      <c r="AE58" s="14">
        <v>1301.5075376884422</v>
      </c>
      <c r="AF58" s="14">
        <v>1127.4238227146816</v>
      </c>
      <c r="AG58" s="15">
        <v>0.50185166844965079</v>
      </c>
      <c r="AH58" s="15">
        <v>0.50186110372148796</v>
      </c>
      <c r="AI58" s="15">
        <v>0.52539063800153496</v>
      </c>
      <c r="AJ58" s="41">
        <f t="shared" si="0"/>
        <v>1409.1</v>
      </c>
      <c r="AK58" s="44"/>
      <c r="AL58" s="10"/>
      <c r="AM58" s="10"/>
    </row>
    <row r="59" spans="1:39" s="16" customFormat="1" ht="19" customHeight="1">
      <c r="A59" s="9" t="s">
        <v>89</v>
      </c>
      <c r="B59" s="10" t="s">
        <v>1351</v>
      </c>
      <c r="C59" s="10"/>
      <c r="D59" s="10"/>
      <c r="E59" s="48" t="s">
        <v>234</v>
      </c>
      <c r="F59" s="48" t="s">
        <v>30</v>
      </c>
      <c r="G59" s="12" t="s">
        <v>83</v>
      </c>
      <c r="H59" s="13">
        <v>15.2</v>
      </c>
      <c r="I59" s="13">
        <v>3.75</v>
      </c>
      <c r="J59" s="13">
        <v>195</v>
      </c>
      <c r="K59" s="13">
        <v>472</v>
      </c>
      <c r="L59" s="13">
        <v>69</v>
      </c>
      <c r="M59" s="13"/>
      <c r="N59" s="13">
        <v>354</v>
      </c>
      <c r="O59" s="13">
        <v>115</v>
      </c>
      <c r="P59" s="13">
        <v>28.7</v>
      </c>
      <c r="Q59" s="13">
        <v>144</v>
      </c>
      <c r="R59" s="13">
        <v>24.2</v>
      </c>
      <c r="S59" s="13">
        <v>148</v>
      </c>
      <c r="T59" s="13">
        <v>603</v>
      </c>
      <c r="U59" s="13">
        <v>25.1</v>
      </c>
      <c r="V59" s="13">
        <v>55.6</v>
      </c>
      <c r="W59" s="13">
        <v>8.07</v>
      </c>
      <c r="X59" s="13">
        <v>45.8</v>
      </c>
      <c r="Y59" s="13">
        <v>6.63</v>
      </c>
      <c r="Z59" s="13"/>
      <c r="AA59" s="13"/>
      <c r="AB59" s="13"/>
      <c r="AC59" s="14">
        <v>777.02702702702709</v>
      </c>
      <c r="AD59" s="14">
        <v>509.76909413854355</v>
      </c>
      <c r="AE59" s="14">
        <v>723.6180904522613</v>
      </c>
      <c r="AF59" s="14">
        <v>670.36011080332412</v>
      </c>
      <c r="AG59" s="15">
        <v>0.67939993033773272</v>
      </c>
      <c r="AH59" s="15">
        <v>0.67983063561537982</v>
      </c>
      <c r="AI59" s="15">
        <v>0.68914937111522812</v>
      </c>
      <c r="AJ59" s="41">
        <f t="shared" si="0"/>
        <v>1090</v>
      </c>
      <c r="AK59" s="44"/>
      <c r="AL59" s="10"/>
      <c r="AM59" s="10"/>
    </row>
    <row r="60" spans="1:39" s="16" customFormat="1" ht="19" customHeight="1">
      <c r="A60" s="9" t="s">
        <v>90</v>
      </c>
      <c r="B60" s="10" t="s">
        <v>1352</v>
      </c>
      <c r="C60" s="10"/>
      <c r="D60" s="10"/>
      <c r="E60" s="48" t="s">
        <v>234</v>
      </c>
      <c r="F60" s="48" t="s">
        <v>30</v>
      </c>
      <c r="G60" s="12" t="s">
        <v>83</v>
      </c>
      <c r="H60" s="13">
        <v>24.5</v>
      </c>
      <c r="I60" s="13">
        <v>1.74</v>
      </c>
      <c r="J60" s="13">
        <v>315</v>
      </c>
      <c r="K60" s="13">
        <v>673</v>
      </c>
      <c r="L60" s="13">
        <v>93.9</v>
      </c>
      <c r="M60" s="13"/>
      <c r="N60" s="13">
        <v>453</v>
      </c>
      <c r="O60" s="13">
        <v>130</v>
      </c>
      <c r="P60" s="13">
        <v>16.2</v>
      </c>
      <c r="Q60" s="13">
        <v>121</v>
      </c>
      <c r="R60" s="13">
        <v>17.3</v>
      </c>
      <c r="S60" s="13">
        <v>100</v>
      </c>
      <c r="T60" s="13">
        <v>365</v>
      </c>
      <c r="U60" s="13">
        <v>16.899999999999999</v>
      </c>
      <c r="V60" s="13">
        <v>36.799999999999997</v>
      </c>
      <c r="W60" s="13">
        <v>4.8899999999999997</v>
      </c>
      <c r="X60" s="13">
        <v>28.6</v>
      </c>
      <c r="Y60" s="13">
        <v>3.83</v>
      </c>
      <c r="Z60" s="13"/>
      <c r="AA60" s="13"/>
      <c r="AB60" s="13"/>
      <c r="AC60" s="14">
        <v>878.37837837837844</v>
      </c>
      <c r="AD60" s="14">
        <v>287.7442273534636</v>
      </c>
      <c r="AE60" s="14">
        <v>608.0402010050251</v>
      </c>
      <c r="AF60" s="14">
        <v>479.22437673130196</v>
      </c>
      <c r="AG60" s="15">
        <v>0.3871644654399109</v>
      </c>
      <c r="AH60" s="15">
        <v>0.39373104027303096</v>
      </c>
      <c r="AI60" s="15">
        <v>0.40090292814475265</v>
      </c>
      <c r="AJ60" s="41">
        <f t="shared" si="0"/>
        <v>1534.9</v>
      </c>
      <c r="AK60" s="44"/>
      <c r="AL60" s="10"/>
      <c r="AM60" s="10"/>
    </row>
    <row r="61" spans="1:39" s="16" customFormat="1" ht="19" customHeight="1">
      <c r="A61" s="9" t="s">
        <v>91</v>
      </c>
      <c r="B61" s="10" t="s">
        <v>1352</v>
      </c>
      <c r="C61" s="10"/>
      <c r="D61" s="10"/>
      <c r="E61" s="48" t="s">
        <v>234</v>
      </c>
      <c r="F61" s="48" t="s">
        <v>30</v>
      </c>
      <c r="G61" s="12" t="s">
        <v>83</v>
      </c>
      <c r="H61" s="13">
        <v>19.2</v>
      </c>
      <c r="I61" s="13">
        <v>1.38</v>
      </c>
      <c r="J61" s="13">
        <v>271</v>
      </c>
      <c r="K61" s="13">
        <v>652</v>
      </c>
      <c r="L61" s="13">
        <v>81.8</v>
      </c>
      <c r="M61" s="13"/>
      <c r="N61" s="13">
        <v>361</v>
      </c>
      <c r="O61" s="13">
        <v>105</v>
      </c>
      <c r="P61" s="13">
        <v>11.6</v>
      </c>
      <c r="Q61" s="13">
        <v>98.2</v>
      </c>
      <c r="R61" s="13">
        <v>14.7</v>
      </c>
      <c r="S61" s="13">
        <v>81</v>
      </c>
      <c r="T61" s="13">
        <v>290</v>
      </c>
      <c r="U61" s="13">
        <v>15.7</v>
      </c>
      <c r="V61" s="13">
        <v>34.700000000000003</v>
      </c>
      <c r="W61" s="13">
        <v>4.41</v>
      </c>
      <c r="X61" s="13">
        <v>22.7</v>
      </c>
      <c r="Y61" s="13">
        <v>3.37</v>
      </c>
      <c r="Z61" s="13"/>
      <c r="AA61" s="13"/>
      <c r="AB61" s="13"/>
      <c r="AC61" s="14">
        <v>709.45945945945948</v>
      </c>
      <c r="AD61" s="14">
        <v>206.03907637655419</v>
      </c>
      <c r="AE61" s="14">
        <v>493.4673366834171</v>
      </c>
      <c r="AF61" s="14">
        <v>407.20221606648198</v>
      </c>
      <c r="AG61" s="15">
        <v>0.34256295069194231</v>
      </c>
      <c r="AH61" s="15">
        <v>0.34822231375397633</v>
      </c>
      <c r="AI61" s="15">
        <v>0.34945760373710633</v>
      </c>
      <c r="AJ61" s="41">
        <f t="shared" si="0"/>
        <v>1365.8</v>
      </c>
      <c r="AK61" s="44"/>
      <c r="AL61" s="10"/>
      <c r="AM61" s="10"/>
    </row>
    <row r="62" spans="1:39" s="16" customFormat="1" ht="19" customHeight="1">
      <c r="A62" s="9" t="s">
        <v>92</v>
      </c>
      <c r="B62" s="10" t="s">
        <v>1352</v>
      </c>
      <c r="C62" s="10"/>
      <c r="D62" s="10"/>
      <c r="E62" s="48" t="s">
        <v>234</v>
      </c>
      <c r="F62" s="48" t="s">
        <v>30</v>
      </c>
      <c r="G62" s="12" t="s">
        <v>83</v>
      </c>
      <c r="H62" s="13">
        <v>17.399999999999999</v>
      </c>
      <c r="I62" s="13">
        <v>1.31</v>
      </c>
      <c r="J62" s="13">
        <v>285</v>
      </c>
      <c r="K62" s="13">
        <v>650</v>
      </c>
      <c r="L62" s="13">
        <v>74.5</v>
      </c>
      <c r="M62" s="13"/>
      <c r="N62" s="13">
        <v>272</v>
      </c>
      <c r="O62" s="13">
        <v>73</v>
      </c>
      <c r="P62" s="13">
        <v>5.5</v>
      </c>
      <c r="Q62" s="13">
        <v>55.4</v>
      </c>
      <c r="R62" s="13">
        <v>7.98</v>
      </c>
      <c r="S62" s="13">
        <v>35.6</v>
      </c>
      <c r="T62" s="13">
        <v>104</v>
      </c>
      <c r="U62" s="13">
        <v>5.03</v>
      </c>
      <c r="V62" s="13">
        <v>12.5</v>
      </c>
      <c r="W62" s="13">
        <v>1.71</v>
      </c>
      <c r="X62" s="13">
        <v>8.9</v>
      </c>
      <c r="Y62" s="13">
        <v>1.34</v>
      </c>
      <c r="Z62" s="13"/>
      <c r="AA62" s="13"/>
      <c r="AB62" s="13"/>
      <c r="AC62" s="14">
        <v>493.24324324324328</v>
      </c>
      <c r="AD62" s="14">
        <v>97.690941385435181</v>
      </c>
      <c r="AE62" s="14">
        <v>278.39195979899495</v>
      </c>
      <c r="AF62" s="14">
        <v>221.05263157894737</v>
      </c>
      <c r="AG62" s="15">
        <v>0.25320498857563845</v>
      </c>
      <c r="AH62" s="15">
        <v>0.26363033294237864</v>
      </c>
      <c r="AI62" s="15">
        <v>0.25881034713721773</v>
      </c>
      <c r="AJ62" s="41">
        <f t="shared" si="0"/>
        <v>1281.5</v>
      </c>
      <c r="AK62" s="44"/>
      <c r="AL62" s="10"/>
      <c r="AM62" s="10"/>
    </row>
    <row r="63" spans="1:39" s="16" customFormat="1" ht="19" customHeight="1">
      <c r="A63" s="9" t="s">
        <v>93</v>
      </c>
      <c r="B63" s="10" t="s">
        <v>94</v>
      </c>
      <c r="C63" s="10"/>
      <c r="D63" s="10"/>
      <c r="E63" s="19" t="s">
        <v>1344</v>
      </c>
      <c r="F63" s="19" t="s">
        <v>30</v>
      </c>
      <c r="G63" s="12" t="s">
        <v>1385</v>
      </c>
      <c r="H63" s="13">
        <v>181</v>
      </c>
      <c r="I63" s="13">
        <v>47</v>
      </c>
      <c r="J63" s="13">
        <v>995</v>
      </c>
      <c r="K63" s="13">
        <v>1438</v>
      </c>
      <c r="L63" s="13">
        <v>168</v>
      </c>
      <c r="M63" s="13">
        <v>5831</v>
      </c>
      <c r="N63" s="13">
        <v>668</v>
      </c>
      <c r="O63" s="13">
        <v>88</v>
      </c>
      <c r="P63" s="13">
        <v>30</v>
      </c>
      <c r="Q63" s="13">
        <v>66</v>
      </c>
      <c r="R63" s="13"/>
      <c r="S63" s="13"/>
      <c r="T63" s="13">
        <v>160</v>
      </c>
      <c r="U63" s="13">
        <v>6.1</v>
      </c>
      <c r="V63" s="13">
        <v>12.8</v>
      </c>
      <c r="W63" s="13"/>
      <c r="X63" s="13">
        <v>7.6</v>
      </c>
      <c r="Y63" s="13">
        <v>1.3</v>
      </c>
      <c r="Z63" s="13">
        <v>500</v>
      </c>
      <c r="AA63" s="13">
        <v>159</v>
      </c>
      <c r="AB63" s="13"/>
      <c r="AC63" s="14">
        <v>594.59459459459458</v>
      </c>
      <c r="AD63" s="14">
        <v>532.85968028419188</v>
      </c>
      <c r="AE63" s="14">
        <v>331.6582914572864</v>
      </c>
      <c r="AF63" s="14"/>
      <c r="AG63" s="15">
        <v>1.1505706234406172</v>
      </c>
      <c r="AH63" s="15">
        <v>1.1999328747349398</v>
      </c>
      <c r="AI63" s="15"/>
      <c r="AJ63" s="41">
        <f t="shared" si="0"/>
        <v>3269</v>
      </c>
      <c r="AK63" s="44">
        <f t="shared" si="1"/>
        <v>36.443750000000001</v>
      </c>
      <c r="AL63" s="10"/>
      <c r="AM63" s="10"/>
    </row>
    <row r="64" spans="1:39" s="16" customFormat="1" ht="19" customHeight="1">
      <c r="A64" s="9" t="s">
        <v>95</v>
      </c>
      <c r="B64" s="10" t="s">
        <v>94</v>
      </c>
      <c r="C64" s="10"/>
      <c r="D64" s="10"/>
      <c r="E64" s="19" t="s">
        <v>1344</v>
      </c>
      <c r="F64" s="19" t="s">
        <v>30</v>
      </c>
      <c r="G64" s="12" t="s">
        <v>1385</v>
      </c>
      <c r="H64" s="13">
        <v>276</v>
      </c>
      <c r="I64" s="13">
        <v>141</v>
      </c>
      <c r="J64" s="13">
        <v>2416</v>
      </c>
      <c r="K64" s="13">
        <v>5082</v>
      </c>
      <c r="L64" s="13">
        <v>440</v>
      </c>
      <c r="M64" s="13">
        <v>14115</v>
      </c>
      <c r="N64" s="13">
        <v>1215</v>
      </c>
      <c r="O64" s="13">
        <v>120</v>
      </c>
      <c r="P64" s="13">
        <v>34</v>
      </c>
      <c r="Q64" s="13">
        <v>79</v>
      </c>
      <c r="R64" s="13"/>
      <c r="S64" s="13"/>
      <c r="T64" s="13">
        <v>168</v>
      </c>
      <c r="U64" s="13">
        <v>5.8</v>
      </c>
      <c r="V64" s="13">
        <v>12.5</v>
      </c>
      <c r="W64" s="13"/>
      <c r="X64" s="13">
        <v>9.1</v>
      </c>
      <c r="Y64" s="13">
        <v>1.1200000000000001</v>
      </c>
      <c r="Z64" s="13">
        <v>1220</v>
      </c>
      <c r="AA64" s="13">
        <v>185</v>
      </c>
      <c r="AB64" s="13"/>
      <c r="AC64" s="14">
        <v>810.81081081081084</v>
      </c>
      <c r="AD64" s="14">
        <v>603.90763765541749</v>
      </c>
      <c r="AE64" s="14">
        <v>396.98492462311555</v>
      </c>
      <c r="AF64" s="14"/>
      <c r="AG64" s="15">
        <v>1.0000161781304033</v>
      </c>
      <c r="AH64" s="15">
        <v>1.0644462821494753</v>
      </c>
      <c r="AI64" s="15"/>
      <c r="AJ64" s="41">
        <f t="shared" si="0"/>
        <v>9153</v>
      </c>
      <c r="AK64" s="44">
        <f t="shared" si="1"/>
        <v>84.017857142857139</v>
      </c>
      <c r="AL64" s="10"/>
      <c r="AM64" s="10"/>
    </row>
    <row r="65" spans="1:39" s="16" customFormat="1" ht="19" customHeight="1">
      <c r="A65" s="9" t="s">
        <v>96</v>
      </c>
      <c r="B65" s="10" t="s">
        <v>94</v>
      </c>
      <c r="C65" s="10"/>
      <c r="D65" s="10"/>
      <c r="E65" s="19" t="s">
        <v>1344</v>
      </c>
      <c r="F65" s="19" t="s">
        <v>30</v>
      </c>
      <c r="G65" s="12" t="s">
        <v>1385</v>
      </c>
      <c r="H65" s="13">
        <v>592</v>
      </c>
      <c r="I65" s="13">
        <v>205</v>
      </c>
      <c r="J65" s="13">
        <v>2730</v>
      </c>
      <c r="K65" s="13">
        <v>5760</v>
      </c>
      <c r="L65" s="13">
        <v>468</v>
      </c>
      <c r="M65" s="13">
        <v>18290</v>
      </c>
      <c r="N65" s="13">
        <v>1156</v>
      </c>
      <c r="O65" s="13">
        <v>117</v>
      </c>
      <c r="P65" s="13">
        <v>35</v>
      </c>
      <c r="Q65" s="13">
        <v>72</v>
      </c>
      <c r="R65" s="13"/>
      <c r="S65" s="13"/>
      <c r="T65" s="13">
        <v>164</v>
      </c>
      <c r="U65" s="13">
        <v>5.5</v>
      </c>
      <c r="V65" s="13">
        <v>12.8</v>
      </c>
      <c r="W65" s="13"/>
      <c r="X65" s="13">
        <v>9</v>
      </c>
      <c r="Y65" s="13">
        <v>1.1000000000000001</v>
      </c>
      <c r="Z65" s="13">
        <v>370</v>
      </c>
      <c r="AA65" s="13">
        <v>151</v>
      </c>
      <c r="AB65" s="13"/>
      <c r="AC65" s="14">
        <v>790.54054054054063</v>
      </c>
      <c r="AD65" s="14">
        <v>621.66962699822386</v>
      </c>
      <c r="AE65" s="14">
        <v>361.80904522613065</v>
      </c>
      <c r="AF65" s="14"/>
      <c r="AG65" s="15">
        <v>1.0789601257757557</v>
      </c>
      <c r="AH65" s="15">
        <v>1.1624060624051742</v>
      </c>
      <c r="AI65" s="15"/>
      <c r="AJ65" s="41">
        <f t="shared" si="0"/>
        <v>10114</v>
      </c>
      <c r="AK65" s="44">
        <f t="shared" si="1"/>
        <v>111.52439024390245</v>
      </c>
      <c r="AL65" s="10"/>
      <c r="AM65" s="10"/>
    </row>
    <row r="66" spans="1:39" s="16" customFormat="1" ht="19" customHeight="1">
      <c r="A66" s="9" t="s">
        <v>97</v>
      </c>
      <c r="B66" s="10" t="s">
        <v>94</v>
      </c>
      <c r="C66" s="10"/>
      <c r="D66" s="10"/>
      <c r="E66" s="19" t="s">
        <v>1344</v>
      </c>
      <c r="F66" s="19" t="s">
        <v>30</v>
      </c>
      <c r="G66" s="12" t="s">
        <v>1385</v>
      </c>
      <c r="H66" s="13">
        <v>226</v>
      </c>
      <c r="I66" s="13">
        <v>66</v>
      </c>
      <c r="J66" s="13">
        <v>2466</v>
      </c>
      <c r="K66" s="13">
        <v>5752</v>
      </c>
      <c r="L66" s="13">
        <v>510</v>
      </c>
      <c r="M66" s="13">
        <v>19030</v>
      </c>
      <c r="N66" s="13">
        <v>1210</v>
      </c>
      <c r="O66" s="13">
        <v>128</v>
      </c>
      <c r="P66" s="13">
        <v>36</v>
      </c>
      <c r="Q66" s="13">
        <v>73</v>
      </c>
      <c r="R66" s="13"/>
      <c r="S66" s="13"/>
      <c r="T66" s="13">
        <v>146</v>
      </c>
      <c r="U66" s="13">
        <v>5.0999999999999996</v>
      </c>
      <c r="V66" s="13">
        <v>10.8</v>
      </c>
      <c r="W66" s="13"/>
      <c r="X66" s="13">
        <v>7.4</v>
      </c>
      <c r="Y66" s="13">
        <v>0.98</v>
      </c>
      <c r="Z66" s="13">
        <v>400</v>
      </c>
      <c r="AA66" s="13">
        <v>359</v>
      </c>
      <c r="AB66" s="13"/>
      <c r="AC66" s="14">
        <v>864.8648648648649</v>
      </c>
      <c r="AD66" s="14">
        <v>639.43161634103024</v>
      </c>
      <c r="AE66" s="14">
        <v>366.83417085427135</v>
      </c>
      <c r="AF66" s="14"/>
      <c r="AG66" s="15">
        <v>1.0382919817221317</v>
      </c>
      <c r="AH66" s="15">
        <v>1.1352332086696317</v>
      </c>
      <c r="AI66" s="15"/>
      <c r="AJ66" s="41">
        <f t="shared" si="0"/>
        <v>9938</v>
      </c>
      <c r="AK66" s="44">
        <f t="shared" si="1"/>
        <v>130.34246575342465</v>
      </c>
      <c r="AL66" s="10"/>
      <c r="AM66" s="10"/>
    </row>
    <row r="67" spans="1:39" s="16" customFormat="1" ht="19" customHeight="1">
      <c r="A67" s="9" t="s">
        <v>98</v>
      </c>
      <c r="B67" s="10" t="s">
        <v>94</v>
      </c>
      <c r="C67" s="10"/>
      <c r="D67" s="10"/>
      <c r="E67" s="19" t="s">
        <v>1344</v>
      </c>
      <c r="F67" s="19" t="s">
        <v>30</v>
      </c>
      <c r="G67" s="12" t="s">
        <v>1385</v>
      </c>
      <c r="H67" s="13">
        <v>117</v>
      </c>
      <c r="I67" s="13">
        <v>30</v>
      </c>
      <c r="J67" s="13">
        <v>1542</v>
      </c>
      <c r="K67" s="13">
        <v>3120</v>
      </c>
      <c r="L67" s="13">
        <v>361</v>
      </c>
      <c r="M67" s="13">
        <v>12510</v>
      </c>
      <c r="N67" s="13">
        <v>1093</v>
      </c>
      <c r="O67" s="13">
        <v>146</v>
      </c>
      <c r="P67" s="13">
        <v>43</v>
      </c>
      <c r="Q67" s="13">
        <v>104</v>
      </c>
      <c r="R67" s="13"/>
      <c r="S67" s="13"/>
      <c r="T67" s="13">
        <v>238</v>
      </c>
      <c r="U67" s="13">
        <v>8.5</v>
      </c>
      <c r="V67" s="13">
        <v>17.600000000000001</v>
      </c>
      <c r="W67" s="13"/>
      <c r="X67" s="13">
        <v>9.6999999999999993</v>
      </c>
      <c r="Y67" s="13">
        <v>1.1599999999999999</v>
      </c>
      <c r="Z67" s="13">
        <v>815</v>
      </c>
      <c r="AA67" s="13">
        <v>239</v>
      </c>
      <c r="AB67" s="13"/>
      <c r="AC67" s="14">
        <v>986.48648648648657</v>
      </c>
      <c r="AD67" s="14">
        <v>763.76554174067496</v>
      </c>
      <c r="AE67" s="14">
        <v>522.61306532663309</v>
      </c>
      <c r="AF67" s="14"/>
      <c r="AG67" s="15">
        <v>1.0122135956147396</v>
      </c>
      <c r="AH67" s="15">
        <v>1.0637127358540814</v>
      </c>
      <c r="AI67" s="15"/>
      <c r="AJ67" s="41">
        <f t="shared" si="0"/>
        <v>6116</v>
      </c>
      <c r="AK67" s="44">
        <f t="shared" si="1"/>
        <v>52.563025210084035</v>
      </c>
      <c r="AL67" s="10"/>
      <c r="AM67" s="10"/>
    </row>
    <row r="68" spans="1:39" s="16" customFormat="1" ht="19" customHeight="1">
      <c r="A68" s="9" t="s">
        <v>99</v>
      </c>
      <c r="B68" s="10" t="s">
        <v>94</v>
      </c>
      <c r="C68" s="10"/>
      <c r="D68" s="10"/>
      <c r="E68" s="19" t="s">
        <v>1344</v>
      </c>
      <c r="F68" s="19" t="s">
        <v>30</v>
      </c>
      <c r="G68" s="12" t="s">
        <v>1385</v>
      </c>
      <c r="H68" s="13">
        <v>643</v>
      </c>
      <c r="I68" s="13">
        <v>137</v>
      </c>
      <c r="J68" s="13">
        <v>1172</v>
      </c>
      <c r="K68" s="13">
        <v>2430</v>
      </c>
      <c r="L68" s="13">
        <v>160</v>
      </c>
      <c r="M68" s="13">
        <v>9500</v>
      </c>
      <c r="N68" s="13">
        <v>339</v>
      </c>
      <c r="O68" s="13">
        <v>30</v>
      </c>
      <c r="P68" s="13">
        <v>9.4</v>
      </c>
      <c r="Q68" s="13">
        <v>19</v>
      </c>
      <c r="R68" s="13"/>
      <c r="S68" s="13"/>
      <c r="T68" s="13">
        <v>62</v>
      </c>
      <c r="U68" s="13">
        <v>2.1</v>
      </c>
      <c r="V68" s="13">
        <v>5.5</v>
      </c>
      <c r="W68" s="13"/>
      <c r="X68" s="13">
        <v>4.5</v>
      </c>
      <c r="Y68" s="13">
        <v>0.63</v>
      </c>
      <c r="Z68" s="13">
        <v>730</v>
      </c>
      <c r="AA68" s="13">
        <v>87</v>
      </c>
      <c r="AB68" s="13"/>
      <c r="AC68" s="14">
        <v>202.70270270270271</v>
      </c>
      <c r="AD68" s="14">
        <v>166.96269982238013</v>
      </c>
      <c r="AE68" s="14">
        <v>95.477386934673362</v>
      </c>
      <c r="AF68" s="14"/>
      <c r="AG68" s="15">
        <v>1.119878258977167</v>
      </c>
      <c r="AH68" s="15">
        <v>1.200160770168279</v>
      </c>
      <c r="AI68" s="15"/>
      <c r="AJ68" s="41">
        <f t="shared" si="0"/>
        <v>4101</v>
      </c>
      <c r="AK68" s="44">
        <f t="shared" si="1"/>
        <v>153.2258064516129</v>
      </c>
      <c r="AL68" s="10"/>
      <c r="AM68" s="10"/>
    </row>
    <row r="69" spans="1:39" s="16" customFormat="1" ht="19" customHeight="1">
      <c r="A69" s="9" t="s">
        <v>100</v>
      </c>
      <c r="B69" s="10" t="s">
        <v>94</v>
      </c>
      <c r="C69" s="10"/>
      <c r="D69" s="10"/>
      <c r="E69" s="19" t="s">
        <v>1344</v>
      </c>
      <c r="F69" s="19" t="s">
        <v>30</v>
      </c>
      <c r="G69" s="12" t="s">
        <v>1385</v>
      </c>
      <c r="H69" s="13">
        <v>163</v>
      </c>
      <c r="I69" s="13">
        <v>101</v>
      </c>
      <c r="J69" s="13">
        <v>747</v>
      </c>
      <c r="K69" s="13">
        <v>1115</v>
      </c>
      <c r="L69" s="13">
        <v>109</v>
      </c>
      <c r="M69" s="13">
        <v>4812</v>
      </c>
      <c r="N69" s="13">
        <v>397</v>
      </c>
      <c r="O69" s="13">
        <v>43</v>
      </c>
      <c r="P69" s="13">
        <v>13</v>
      </c>
      <c r="Q69" s="13">
        <v>36</v>
      </c>
      <c r="R69" s="13"/>
      <c r="S69" s="13"/>
      <c r="T69" s="13">
        <v>109</v>
      </c>
      <c r="U69" s="13">
        <v>3.7</v>
      </c>
      <c r="V69" s="13">
        <v>8.9</v>
      </c>
      <c r="W69" s="13"/>
      <c r="X69" s="13">
        <v>6.4</v>
      </c>
      <c r="Y69" s="13">
        <v>0.78</v>
      </c>
      <c r="Z69" s="13">
        <v>660</v>
      </c>
      <c r="AA69" s="13">
        <v>107</v>
      </c>
      <c r="AB69" s="13"/>
      <c r="AC69" s="14">
        <v>290.54054054054058</v>
      </c>
      <c r="AD69" s="14">
        <v>230.90586145648314</v>
      </c>
      <c r="AE69" s="14">
        <v>180.90452261306532</v>
      </c>
      <c r="AF69" s="14"/>
      <c r="AG69" s="15">
        <v>0.97956635673263814</v>
      </c>
      <c r="AH69" s="15">
        <v>1.0071794943594088</v>
      </c>
      <c r="AI69" s="15"/>
      <c r="AJ69" s="41">
        <f t="shared" si="0"/>
        <v>2368</v>
      </c>
      <c r="AK69" s="44">
        <f t="shared" si="1"/>
        <v>44.146788990825691</v>
      </c>
      <c r="AL69" s="10"/>
      <c r="AM69" s="10"/>
    </row>
    <row r="70" spans="1:39" s="16" customFormat="1" ht="19" customHeight="1">
      <c r="A70" s="9" t="s">
        <v>101</v>
      </c>
      <c r="B70" s="10" t="s">
        <v>94</v>
      </c>
      <c r="C70" s="10"/>
      <c r="D70" s="10"/>
      <c r="E70" s="19" t="s">
        <v>1344</v>
      </c>
      <c r="F70" s="19" t="s">
        <v>30</v>
      </c>
      <c r="G70" s="12" t="s">
        <v>1385</v>
      </c>
      <c r="H70" s="13">
        <v>50</v>
      </c>
      <c r="I70" s="13">
        <v>14</v>
      </c>
      <c r="J70" s="13">
        <v>835</v>
      </c>
      <c r="K70" s="13">
        <v>2540</v>
      </c>
      <c r="L70" s="13">
        <v>245</v>
      </c>
      <c r="M70" s="13">
        <v>4125</v>
      </c>
      <c r="N70" s="13">
        <v>800</v>
      </c>
      <c r="O70" s="13">
        <v>105</v>
      </c>
      <c r="P70" s="13">
        <v>32</v>
      </c>
      <c r="Q70" s="13">
        <v>74</v>
      </c>
      <c r="R70" s="13"/>
      <c r="S70" s="13"/>
      <c r="T70" s="13">
        <v>200</v>
      </c>
      <c r="U70" s="13">
        <v>7.3</v>
      </c>
      <c r="V70" s="13">
        <v>17</v>
      </c>
      <c r="W70" s="13"/>
      <c r="X70" s="13">
        <v>12.3</v>
      </c>
      <c r="Y70" s="13">
        <v>1.2</v>
      </c>
      <c r="Z70" s="13">
        <v>770</v>
      </c>
      <c r="AA70" s="13">
        <v>56</v>
      </c>
      <c r="AB70" s="13"/>
      <c r="AC70" s="14">
        <v>709.45945945945948</v>
      </c>
      <c r="AD70" s="14">
        <v>568.38365896980463</v>
      </c>
      <c r="AE70" s="14">
        <v>371.85929648241205</v>
      </c>
      <c r="AF70" s="14"/>
      <c r="AG70" s="15">
        <v>1.0512786462761758</v>
      </c>
      <c r="AH70" s="15">
        <v>1.1065944047520342</v>
      </c>
      <c r="AI70" s="15"/>
      <c r="AJ70" s="41">
        <f t="shared" ref="AJ70:AJ133" si="2">J70+K70+L70+N70</f>
        <v>4420</v>
      </c>
      <c r="AK70" s="44">
        <f t="shared" ref="AK70:AK133" si="3">M70/T70</f>
        <v>20.625</v>
      </c>
      <c r="AL70" s="10"/>
      <c r="AM70" s="10"/>
    </row>
    <row r="71" spans="1:39" s="16" customFormat="1" ht="19" customHeight="1">
      <c r="A71" s="9" t="s">
        <v>102</v>
      </c>
      <c r="B71" s="10" t="s">
        <v>94</v>
      </c>
      <c r="C71" s="10"/>
      <c r="D71" s="10"/>
      <c r="E71" s="19" t="s">
        <v>1344</v>
      </c>
      <c r="F71" s="19" t="s">
        <v>30</v>
      </c>
      <c r="G71" s="12" t="s">
        <v>1385</v>
      </c>
      <c r="H71" s="13">
        <v>18</v>
      </c>
      <c r="I71" s="13">
        <v>6.5</v>
      </c>
      <c r="J71" s="13">
        <v>1136</v>
      </c>
      <c r="K71" s="13">
        <v>2584</v>
      </c>
      <c r="L71" s="13">
        <v>295</v>
      </c>
      <c r="M71" s="13">
        <v>8262</v>
      </c>
      <c r="N71" s="13">
        <v>1060</v>
      </c>
      <c r="O71" s="13">
        <v>155</v>
      </c>
      <c r="P71" s="13">
        <v>47</v>
      </c>
      <c r="Q71" s="13">
        <v>112</v>
      </c>
      <c r="R71" s="13"/>
      <c r="S71" s="13"/>
      <c r="T71" s="13">
        <v>274</v>
      </c>
      <c r="U71" s="13">
        <v>10.1</v>
      </c>
      <c r="V71" s="13">
        <v>22.5</v>
      </c>
      <c r="W71" s="13"/>
      <c r="X71" s="13">
        <v>11.7</v>
      </c>
      <c r="Y71" s="13">
        <v>1.4</v>
      </c>
      <c r="Z71" s="13">
        <v>730</v>
      </c>
      <c r="AA71" s="13"/>
      <c r="AB71" s="13"/>
      <c r="AC71" s="14">
        <v>1047.2972972972973</v>
      </c>
      <c r="AD71" s="14">
        <v>834.81349911190057</v>
      </c>
      <c r="AE71" s="14">
        <v>562.8140703517588</v>
      </c>
      <c r="AF71" s="14"/>
      <c r="AG71" s="15">
        <v>1.0369636733027012</v>
      </c>
      <c r="AH71" s="15">
        <v>1.0873566092255438</v>
      </c>
      <c r="AI71" s="15"/>
      <c r="AJ71" s="41">
        <f t="shared" si="2"/>
        <v>5075</v>
      </c>
      <c r="AK71" s="44">
        <f t="shared" si="3"/>
        <v>30.153284671532848</v>
      </c>
      <c r="AL71" s="10"/>
      <c r="AM71" s="10"/>
    </row>
    <row r="72" spans="1:39" s="16" customFormat="1" ht="19" customHeight="1">
      <c r="A72" s="9" t="s">
        <v>103</v>
      </c>
      <c r="B72" s="10" t="s">
        <v>94</v>
      </c>
      <c r="C72" s="10"/>
      <c r="D72" s="10"/>
      <c r="E72" s="19" t="s">
        <v>1344</v>
      </c>
      <c r="F72" s="19" t="s">
        <v>30</v>
      </c>
      <c r="G72" s="12" t="s">
        <v>1385</v>
      </c>
      <c r="H72" s="13">
        <v>12.2</v>
      </c>
      <c r="I72" s="13">
        <v>4.4000000000000004</v>
      </c>
      <c r="J72" s="13">
        <v>862</v>
      </c>
      <c r="K72" s="13">
        <v>1925</v>
      </c>
      <c r="L72" s="13">
        <v>228</v>
      </c>
      <c r="M72" s="13">
        <v>7100</v>
      </c>
      <c r="N72" s="13">
        <v>738</v>
      </c>
      <c r="O72" s="13">
        <v>108</v>
      </c>
      <c r="P72" s="13">
        <v>31</v>
      </c>
      <c r="Q72" s="13">
        <v>80</v>
      </c>
      <c r="R72" s="13"/>
      <c r="S72" s="13"/>
      <c r="T72" s="13">
        <v>282</v>
      </c>
      <c r="U72" s="13">
        <v>7.2</v>
      </c>
      <c r="V72" s="13">
        <v>14.4</v>
      </c>
      <c r="W72" s="13"/>
      <c r="X72" s="13">
        <v>9.8000000000000007</v>
      </c>
      <c r="Y72" s="13">
        <v>1.1000000000000001</v>
      </c>
      <c r="Z72" s="13">
        <v>820</v>
      </c>
      <c r="AA72" s="13">
        <v>167</v>
      </c>
      <c r="AB72" s="13"/>
      <c r="AC72" s="14">
        <v>729.7297297297298</v>
      </c>
      <c r="AD72" s="14">
        <v>550.62166962699825</v>
      </c>
      <c r="AE72" s="14">
        <v>402.01005025125625</v>
      </c>
      <c r="AF72" s="14"/>
      <c r="AG72" s="15">
        <v>0.97305348697074001</v>
      </c>
      <c r="AH72" s="15">
        <v>1.0166087038148068</v>
      </c>
      <c r="AI72" s="15"/>
      <c r="AJ72" s="41">
        <f t="shared" si="2"/>
        <v>3753</v>
      </c>
      <c r="AK72" s="44">
        <f t="shared" si="3"/>
        <v>25.177304964539008</v>
      </c>
      <c r="AL72" s="10"/>
      <c r="AM72" s="10"/>
    </row>
    <row r="73" spans="1:39" s="16" customFormat="1" ht="19" customHeight="1">
      <c r="A73" s="9" t="s">
        <v>104</v>
      </c>
      <c r="B73" s="10" t="s">
        <v>94</v>
      </c>
      <c r="C73" s="10"/>
      <c r="D73" s="10"/>
      <c r="E73" s="19" t="s">
        <v>1344</v>
      </c>
      <c r="F73" s="19" t="s">
        <v>30</v>
      </c>
      <c r="G73" s="12" t="s">
        <v>1385</v>
      </c>
      <c r="H73" s="13">
        <v>9.8000000000000007</v>
      </c>
      <c r="I73" s="13">
        <v>3.2</v>
      </c>
      <c r="J73" s="13">
        <v>207</v>
      </c>
      <c r="K73" s="13">
        <v>858</v>
      </c>
      <c r="L73" s="13">
        <v>61</v>
      </c>
      <c r="M73" s="13">
        <v>2409</v>
      </c>
      <c r="N73" s="13">
        <v>237</v>
      </c>
      <c r="O73" s="13">
        <v>39</v>
      </c>
      <c r="P73" s="13">
        <v>13.8</v>
      </c>
      <c r="Q73" s="13">
        <v>31</v>
      </c>
      <c r="R73" s="13"/>
      <c r="S73" s="13"/>
      <c r="T73" s="13">
        <v>75</v>
      </c>
      <c r="U73" s="13">
        <v>2</v>
      </c>
      <c r="V73" s="13">
        <v>7.6</v>
      </c>
      <c r="W73" s="13"/>
      <c r="X73" s="13">
        <v>4.4000000000000004</v>
      </c>
      <c r="Y73" s="13">
        <v>0.5</v>
      </c>
      <c r="Z73" s="13">
        <v>290</v>
      </c>
      <c r="AA73" s="13">
        <v>57</v>
      </c>
      <c r="AB73" s="13"/>
      <c r="AC73" s="14">
        <v>263.51351351351354</v>
      </c>
      <c r="AD73" s="14">
        <v>245.11545293072828</v>
      </c>
      <c r="AE73" s="14">
        <v>155.7788944723618</v>
      </c>
      <c r="AF73" s="14"/>
      <c r="AG73" s="15">
        <v>1.1691862207005925</v>
      </c>
      <c r="AH73" s="15">
        <v>1.2098037797401833</v>
      </c>
      <c r="AI73" s="15"/>
      <c r="AJ73" s="41">
        <f t="shared" si="2"/>
        <v>1363</v>
      </c>
      <c r="AK73" s="44">
        <f t="shared" si="3"/>
        <v>32.119999999999997</v>
      </c>
      <c r="AL73" s="10"/>
      <c r="AM73" s="10"/>
    </row>
    <row r="74" spans="1:39" s="16" customFormat="1" ht="19" customHeight="1">
      <c r="A74" s="9" t="s">
        <v>105</v>
      </c>
      <c r="B74" s="10" t="s">
        <v>94</v>
      </c>
      <c r="C74" s="10"/>
      <c r="D74" s="10"/>
      <c r="E74" s="19" t="s">
        <v>1344</v>
      </c>
      <c r="F74" s="19" t="s">
        <v>30</v>
      </c>
      <c r="G74" s="12" t="s">
        <v>1385</v>
      </c>
      <c r="H74" s="13">
        <v>3.5</v>
      </c>
      <c r="I74" s="13">
        <v>1.2</v>
      </c>
      <c r="J74" s="13">
        <v>1196</v>
      </c>
      <c r="K74" s="13">
        <v>3121</v>
      </c>
      <c r="L74" s="13">
        <v>343</v>
      </c>
      <c r="M74" s="13">
        <v>4272</v>
      </c>
      <c r="N74" s="13">
        <v>1064</v>
      </c>
      <c r="O74" s="13">
        <v>169</v>
      </c>
      <c r="P74" s="13">
        <v>34.700000000000003</v>
      </c>
      <c r="Q74" s="13">
        <v>89</v>
      </c>
      <c r="R74" s="13"/>
      <c r="S74" s="13"/>
      <c r="T74" s="13">
        <v>216</v>
      </c>
      <c r="U74" s="13">
        <v>7.7</v>
      </c>
      <c r="V74" s="13">
        <v>18</v>
      </c>
      <c r="W74" s="13"/>
      <c r="X74" s="13">
        <v>12</v>
      </c>
      <c r="Y74" s="13">
        <v>1.4</v>
      </c>
      <c r="Z74" s="13">
        <v>660</v>
      </c>
      <c r="AA74" s="13">
        <v>110</v>
      </c>
      <c r="AB74" s="13"/>
      <c r="AC74" s="14">
        <v>1141.8918918918919</v>
      </c>
      <c r="AD74" s="14">
        <v>616.34103019538202</v>
      </c>
      <c r="AE74" s="14">
        <v>447.2361809045226</v>
      </c>
      <c r="AF74" s="14"/>
      <c r="AG74" s="15">
        <v>0.77569711434371269</v>
      </c>
      <c r="AH74" s="15">
        <v>0.86246229991438528</v>
      </c>
      <c r="AI74" s="15"/>
      <c r="AJ74" s="41">
        <f t="shared" si="2"/>
        <v>5724</v>
      </c>
      <c r="AK74" s="44">
        <f t="shared" si="3"/>
        <v>19.777777777777779</v>
      </c>
      <c r="AL74" s="10"/>
      <c r="AM74" s="10"/>
    </row>
    <row r="75" spans="1:39" s="16" customFormat="1" ht="19" customHeight="1">
      <c r="A75" s="9" t="s">
        <v>106</v>
      </c>
      <c r="B75" s="10" t="s">
        <v>94</v>
      </c>
      <c r="C75" s="10"/>
      <c r="D75" s="10"/>
      <c r="E75" s="19" t="s">
        <v>1344</v>
      </c>
      <c r="F75" s="19" t="s">
        <v>30</v>
      </c>
      <c r="G75" s="12" t="s">
        <v>1385</v>
      </c>
      <c r="H75" s="13">
        <v>41</v>
      </c>
      <c r="I75" s="13">
        <v>10</v>
      </c>
      <c r="J75" s="13">
        <v>540</v>
      </c>
      <c r="K75" s="13">
        <v>1711</v>
      </c>
      <c r="L75" s="13">
        <v>216</v>
      </c>
      <c r="M75" s="13">
        <v>5608</v>
      </c>
      <c r="N75" s="13">
        <v>771</v>
      </c>
      <c r="O75" s="13">
        <v>133</v>
      </c>
      <c r="P75" s="13">
        <v>38.9</v>
      </c>
      <c r="Q75" s="13">
        <v>88.5</v>
      </c>
      <c r="R75" s="13"/>
      <c r="S75" s="13"/>
      <c r="T75" s="13">
        <v>139</v>
      </c>
      <c r="U75" s="13">
        <v>5.14</v>
      </c>
      <c r="V75" s="13">
        <v>8.5</v>
      </c>
      <c r="W75" s="13"/>
      <c r="X75" s="13">
        <v>2.67</v>
      </c>
      <c r="Y75" s="13">
        <v>0.24</v>
      </c>
      <c r="Z75" s="13">
        <v>1130</v>
      </c>
      <c r="AA75" s="13">
        <v>125</v>
      </c>
      <c r="AB75" s="13"/>
      <c r="AC75" s="14">
        <v>898.64864864864865</v>
      </c>
      <c r="AD75" s="14">
        <v>690.94138543516874</v>
      </c>
      <c r="AE75" s="14">
        <v>444.72361809045225</v>
      </c>
      <c r="AF75" s="14"/>
      <c r="AG75" s="15">
        <v>1.0286670382326091</v>
      </c>
      <c r="AH75" s="15">
        <v>1.0929521444917218</v>
      </c>
      <c r="AI75" s="15"/>
      <c r="AJ75" s="41">
        <f t="shared" si="2"/>
        <v>3238</v>
      </c>
      <c r="AK75" s="44">
        <f t="shared" si="3"/>
        <v>40.345323741007192</v>
      </c>
      <c r="AL75" s="10"/>
      <c r="AM75" s="10"/>
    </row>
    <row r="76" spans="1:39" s="16" customFormat="1" ht="19" customHeight="1">
      <c r="A76" s="9" t="s">
        <v>107</v>
      </c>
      <c r="B76" s="10" t="s">
        <v>108</v>
      </c>
      <c r="C76" s="10"/>
      <c r="D76" s="10"/>
      <c r="E76" s="11" t="s">
        <v>1341</v>
      </c>
      <c r="F76" s="11" t="s">
        <v>30</v>
      </c>
      <c r="G76" s="12" t="s">
        <v>1384</v>
      </c>
      <c r="H76" s="13">
        <v>31</v>
      </c>
      <c r="I76" s="13">
        <v>9</v>
      </c>
      <c r="J76" s="13">
        <v>1310</v>
      </c>
      <c r="K76" s="13">
        <v>3200</v>
      </c>
      <c r="L76" s="13">
        <v>418</v>
      </c>
      <c r="M76" s="13">
        <v>188</v>
      </c>
      <c r="N76" s="13">
        <v>1620</v>
      </c>
      <c r="O76" s="13">
        <v>299</v>
      </c>
      <c r="P76" s="13">
        <v>13</v>
      </c>
      <c r="Q76" s="13">
        <v>235</v>
      </c>
      <c r="R76" s="13">
        <v>34</v>
      </c>
      <c r="S76" s="13">
        <v>177</v>
      </c>
      <c r="T76" s="13">
        <v>1094</v>
      </c>
      <c r="U76" s="13">
        <v>38</v>
      </c>
      <c r="V76" s="13">
        <v>103</v>
      </c>
      <c r="W76" s="13">
        <v>14</v>
      </c>
      <c r="X76" s="13">
        <v>80</v>
      </c>
      <c r="Y76" s="13">
        <v>10</v>
      </c>
      <c r="Z76" s="13"/>
      <c r="AA76" s="13"/>
      <c r="AB76" s="13"/>
      <c r="AC76" s="14">
        <v>2020.2702702702704</v>
      </c>
      <c r="AD76" s="14">
        <v>230.90586145648314</v>
      </c>
      <c r="AE76" s="14">
        <v>1180.9045226130652</v>
      </c>
      <c r="AF76" s="14">
        <v>941.82825484764544</v>
      </c>
      <c r="AG76" s="15">
        <v>0.1442632011034321</v>
      </c>
      <c r="AH76" s="15">
        <v>0.14949367836831265</v>
      </c>
      <c r="AI76" s="15">
        <v>0.14740246200860799</v>
      </c>
      <c r="AJ76" s="41">
        <f t="shared" si="2"/>
        <v>6548</v>
      </c>
      <c r="AK76" s="44">
        <f t="shared" si="3"/>
        <v>0.17184643510054845</v>
      </c>
      <c r="AL76" s="10"/>
      <c r="AM76" s="10"/>
    </row>
    <row r="77" spans="1:39" s="16" customFormat="1" ht="19" customHeight="1">
      <c r="A77" s="9" t="s">
        <v>109</v>
      </c>
      <c r="B77" s="10" t="s">
        <v>108</v>
      </c>
      <c r="C77" s="10"/>
      <c r="D77" s="10"/>
      <c r="E77" s="11" t="s">
        <v>1341</v>
      </c>
      <c r="F77" s="11" t="s">
        <v>30</v>
      </c>
      <c r="G77" s="12" t="s">
        <v>1384</v>
      </c>
      <c r="H77" s="13">
        <v>91</v>
      </c>
      <c r="I77" s="13">
        <v>51</v>
      </c>
      <c r="J77" s="13">
        <v>602</v>
      </c>
      <c r="K77" s="13">
        <v>1478</v>
      </c>
      <c r="L77" s="13">
        <v>176</v>
      </c>
      <c r="M77" s="13">
        <v>273</v>
      </c>
      <c r="N77" s="13">
        <v>634</v>
      </c>
      <c r="O77" s="13">
        <v>100</v>
      </c>
      <c r="P77" s="13">
        <v>19</v>
      </c>
      <c r="Q77" s="13">
        <v>80</v>
      </c>
      <c r="R77" s="13">
        <v>11</v>
      </c>
      <c r="S77" s="13">
        <v>51</v>
      </c>
      <c r="T77" s="13">
        <v>356</v>
      </c>
      <c r="U77" s="13">
        <v>12</v>
      </c>
      <c r="V77" s="13">
        <v>33</v>
      </c>
      <c r="W77" s="13">
        <v>5</v>
      </c>
      <c r="X77" s="13">
        <v>32</v>
      </c>
      <c r="Y77" s="13">
        <v>6</v>
      </c>
      <c r="Z77" s="13"/>
      <c r="AA77" s="13"/>
      <c r="AB77" s="13"/>
      <c r="AC77" s="14">
        <v>675.67567567567573</v>
      </c>
      <c r="AD77" s="14">
        <v>337.47779751332149</v>
      </c>
      <c r="AE77" s="14">
        <v>402.01005025125625</v>
      </c>
      <c r="AF77" s="14">
        <v>304.70914127423822</v>
      </c>
      <c r="AG77" s="15">
        <v>0.62630095099951755</v>
      </c>
      <c r="AH77" s="15">
        <v>0.64752659229785292</v>
      </c>
      <c r="AI77" s="15">
        <v>0.65131516294402669</v>
      </c>
      <c r="AJ77" s="41">
        <f t="shared" si="2"/>
        <v>2890</v>
      </c>
      <c r="AK77" s="44">
        <f t="shared" si="3"/>
        <v>0.7668539325842697</v>
      </c>
      <c r="AL77" s="10"/>
      <c r="AM77" s="10"/>
    </row>
    <row r="78" spans="1:39" s="16" customFormat="1" ht="19" customHeight="1">
      <c r="A78" s="9" t="s">
        <v>110</v>
      </c>
      <c r="B78" s="10" t="s">
        <v>108</v>
      </c>
      <c r="C78" s="10"/>
      <c r="D78" s="10"/>
      <c r="E78" s="11" t="s">
        <v>1341</v>
      </c>
      <c r="F78" s="11" t="s">
        <v>30</v>
      </c>
      <c r="G78" s="12" t="s">
        <v>1384</v>
      </c>
      <c r="H78" s="13">
        <v>230</v>
      </c>
      <c r="I78" s="13">
        <v>148</v>
      </c>
      <c r="J78" s="13">
        <v>1079</v>
      </c>
      <c r="K78" s="13">
        <v>2350</v>
      </c>
      <c r="L78" s="13">
        <v>290</v>
      </c>
      <c r="M78" s="13">
        <v>399</v>
      </c>
      <c r="N78" s="13">
        <v>1080</v>
      </c>
      <c r="O78" s="13">
        <v>147</v>
      </c>
      <c r="P78" s="13">
        <v>16</v>
      </c>
      <c r="Q78" s="13">
        <v>107</v>
      </c>
      <c r="R78" s="13">
        <v>15</v>
      </c>
      <c r="S78" s="13">
        <v>69</v>
      </c>
      <c r="T78" s="13">
        <v>385</v>
      </c>
      <c r="U78" s="13">
        <v>13</v>
      </c>
      <c r="V78" s="13">
        <v>33</v>
      </c>
      <c r="W78" s="13">
        <v>5</v>
      </c>
      <c r="X78" s="13">
        <v>27</v>
      </c>
      <c r="Y78" s="13">
        <v>4</v>
      </c>
      <c r="Z78" s="13"/>
      <c r="AA78" s="13"/>
      <c r="AB78" s="13"/>
      <c r="AC78" s="14">
        <v>993.24324324324334</v>
      </c>
      <c r="AD78" s="14">
        <v>284.19182948490231</v>
      </c>
      <c r="AE78" s="14">
        <v>537.6884422110553</v>
      </c>
      <c r="AF78" s="14">
        <v>415.51246537396122</v>
      </c>
      <c r="AG78" s="15">
        <v>0.37126650677501577</v>
      </c>
      <c r="AH78" s="15">
        <v>0.38888252460278799</v>
      </c>
      <c r="AI78" s="15">
        <v>0.38257197779543817</v>
      </c>
      <c r="AJ78" s="41">
        <f t="shared" si="2"/>
        <v>4799</v>
      </c>
      <c r="AK78" s="44">
        <f t="shared" si="3"/>
        <v>1.0363636363636364</v>
      </c>
      <c r="AL78" s="10"/>
      <c r="AM78" s="10"/>
    </row>
    <row r="79" spans="1:39" s="16" customFormat="1" ht="19" customHeight="1">
      <c r="A79" s="9" t="s">
        <v>111</v>
      </c>
      <c r="B79" s="10" t="s">
        <v>108</v>
      </c>
      <c r="C79" s="10"/>
      <c r="D79" s="10"/>
      <c r="E79" s="11" t="s">
        <v>1341</v>
      </c>
      <c r="F79" s="11" t="s">
        <v>30</v>
      </c>
      <c r="G79" s="12" t="s">
        <v>1384</v>
      </c>
      <c r="H79" s="13">
        <v>16</v>
      </c>
      <c r="I79" s="13">
        <v>151</v>
      </c>
      <c r="J79" s="13">
        <v>815</v>
      </c>
      <c r="K79" s="13">
        <v>1898</v>
      </c>
      <c r="L79" s="13">
        <v>229</v>
      </c>
      <c r="M79" s="13">
        <v>312</v>
      </c>
      <c r="N79" s="13">
        <v>838</v>
      </c>
      <c r="O79" s="13">
        <v>119</v>
      </c>
      <c r="P79" s="13">
        <v>11</v>
      </c>
      <c r="Q79" s="13">
        <v>89</v>
      </c>
      <c r="R79" s="13">
        <v>13</v>
      </c>
      <c r="S79" s="13">
        <v>63</v>
      </c>
      <c r="T79" s="13">
        <v>373</v>
      </c>
      <c r="U79" s="13">
        <v>12</v>
      </c>
      <c r="V79" s="13">
        <v>31</v>
      </c>
      <c r="W79" s="13">
        <v>4</v>
      </c>
      <c r="X79" s="13">
        <v>27</v>
      </c>
      <c r="Y79" s="13">
        <v>4</v>
      </c>
      <c r="Z79" s="13"/>
      <c r="AA79" s="13"/>
      <c r="AB79" s="13"/>
      <c r="AC79" s="14">
        <v>804.05405405405406</v>
      </c>
      <c r="AD79" s="14">
        <v>195.38188277087036</v>
      </c>
      <c r="AE79" s="14">
        <v>447.2361809045226</v>
      </c>
      <c r="AF79" s="14">
        <v>360.11080332409972</v>
      </c>
      <c r="AG79" s="15">
        <v>0.3122886718241486</v>
      </c>
      <c r="AH79" s="15">
        <v>0.32581659611736774</v>
      </c>
      <c r="AI79" s="15">
        <v>0.31760115743122724</v>
      </c>
      <c r="AJ79" s="41">
        <f t="shared" si="2"/>
        <v>3780</v>
      </c>
      <c r="AK79" s="44">
        <f t="shared" si="3"/>
        <v>0.83646112600536193</v>
      </c>
      <c r="AL79" s="10"/>
      <c r="AM79" s="10"/>
    </row>
    <row r="80" spans="1:39" s="16" customFormat="1" ht="19" customHeight="1">
      <c r="A80" s="9" t="s">
        <v>112</v>
      </c>
      <c r="B80" s="10" t="s">
        <v>108</v>
      </c>
      <c r="C80" s="10"/>
      <c r="D80" s="10"/>
      <c r="E80" s="11" t="s">
        <v>1341</v>
      </c>
      <c r="F80" s="11" t="s">
        <v>30</v>
      </c>
      <c r="G80" s="12" t="s">
        <v>1384</v>
      </c>
      <c r="H80" s="13">
        <v>649</v>
      </c>
      <c r="I80" s="13">
        <v>148</v>
      </c>
      <c r="J80" s="13">
        <v>1540</v>
      </c>
      <c r="K80" s="13">
        <v>3980</v>
      </c>
      <c r="L80" s="13">
        <v>540</v>
      </c>
      <c r="M80" s="13">
        <v>362</v>
      </c>
      <c r="N80" s="13">
        <v>2180</v>
      </c>
      <c r="O80" s="13">
        <v>427</v>
      </c>
      <c r="P80" s="13">
        <v>24</v>
      </c>
      <c r="Q80" s="13">
        <v>369</v>
      </c>
      <c r="R80" s="13">
        <v>55</v>
      </c>
      <c r="S80" s="13">
        <v>302</v>
      </c>
      <c r="T80" s="13">
        <v>1710</v>
      </c>
      <c r="U80" s="13">
        <v>58</v>
      </c>
      <c r="V80" s="13">
        <v>153</v>
      </c>
      <c r="W80" s="13">
        <v>21</v>
      </c>
      <c r="X80" s="13">
        <v>126</v>
      </c>
      <c r="Y80" s="13">
        <v>17</v>
      </c>
      <c r="Z80" s="13"/>
      <c r="AA80" s="13"/>
      <c r="AB80" s="13"/>
      <c r="AC80" s="14">
        <v>2885.1351351351354</v>
      </c>
      <c r="AD80" s="14">
        <v>426.28774422735347</v>
      </c>
      <c r="AE80" s="14">
        <v>1854.2713567839196</v>
      </c>
      <c r="AF80" s="14">
        <v>1523.545706371191</v>
      </c>
      <c r="AG80" s="15">
        <v>0.1798907711141457</v>
      </c>
      <c r="AH80" s="15">
        <v>0.18430330455044436</v>
      </c>
      <c r="AI80" s="15">
        <v>0.18279890009551744</v>
      </c>
      <c r="AJ80" s="41">
        <f t="shared" si="2"/>
        <v>8240</v>
      </c>
      <c r="AK80" s="44">
        <f t="shared" si="3"/>
        <v>0.21169590643274855</v>
      </c>
      <c r="AL80" s="10"/>
      <c r="AM80" s="10"/>
    </row>
    <row r="81" spans="1:39" s="16" customFormat="1" ht="19" customHeight="1">
      <c r="A81" s="9" t="s">
        <v>113</v>
      </c>
      <c r="B81" s="10" t="s">
        <v>108</v>
      </c>
      <c r="C81" s="10"/>
      <c r="D81" s="10"/>
      <c r="E81" s="11" t="s">
        <v>1341</v>
      </c>
      <c r="F81" s="11" t="s">
        <v>30</v>
      </c>
      <c r="G81" s="12" t="s">
        <v>1384</v>
      </c>
      <c r="H81" s="13">
        <v>103</v>
      </c>
      <c r="I81" s="13">
        <v>127</v>
      </c>
      <c r="J81" s="13">
        <v>1094</v>
      </c>
      <c r="K81" s="13">
        <v>2330</v>
      </c>
      <c r="L81" s="13">
        <v>273</v>
      </c>
      <c r="M81" s="13">
        <v>236</v>
      </c>
      <c r="N81" s="13">
        <v>1018</v>
      </c>
      <c r="O81" s="13">
        <v>152</v>
      </c>
      <c r="P81" s="13">
        <v>20</v>
      </c>
      <c r="Q81" s="13">
        <v>125</v>
      </c>
      <c r="R81" s="13">
        <v>17</v>
      </c>
      <c r="S81" s="13">
        <v>84</v>
      </c>
      <c r="T81" s="13">
        <v>525</v>
      </c>
      <c r="U81" s="13">
        <v>18</v>
      </c>
      <c r="V81" s="13">
        <v>46</v>
      </c>
      <c r="W81" s="13">
        <v>7</v>
      </c>
      <c r="X81" s="13">
        <v>43</v>
      </c>
      <c r="Y81" s="13">
        <v>8</v>
      </c>
      <c r="Z81" s="13"/>
      <c r="AA81" s="13"/>
      <c r="AB81" s="13"/>
      <c r="AC81" s="14">
        <v>1027.0270270270271</v>
      </c>
      <c r="AD81" s="14">
        <v>355.23978685612792</v>
      </c>
      <c r="AE81" s="14">
        <v>628.14070351758789</v>
      </c>
      <c r="AF81" s="14">
        <v>470.91412742382272</v>
      </c>
      <c r="AG81" s="15">
        <v>0.42924929032931314</v>
      </c>
      <c r="AH81" s="15">
        <v>0.44228498535796879</v>
      </c>
      <c r="AI81" s="15">
        <v>0.44855921140916444</v>
      </c>
      <c r="AJ81" s="41">
        <f t="shared" si="2"/>
        <v>4715</v>
      </c>
      <c r="AK81" s="44">
        <f t="shared" si="3"/>
        <v>0.44952380952380955</v>
      </c>
      <c r="AL81" s="10"/>
      <c r="AM81" s="10"/>
    </row>
    <row r="82" spans="1:39" s="16" customFormat="1" ht="19" customHeight="1">
      <c r="A82" s="9" t="s">
        <v>114</v>
      </c>
      <c r="B82" s="10" t="s">
        <v>108</v>
      </c>
      <c r="C82" s="10"/>
      <c r="D82" s="10"/>
      <c r="E82" s="11" t="s">
        <v>1341</v>
      </c>
      <c r="F82" s="11" t="s">
        <v>30</v>
      </c>
      <c r="G82" s="12" t="s">
        <v>1384</v>
      </c>
      <c r="H82" s="13">
        <v>144</v>
      </c>
      <c r="I82" s="13">
        <v>33</v>
      </c>
      <c r="J82" s="13">
        <v>1658</v>
      </c>
      <c r="K82" s="13">
        <v>4290</v>
      </c>
      <c r="L82" s="13">
        <v>635</v>
      </c>
      <c r="M82" s="13">
        <v>362</v>
      </c>
      <c r="N82" s="13">
        <v>2830</v>
      </c>
      <c r="O82" s="13">
        <v>558</v>
      </c>
      <c r="P82" s="13">
        <v>51</v>
      </c>
      <c r="Q82" s="13">
        <v>477</v>
      </c>
      <c r="R82" s="13">
        <v>67</v>
      </c>
      <c r="S82" s="13">
        <v>336</v>
      </c>
      <c r="T82" s="13">
        <v>1690</v>
      </c>
      <c r="U82" s="13">
        <v>61</v>
      </c>
      <c r="V82" s="13">
        <v>156</v>
      </c>
      <c r="W82" s="13">
        <v>20</v>
      </c>
      <c r="X82" s="13">
        <v>112</v>
      </c>
      <c r="Y82" s="13">
        <v>15</v>
      </c>
      <c r="Z82" s="13"/>
      <c r="AA82" s="13"/>
      <c r="AB82" s="13"/>
      <c r="AC82" s="14">
        <v>3770.2702702702704</v>
      </c>
      <c r="AD82" s="14">
        <v>905.86145648312618</v>
      </c>
      <c r="AE82" s="14">
        <v>2396.9849246231156</v>
      </c>
      <c r="AF82" s="14">
        <v>1855.9556786703602</v>
      </c>
      <c r="AG82" s="15">
        <v>0.29376486876469715</v>
      </c>
      <c r="AH82" s="15">
        <v>0.30133035841848205</v>
      </c>
      <c r="AI82" s="15">
        <v>0.30429227392988251</v>
      </c>
      <c r="AJ82" s="41">
        <f t="shared" si="2"/>
        <v>9413</v>
      </c>
      <c r="AK82" s="44">
        <f t="shared" si="3"/>
        <v>0.21420118343195266</v>
      </c>
      <c r="AL82" s="10"/>
      <c r="AM82" s="10"/>
    </row>
    <row r="83" spans="1:39" s="16" customFormat="1" ht="19" customHeight="1">
      <c r="A83" s="9" t="s">
        <v>115</v>
      </c>
      <c r="B83" s="10" t="s">
        <v>108</v>
      </c>
      <c r="C83" s="10"/>
      <c r="D83" s="10"/>
      <c r="E83" s="11" t="s">
        <v>1341</v>
      </c>
      <c r="F83" s="11" t="s">
        <v>30</v>
      </c>
      <c r="G83" s="12" t="s">
        <v>1384</v>
      </c>
      <c r="H83" s="13">
        <v>32</v>
      </c>
      <c r="I83" s="13">
        <v>23</v>
      </c>
      <c r="J83" s="13">
        <v>411</v>
      </c>
      <c r="K83" s="13">
        <v>1203</v>
      </c>
      <c r="L83" s="13">
        <v>183</v>
      </c>
      <c r="M83" s="13">
        <v>176</v>
      </c>
      <c r="N83" s="13">
        <v>806</v>
      </c>
      <c r="O83" s="13">
        <v>147</v>
      </c>
      <c r="P83" s="13">
        <v>14</v>
      </c>
      <c r="Q83" s="13">
        <v>130</v>
      </c>
      <c r="R83" s="13">
        <v>19</v>
      </c>
      <c r="S83" s="13">
        <v>104</v>
      </c>
      <c r="T83" s="13">
        <v>622</v>
      </c>
      <c r="U83" s="13">
        <v>22</v>
      </c>
      <c r="V83" s="13">
        <v>60</v>
      </c>
      <c r="W83" s="13">
        <v>9</v>
      </c>
      <c r="X83" s="13">
        <v>53</v>
      </c>
      <c r="Y83" s="13">
        <v>8</v>
      </c>
      <c r="Z83" s="13"/>
      <c r="AA83" s="13"/>
      <c r="AB83" s="13"/>
      <c r="AC83" s="14">
        <v>993.24324324324334</v>
      </c>
      <c r="AD83" s="14">
        <v>248.66785079928954</v>
      </c>
      <c r="AE83" s="14">
        <v>653.26633165829139</v>
      </c>
      <c r="AF83" s="14">
        <v>526.31578947368416</v>
      </c>
      <c r="AG83" s="15">
        <v>0.30205454567631101</v>
      </c>
      <c r="AH83" s="15">
        <v>0.308707153455482</v>
      </c>
      <c r="AI83" s="15">
        <v>0.30938583682635135</v>
      </c>
      <c r="AJ83" s="41">
        <f t="shared" si="2"/>
        <v>2603</v>
      </c>
      <c r="AK83" s="44">
        <f t="shared" si="3"/>
        <v>0.28295819935691319</v>
      </c>
      <c r="AL83" s="10"/>
      <c r="AM83" s="10"/>
    </row>
    <row r="84" spans="1:39" s="16" customFormat="1" ht="19" customHeight="1">
      <c r="A84" s="9" t="s">
        <v>116</v>
      </c>
      <c r="B84" s="10" t="s">
        <v>108</v>
      </c>
      <c r="C84" s="10"/>
      <c r="D84" s="10"/>
      <c r="E84" s="11" t="s">
        <v>1341</v>
      </c>
      <c r="F84" s="11" t="s">
        <v>30</v>
      </c>
      <c r="G84" s="12" t="s">
        <v>1384</v>
      </c>
      <c r="H84" s="13">
        <v>78</v>
      </c>
      <c r="I84" s="13">
        <v>54</v>
      </c>
      <c r="J84" s="13">
        <v>1051</v>
      </c>
      <c r="K84" s="13">
        <v>1916</v>
      </c>
      <c r="L84" s="13">
        <v>206</v>
      </c>
      <c r="M84" s="13">
        <v>329</v>
      </c>
      <c r="N84" s="13">
        <v>717</v>
      </c>
      <c r="O84" s="13">
        <v>102</v>
      </c>
      <c r="P84" s="13">
        <v>16</v>
      </c>
      <c r="Q84" s="13">
        <v>90</v>
      </c>
      <c r="R84" s="13">
        <v>12</v>
      </c>
      <c r="S84" s="13">
        <v>58</v>
      </c>
      <c r="T84" s="13">
        <v>332</v>
      </c>
      <c r="U84" s="13">
        <v>12</v>
      </c>
      <c r="V84" s="13">
        <v>32</v>
      </c>
      <c r="W84" s="13">
        <v>4</v>
      </c>
      <c r="X84" s="13">
        <v>25</v>
      </c>
      <c r="Y84" s="13">
        <v>4</v>
      </c>
      <c r="Z84" s="13"/>
      <c r="AA84" s="13"/>
      <c r="AB84" s="13"/>
      <c r="AC84" s="14">
        <v>689.18918918918928</v>
      </c>
      <c r="AD84" s="14">
        <v>284.19182948490231</v>
      </c>
      <c r="AE84" s="14">
        <v>452.2613065326633</v>
      </c>
      <c r="AF84" s="14">
        <v>332.409972299169</v>
      </c>
      <c r="AG84" s="15">
        <v>0.49794858480512477</v>
      </c>
      <c r="AH84" s="15">
        <v>0.50903499849723965</v>
      </c>
      <c r="AI84" s="15">
        <v>0.52580890357643506</v>
      </c>
      <c r="AJ84" s="41">
        <f t="shared" si="2"/>
        <v>3890</v>
      </c>
      <c r="AK84" s="44">
        <f t="shared" si="3"/>
        <v>0.99096385542168675</v>
      </c>
      <c r="AL84" s="10"/>
      <c r="AM84" s="10"/>
    </row>
    <row r="85" spans="1:39" s="16" customFormat="1" ht="19" customHeight="1">
      <c r="A85" s="9" t="s">
        <v>117</v>
      </c>
      <c r="B85" s="10" t="s">
        <v>108</v>
      </c>
      <c r="C85" s="10"/>
      <c r="D85" s="10"/>
      <c r="E85" s="11" t="s">
        <v>1341</v>
      </c>
      <c r="F85" s="11" t="s">
        <v>30</v>
      </c>
      <c r="G85" s="12" t="s">
        <v>1384</v>
      </c>
      <c r="H85" s="13">
        <v>55</v>
      </c>
      <c r="I85" s="13">
        <v>78</v>
      </c>
      <c r="J85" s="13">
        <v>739</v>
      </c>
      <c r="K85" s="13">
        <v>1584</v>
      </c>
      <c r="L85" s="13">
        <v>182</v>
      </c>
      <c r="M85" s="13">
        <v>314</v>
      </c>
      <c r="N85" s="13">
        <v>668</v>
      </c>
      <c r="O85" s="13">
        <v>106</v>
      </c>
      <c r="P85" s="13">
        <v>18</v>
      </c>
      <c r="Q85" s="13">
        <v>93</v>
      </c>
      <c r="R85" s="13">
        <v>13</v>
      </c>
      <c r="S85" s="13">
        <v>65</v>
      </c>
      <c r="T85" s="13">
        <v>379</v>
      </c>
      <c r="U85" s="13">
        <v>13</v>
      </c>
      <c r="V85" s="13">
        <v>34</v>
      </c>
      <c r="W85" s="13">
        <v>5</v>
      </c>
      <c r="X85" s="13">
        <v>30</v>
      </c>
      <c r="Y85" s="13">
        <v>5</v>
      </c>
      <c r="Z85" s="13"/>
      <c r="AA85" s="13"/>
      <c r="AB85" s="13"/>
      <c r="AC85" s="14">
        <v>716.21621621621625</v>
      </c>
      <c r="AD85" s="14">
        <v>319.71580817051512</v>
      </c>
      <c r="AE85" s="14">
        <v>467.3366834170854</v>
      </c>
      <c r="AF85" s="14">
        <v>360.11080332409972</v>
      </c>
      <c r="AG85" s="15">
        <v>0.54026450067347587</v>
      </c>
      <c r="AH85" s="15">
        <v>0.55262063715220711</v>
      </c>
      <c r="AI85" s="15">
        <v>0.56137873878100908</v>
      </c>
      <c r="AJ85" s="41">
        <f t="shared" si="2"/>
        <v>3173</v>
      </c>
      <c r="AK85" s="44">
        <f t="shared" si="3"/>
        <v>0.82849604221635886</v>
      </c>
      <c r="AL85" s="10"/>
      <c r="AM85" s="10"/>
    </row>
    <row r="86" spans="1:39" s="16" customFormat="1" ht="19" customHeight="1">
      <c r="A86" s="9" t="s">
        <v>118</v>
      </c>
      <c r="B86" s="10" t="s">
        <v>61</v>
      </c>
      <c r="C86" s="10"/>
      <c r="D86" s="10"/>
      <c r="E86" s="17" t="s">
        <v>45</v>
      </c>
      <c r="F86" s="17" t="s">
        <v>30</v>
      </c>
      <c r="G86" s="12" t="s">
        <v>1384</v>
      </c>
      <c r="H86" s="13">
        <v>2</v>
      </c>
      <c r="I86" s="13">
        <v>23</v>
      </c>
      <c r="J86" s="13">
        <v>96</v>
      </c>
      <c r="K86" s="13">
        <v>381</v>
      </c>
      <c r="L86" s="13">
        <v>84</v>
      </c>
      <c r="M86" s="13">
        <v>94</v>
      </c>
      <c r="N86" s="13">
        <v>493</v>
      </c>
      <c r="O86" s="13">
        <v>284</v>
      </c>
      <c r="P86" s="13">
        <v>11</v>
      </c>
      <c r="Q86" s="13">
        <v>388</v>
      </c>
      <c r="R86" s="13">
        <v>69</v>
      </c>
      <c r="S86" s="13">
        <v>472</v>
      </c>
      <c r="T86" s="13">
        <v>2000</v>
      </c>
      <c r="U86" s="13">
        <v>72</v>
      </c>
      <c r="V86" s="13">
        <v>169</v>
      </c>
      <c r="W86" s="13">
        <v>69</v>
      </c>
      <c r="X86" s="13">
        <v>171</v>
      </c>
      <c r="Y86" s="13">
        <v>21</v>
      </c>
      <c r="Z86" s="13"/>
      <c r="AA86" s="13"/>
      <c r="AB86" s="13"/>
      <c r="AC86" s="14">
        <v>1918.918918918919</v>
      </c>
      <c r="AD86" s="14">
        <v>195.38188277087036</v>
      </c>
      <c r="AE86" s="14">
        <v>1949.7487437185928</v>
      </c>
      <c r="AF86" s="14">
        <v>1911.3573407202216</v>
      </c>
      <c r="AG86" s="15">
        <v>0.10100732335207431</v>
      </c>
      <c r="AH86" s="15">
        <v>0.10101053082367549</v>
      </c>
      <c r="AI86" s="15">
        <v>0.10195282041976848</v>
      </c>
      <c r="AJ86" s="41">
        <f t="shared" si="2"/>
        <v>1054</v>
      </c>
      <c r="AK86" s="44">
        <f t="shared" si="3"/>
        <v>4.7E-2</v>
      </c>
      <c r="AL86" s="10"/>
      <c r="AM86" s="10"/>
    </row>
    <row r="87" spans="1:39" s="16" customFormat="1" ht="19" customHeight="1">
      <c r="A87" s="9" t="s">
        <v>119</v>
      </c>
      <c r="B87" s="10" t="s">
        <v>61</v>
      </c>
      <c r="C87" s="10"/>
      <c r="D87" s="10"/>
      <c r="E87" s="17" t="s">
        <v>45</v>
      </c>
      <c r="F87" s="17" t="s">
        <v>30</v>
      </c>
      <c r="G87" s="12" t="s">
        <v>1384</v>
      </c>
      <c r="H87" s="13">
        <v>4</v>
      </c>
      <c r="I87" s="13">
        <v>77</v>
      </c>
      <c r="J87" s="13">
        <v>268</v>
      </c>
      <c r="K87" s="13">
        <v>790</v>
      </c>
      <c r="L87" s="13">
        <v>134</v>
      </c>
      <c r="M87" s="13">
        <v>58</v>
      </c>
      <c r="N87" s="13">
        <v>623</v>
      </c>
      <c r="O87" s="13">
        <v>288</v>
      </c>
      <c r="P87" s="13">
        <v>13</v>
      </c>
      <c r="Q87" s="13">
        <v>403</v>
      </c>
      <c r="R87" s="13">
        <v>79</v>
      </c>
      <c r="S87" s="13">
        <v>588</v>
      </c>
      <c r="T87" s="13">
        <v>3020</v>
      </c>
      <c r="U87" s="13">
        <v>101</v>
      </c>
      <c r="V87" s="13">
        <v>272</v>
      </c>
      <c r="W87" s="13">
        <v>79</v>
      </c>
      <c r="X87" s="13">
        <v>319</v>
      </c>
      <c r="Y87" s="13">
        <v>43</v>
      </c>
      <c r="Z87" s="13"/>
      <c r="AA87" s="13"/>
      <c r="AB87" s="13"/>
      <c r="AC87" s="14">
        <v>1945.9459459459461</v>
      </c>
      <c r="AD87" s="14">
        <v>230.90586145648314</v>
      </c>
      <c r="AE87" s="14">
        <v>2025.1256281407034</v>
      </c>
      <c r="AF87" s="14">
        <v>2188.3656509695293</v>
      </c>
      <c r="AG87" s="15">
        <v>0.11629398118294643</v>
      </c>
      <c r="AH87" s="15">
        <v>0.11631710549607691</v>
      </c>
      <c r="AI87" s="15">
        <v>0.11410582440985015</v>
      </c>
      <c r="AJ87" s="41">
        <f t="shared" si="2"/>
        <v>1815</v>
      </c>
      <c r="AK87" s="44">
        <f t="shared" si="3"/>
        <v>1.9205298013245033E-2</v>
      </c>
      <c r="AL87" s="10"/>
      <c r="AM87" s="10"/>
    </row>
    <row r="88" spans="1:39" s="16" customFormat="1" ht="19" customHeight="1">
      <c r="A88" s="9" t="s">
        <v>120</v>
      </c>
      <c r="B88" s="10" t="s">
        <v>61</v>
      </c>
      <c r="C88" s="10"/>
      <c r="D88" s="10"/>
      <c r="E88" s="17" t="s">
        <v>45</v>
      </c>
      <c r="F88" s="17" t="s">
        <v>30</v>
      </c>
      <c r="G88" s="12" t="s">
        <v>1384</v>
      </c>
      <c r="H88" s="13">
        <v>68</v>
      </c>
      <c r="I88" s="13">
        <v>46</v>
      </c>
      <c r="J88" s="13">
        <v>855</v>
      </c>
      <c r="K88" s="13">
        <v>2650</v>
      </c>
      <c r="L88" s="13">
        <v>489</v>
      </c>
      <c r="M88" s="13">
        <v>74</v>
      </c>
      <c r="N88" s="13">
        <v>2600</v>
      </c>
      <c r="O88" s="13">
        <v>882</v>
      </c>
      <c r="P88" s="13">
        <v>14</v>
      </c>
      <c r="Q88" s="13">
        <v>1016</v>
      </c>
      <c r="R88" s="13">
        <v>163</v>
      </c>
      <c r="S88" s="13">
        <v>979</v>
      </c>
      <c r="T88" s="13">
        <v>5240</v>
      </c>
      <c r="U88" s="13">
        <v>180</v>
      </c>
      <c r="V88" s="13">
        <v>452</v>
      </c>
      <c r="W88" s="13">
        <v>163</v>
      </c>
      <c r="X88" s="13">
        <v>332</v>
      </c>
      <c r="Y88" s="13">
        <v>44</v>
      </c>
      <c r="Z88" s="13"/>
      <c r="AA88" s="13"/>
      <c r="AB88" s="13"/>
      <c r="AC88" s="14">
        <v>5959.45945945946</v>
      </c>
      <c r="AD88" s="14">
        <v>248.66785079928954</v>
      </c>
      <c r="AE88" s="14">
        <v>5105.5276381909543</v>
      </c>
      <c r="AF88" s="14">
        <v>4515.2354570637117</v>
      </c>
      <c r="AG88" s="15">
        <v>4.494679453392092E-2</v>
      </c>
      <c r="AH88" s="15">
        <v>4.5081243839809895E-2</v>
      </c>
      <c r="AI88" s="15">
        <v>4.5770774419471874E-2</v>
      </c>
      <c r="AJ88" s="41">
        <f t="shared" si="2"/>
        <v>6594</v>
      </c>
      <c r="AK88" s="44">
        <f t="shared" si="3"/>
        <v>1.4122137404580152E-2</v>
      </c>
      <c r="AL88" s="10"/>
      <c r="AM88" s="10"/>
    </row>
    <row r="89" spans="1:39" s="16" customFormat="1" ht="19" customHeight="1">
      <c r="A89" s="9" t="s">
        <v>121</v>
      </c>
      <c r="B89" s="10" t="s">
        <v>61</v>
      </c>
      <c r="C89" s="10"/>
      <c r="D89" s="10"/>
      <c r="E89" s="17" t="s">
        <v>45</v>
      </c>
      <c r="F89" s="17" t="s">
        <v>30</v>
      </c>
      <c r="G89" s="12" t="s">
        <v>1384</v>
      </c>
      <c r="H89" s="13">
        <v>8</v>
      </c>
      <c r="I89" s="13">
        <v>7</v>
      </c>
      <c r="J89" s="13">
        <v>502</v>
      </c>
      <c r="K89" s="13">
        <v>1387</v>
      </c>
      <c r="L89" s="13">
        <v>247</v>
      </c>
      <c r="M89" s="13">
        <v>118</v>
      </c>
      <c r="N89" s="13">
        <v>1294</v>
      </c>
      <c r="O89" s="13">
        <v>443</v>
      </c>
      <c r="P89" s="13">
        <v>6</v>
      </c>
      <c r="Q89" s="13">
        <v>510</v>
      </c>
      <c r="R89" s="13">
        <v>80</v>
      </c>
      <c r="S89" s="13">
        <v>472</v>
      </c>
      <c r="T89" s="13">
        <v>2750</v>
      </c>
      <c r="U89" s="13">
        <v>89</v>
      </c>
      <c r="V89" s="13">
        <v>222</v>
      </c>
      <c r="W89" s="13">
        <v>80</v>
      </c>
      <c r="X89" s="13">
        <v>165</v>
      </c>
      <c r="Y89" s="13">
        <v>22</v>
      </c>
      <c r="Z89" s="13"/>
      <c r="AA89" s="13"/>
      <c r="AB89" s="13"/>
      <c r="AC89" s="14">
        <v>2993.2432432432433</v>
      </c>
      <c r="AD89" s="14">
        <v>106.57193605683837</v>
      </c>
      <c r="AE89" s="14">
        <v>2562.8140703517588</v>
      </c>
      <c r="AF89" s="14">
        <v>2216.06648199446</v>
      </c>
      <c r="AG89" s="15">
        <v>3.8362432221881404E-2</v>
      </c>
      <c r="AH89" s="15">
        <v>3.8478071762780397E-2</v>
      </c>
      <c r="AI89" s="15">
        <v>3.9356873144285404E-2</v>
      </c>
      <c r="AJ89" s="41">
        <f t="shared" si="2"/>
        <v>3430</v>
      </c>
      <c r="AK89" s="44">
        <f t="shared" si="3"/>
        <v>4.2909090909090911E-2</v>
      </c>
      <c r="AL89" s="10"/>
      <c r="AM89" s="10"/>
    </row>
    <row r="90" spans="1:39" s="16" customFormat="1" ht="19" customHeight="1">
      <c r="A90" s="9" t="s">
        <v>122</v>
      </c>
      <c r="B90" s="10" t="s">
        <v>44</v>
      </c>
      <c r="C90" s="10"/>
      <c r="D90" s="10"/>
      <c r="E90" s="17" t="s">
        <v>45</v>
      </c>
      <c r="F90" s="17" t="s">
        <v>30</v>
      </c>
      <c r="G90" s="12" t="s">
        <v>1384</v>
      </c>
      <c r="H90" s="13">
        <v>1</v>
      </c>
      <c r="I90" s="13">
        <v>45</v>
      </c>
      <c r="J90" s="13">
        <v>76</v>
      </c>
      <c r="K90" s="13">
        <v>375</v>
      </c>
      <c r="L90" s="13">
        <v>78</v>
      </c>
      <c r="M90" s="13">
        <v>122</v>
      </c>
      <c r="N90" s="13">
        <v>424</v>
      </c>
      <c r="O90" s="13">
        <v>215</v>
      </c>
      <c r="P90" s="13">
        <v>11</v>
      </c>
      <c r="Q90" s="13">
        <v>258</v>
      </c>
      <c r="R90" s="13">
        <v>44</v>
      </c>
      <c r="S90" s="13">
        <v>283</v>
      </c>
      <c r="T90" s="13">
        <v>1130</v>
      </c>
      <c r="U90" s="13">
        <v>46</v>
      </c>
      <c r="V90" s="13">
        <v>105</v>
      </c>
      <c r="W90" s="13">
        <v>15</v>
      </c>
      <c r="X90" s="13">
        <v>85</v>
      </c>
      <c r="Y90" s="13">
        <v>11</v>
      </c>
      <c r="Z90" s="13"/>
      <c r="AA90" s="13"/>
      <c r="AB90" s="13"/>
      <c r="AC90" s="14">
        <v>1452.7027027027027</v>
      </c>
      <c r="AD90" s="14">
        <v>195.38188277087036</v>
      </c>
      <c r="AE90" s="14">
        <v>1296.4824120603014</v>
      </c>
      <c r="AF90" s="14">
        <v>1218.8365650969529</v>
      </c>
      <c r="AG90" s="15">
        <v>0.14213803335517727</v>
      </c>
      <c r="AH90" s="15">
        <v>0.14236807185754624</v>
      </c>
      <c r="AI90" s="15">
        <v>0.14259948905676298</v>
      </c>
      <c r="AJ90" s="41">
        <f t="shared" si="2"/>
        <v>953</v>
      </c>
      <c r="AK90" s="44">
        <f t="shared" si="3"/>
        <v>0.1079646017699115</v>
      </c>
      <c r="AL90" s="10"/>
      <c r="AM90" s="10"/>
    </row>
    <row r="91" spans="1:39" s="16" customFormat="1" ht="19" customHeight="1">
      <c r="A91" s="9" t="s">
        <v>123</v>
      </c>
      <c r="B91" s="10" t="s">
        <v>44</v>
      </c>
      <c r="C91" s="10"/>
      <c r="D91" s="10"/>
      <c r="E91" s="17" t="s">
        <v>45</v>
      </c>
      <c r="F91" s="17" t="s">
        <v>30</v>
      </c>
      <c r="G91" s="12" t="s">
        <v>1384</v>
      </c>
      <c r="H91" s="13">
        <v>5</v>
      </c>
      <c r="I91" s="13">
        <v>88</v>
      </c>
      <c r="J91" s="13">
        <v>143</v>
      </c>
      <c r="K91" s="13">
        <v>526</v>
      </c>
      <c r="L91" s="13">
        <v>90</v>
      </c>
      <c r="M91" s="13">
        <v>81</v>
      </c>
      <c r="N91" s="13">
        <v>439</v>
      </c>
      <c r="O91" s="13">
        <v>207</v>
      </c>
      <c r="P91" s="13">
        <v>6</v>
      </c>
      <c r="Q91" s="13">
        <v>263</v>
      </c>
      <c r="R91" s="13">
        <v>48</v>
      </c>
      <c r="S91" s="13">
        <v>337</v>
      </c>
      <c r="T91" s="13">
        <v>1550</v>
      </c>
      <c r="U91" s="13">
        <v>57</v>
      </c>
      <c r="V91" s="13">
        <v>143</v>
      </c>
      <c r="W91" s="13">
        <v>23</v>
      </c>
      <c r="X91" s="13">
        <v>161</v>
      </c>
      <c r="Y91" s="13">
        <v>22</v>
      </c>
      <c r="Z91" s="13"/>
      <c r="AA91" s="13"/>
      <c r="AB91" s="13"/>
      <c r="AC91" s="14">
        <v>1398.6486486486488</v>
      </c>
      <c r="AD91" s="14">
        <v>106.57193605683837</v>
      </c>
      <c r="AE91" s="14">
        <v>1321.608040201005</v>
      </c>
      <c r="AF91" s="14">
        <v>1329.639889196676</v>
      </c>
      <c r="AG91" s="15">
        <v>7.8354323320793423E-2</v>
      </c>
      <c r="AH91" s="15">
        <v>7.8385765595269122E-2</v>
      </c>
      <c r="AI91" s="15">
        <v>7.7492396272264299E-2</v>
      </c>
      <c r="AJ91" s="41">
        <f t="shared" si="2"/>
        <v>1198</v>
      </c>
      <c r="AK91" s="44">
        <f t="shared" si="3"/>
        <v>5.2258064516129035E-2</v>
      </c>
      <c r="AL91" s="10"/>
      <c r="AM91" s="10"/>
    </row>
    <row r="92" spans="1:39" s="16" customFormat="1" ht="19" customHeight="1">
      <c r="A92" s="9" t="s">
        <v>124</v>
      </c>
      <c r="B92" s="10" t="s">
        <v>44</v>
      </c>
      <c r="C92" s="10"/>
      <c r="D92" s="10"/>
      <c r="E92" s="17" t="s">
        <v>45</v>
      </c>
      <c r="F92" s="17" t="s">
        <v>30</v>
      </c>
      <c r="G92" s="12" t="s">
        <v>1384</v>
      </c>
      <c r="H92" s="13">
        <v>2</v>
      </c>
      <c r="I92" s="13">
        <v>47</v>
      </c>
      <c r="J92" s="13">
        <v>181</v>
      </c>
      <c r="K92" s="13">
        <v>638</v>
      </c>
      <c r="L92" s="13">
        <v>114</v>
      </c>
      <c r="M92" s="13">
        <v>152</v>
      </c>
      <c r="N92" s="13">
        <v>565</v>
      </c>
      <c r="O92" s="13">
        <v>245</v>
      </c>
      <c r="P92" s="13">
        <v>9</v>
      </c>
      <c r="Q92" s="13">
        <v>300</v>
      </c>
      <c r="R92" s="13">
        <v>56</v>
      </c>
      <c r="S92" s="13">
        <v>401</v>
      </c>
      <c r="T92" s="13">
        <v>1980</v>
      </c>
      <c r="U92" s="13">
        <v>76</v>
      </c>
      <c r="V92" s="13">
        <v>195</v>
      </c>
      <c r="W92" s="13">
        <v>30</v>
      </c>
      <c r="X92" s="13">
        <v>191</v>
      </c>
      <c r="Y92" s="13">
        <v>24</v>
      </c>
      <c r="Z92" s="13"/>
      <c r="AA92" s="13"/>
      <c r="AB92" s="13"/>
      <c r="AC92" s="14">
        <v>1655.4054054054054</v>
      </c>
      <c r="AD92" s="14">
        <v>159.85790408525756</v>
      </c>
      <c r="AE92" s="14">
        <v>1507.537688442211</v>
      </c>
      <c r="AF92" s="14">
        <v>1551.2465373961218</v>
      </c>
      <c r="AG92" s="15">
        <v>0.10108174528729549</v>
      </c>
      <c r="AH92" s="15">
        <v>0.10119238710783332</v>
      </c>
      <c r="AI92" s="15">
        <v>9.8681920719441957E-2</v>
      </c>
      <c r="AJ92" s="41">
        <f t="shared" si="2"/>
        <v>1498</v>
      </c>
      <c r="AK92" s="44">
        <f t="shared" si="3"/>
        <v>7.6767676767676762E-2</v>
      </c>
      <c r="AL92" s="10"/>
      <c r="AM92" s="10"/>
    </row>
    <row r="93" spans="1:39" s="16" customFormat="1" ht="19" customHeight="1">
      <c r="A93" s="9" t="s">
        <v>125</v>
      </c>
      <c r="B93" s="10" t="s">
        <v>44</v>
      </c>
      <c r="C93" s="10"/>
      <c r="D93" s="10"/>
      <c r="E93" s="17" t="s">
        <v>45</v>
      </c>
      <c r="F93" s="17" t="s">
        <v>30</v>
      </c>
      <c r="G93" s="12" t="s">
        <v>1384</v>
      </c>
      <c r="H93" s="13">
        <v>19</v>
      </c>
      <c r="I93" s="13">
        <v>41</v>
      </c>
      <c r="J93" s="13">
        <v>221</v>
      </c>
      <c r="K93" s="13">
        <v>655</v>
      </c>
      <c r="L93" s="13">
        <v>115</v>
      </c>
      <c r="M93" s="13">
        <v>116</v>
      </c>
      <c r="N93" s="13">
        <v>570</v>
      </c>
      <c r="O93" s="13">
        <v>243</v>
      </c>
      <c r="P93" s="13">
        <v>10</v>
      </c>
      <c r="Q93" s="13">
        <v>289</v>
      </c>
      <c r="R93" s="13">
        <v>50</v>
      </c>
      <c r="S93" s="13">
        <v>335</v>
      </c>
      <c r="T93" s="13">
        <v>1550</v>
      </c>
      <c r="U93" s="13">
        <v>61</v>
      </c>
      <c r="V93" s="13">
        <v>149</v>
      </c>
      <c r="W93" s="13">
        <v>22</v>
      </c>
      <c r="X93" s="13">
        <v>138</v>
      </c>
      <c r="Y93" s="13">
        <v>17</v>
      </c>
      <c r="Z93" s="13"/>
      <c r="AA93" s="13"/>
      <c r="AB93" s="13"/>
      <c r="AC93" s="14">
        <v>1641.8918918918919</v>
      </c>
      <c r="AD93" s="14">
        <v>177.61989342806396</v>
      </c>
      <c r="AE93" s="14">
        <v>1452.2613065326632</v>
      </c>
      <c r="AF93" s="14">
        <v>1385.0415512465374</v>
      </c>
      <c r="AG93" s="15">
        <v>0.1148100187918959</v>
      </c>
      <c r="AH93" s="15">
        <v>0.1150262450726304</v>
      </c>
      <c r="AI93" s="15">
        <v>0.11449177783919001</v>
      </c>
      <c r="AJ93" s="41">
        <f t="shared" si="2"/>
        <v>1561</v>
      </c>
      <c r="AK93" s="44">
        <f t="shared" si="3"/>
        <v>7.483870967741936E-2</v>
      </c>
      <c r="AL93" s="10"/>
      <c r="AM93" s="10"/>
    </row>
    <row r="94" spans="1:39" s="16" customFormat="1" ht="19" customHeight="1">
      <c r="A94" s="9" t="s">
        <v>126</v>
      </c>
      <c r="B94" s="10" t="s">
        <v>44</v>
      </c>
      <c r="C94" s="10"/>
      <c r="D94" s="10"/>
      <c r="E94" s="17" t="s">
        <v>45</v>
      </c>
      <c r="F94" s="17" t="s">
        <v>30</v>
      </c>
      <c r="G94" s="12" t="s">
        <v>1384</v>
      </c>
      <c r="H94" s="13">
        <v>14</v>
      </c>
      <c r="I94" s="13">
        <v>32</v>
      </c>
      <c r="J94" s="13">
        <v>419</v>
      </c>
      <c r="K94" s="13">
        <v>1327</v>
      </c>
      <c r="L94" s="13">
        <v>216</v>
      </c>
      <c r="M94" s="13">
        <v>138</v>
      </c>
      <c r="N94" s="13">
        <v>1044</v>
      </c>
      <c r="O94" s="13">
        <v>384</v>
      </c>
      <c r="P94" s="13">
        <v>6</v>
      </c>
      <c r="Q94" s="13">
        <v>486</v>
      </c>
      <c r="R94" s="13">
        <v>87</v>
      </c>
      <c r="S94" s="13">
        <v>596</v>
      </c>
      <c r="T94" s="13">
        <v>3200</v>
      </c>
      <c r="U94" s="13">
        <v>124</v>
      </c>
      <c r="V94" s="13">
        <v>311</v>
      </c>
      <c r="W94" s="13">
        <v>40</v>
      </c>
      <c r="X94" s="13">
        <v>208</v>
      </c>
      <c r="Y94" s="13">
        <v>26</v>
      </c>
      <c r="Z94" s="13"/>
      <c r="AA94" s="13"/>
      <c r="AB94" s="13"/>
      <c r="AC94" s="14">
        <v>2594.5945945945946</v>
      </c>
      <c r="AD94" s="14">
        <v>106.57193605683837</v>
      </c>
      <c r="AE94" s="14">
        <v>2442.2110552763816</v>
      </c>
      <c r="AF94" s="14">
        <v>2409.972299168975</v>
      </c>
      <c r="AG94" s="15">
        <v>4.231727148716502E-2</v>
      </c>
      <c r="AH94" s="15">
        <v>4.2336651392303831E-2</v>
      </c>
      <c r="AI94" s="15">
        <v>4.2097777298193501E-2</v>
      </c>
      <c r="AJ94" s="41">
        <f t="shared" si="2"/>
        <v>3006</v>
      </c>
      <c r="AK94" s="44">
        <f t="shared" si="3"/>
        <v>4.3124999999999997E-2</v>
      </c>
      <c r="AL94" s="10"/>
      <c r="AM94" s="10"/>
    </row>
    <row r="95" spans="1:39" s="16" customFormat="1" ht="19" customHeight="1">
      <c r="A95" s="9" t="s">
        <v>127</v>
      </c>
      <c r="B95" s="10" t="s">
        <v>44</v>
      </c>
      <c r="C95" s="10"/>
      <c r="D95" s="10"/>
      <c r="E95" s="17" t="s">
        <v>45</v>
      </c>
      <c r="F95" s="17" t="s">
        <v>30</v>
      </c>
      <c r="G95" s="12" t="s">
        <v>1384</v>
      </c>
      <c r="H95" s="13">
        <v>29</v>
      </c>
      <c r="I95" s="13">
        <v>89</v>
      </c>
      <c r="J95" s="13">
        <v>207</v>
      </c>
      <c r="K95" s="13">
        <v>757</v>
      </c>
      <c r="L95" s="13">
        <v>141</v>
      </c>
      <c r="M95" s="13">
        <v>99</v>
      </c>
      <c r="N95" s="13">
        <v>712</v>
      </c>
      <c r="O95" s="13">
        <v>346</v>
      </c>
      <c r="P95" s="13">
        <v>9</v>
      </c>
      <c r="Q95" s="13">
        <v>413</v>
      </c>
      <c r="R95" s="13">
        <v>74</v>
      </c>
      <c r="S95" s="13">
        <v>507</v>
      </c>
      <c r="T95" s="13">
        <v>2360</v>
      </c>
      <c r="U95" s="13">
        <v>91</v>
      </c>
      <c r="V95" s="13">
        <v>230</v>
      </c>
      <c r="W95" s="13">
        <v>33</v>
      </c>
      <c r="X95" s="13">
        <v>203</v>
      </c>
      <c r="Y95" s="13">
        <v>26</v>
      </c>
      <c r="Z95" s="13"/>
      <c r="AA95" s="13"/>
      <c r="AB95" s="13"/>
      <c r="AC95" s="14">
        <v>2337.8378378378379</v>
      </c>
      <c r="AD95" s="14">
        <v>159.85790408525756</v>
      </c>
      <c r="AE95" s="14">
        <v>2075.3768844221104</v>
      </c>
      <c r="AF95" s="14">
        <v>2049.8614958448752</v>
      </c>
      <c r="AG95" s="15">
        <v>7.2445105958223774E-2</v>
      </c>
      <c r="AH95" s="15">
        <v>7.2573561323525521E-2</v>
      </c>
      <c r="AI95" s="15">
        <v>7.1441355602930662E-2</v>
      </c>
      <c r="AJ95" s="41">
        <f t="shared" si="2"/>
        <v>1817</v>
      </c>
      <c r="AK95" s="44">
        <f t="shared" si="3"/>
        <v>4.1949152542372879E-2</v>
      </c>
      <c r="AL95" s="10"/>
      <c r="AM95" s="10"/>
    </row>
    <row r="96" spans="1:39" s="16" customFormat="1" ht="19" customHeight="1">
      <c r="A96" s="9" t="s">
        <v>128</v>
      </c>
      <c r="B96" s="10" t="s">
        <v>44</v>
      </c>
      <c r="C96" s="10"/>
      <c r="D96" s="10"/>
      <c r="E96" s="17" t="s">
        <v>45</v>
      </c>
      <c r="F96" s="17" t="s">
        <v>30</v>
      </c>
      <c r="G96" s="12" t="s">
        <v>1384</v>
      </c>
      <c r="H96" s="13">
        <v>4</v>
      </c>
      <c r="I96" s="13">
        <v>52</v>
      </c>
      <c r="J96" s="13">
        <v>235</v>
      </c>
      <c r="K96" s="13">
        <v>946</v>
      </c>
      <c r="L96" s="13">
        <v>156</v>
      </c>
      <c r="M96" s="13">
        <v>125</v>
      </c>
      <c r="N96" s="13">
        <v>716</v>
      </c>
      <c r="O96" s="13">
        <v>295</v>
      </c>
      <c r="P96" s="13">
        <v>5</v>
      </c>
      <c r="Q96" s="13">
        <v>376</v>
      </c>
      <c r="R96" s="13">
        <v>64</v>
      </c>
      <c r="S96" s="13">
        <v>417</v>
      </c>
      <c r="T96" s="13">
        <v>2340</v>
      </c>
      <c r="U96" s="13">
        <v>80</v>
      </c>
      <c r="V96" s="13">
        <v>206</v>
      </c>
      <c r="W96" s="13">
        <v>28</v>
      </c>
      <c r="X96" s="13">
        <v>165</v>
      </c>
      <c r="Y96" s="13">
        <v>19</v>
      </c>
      <c r="Z96" s="13"/>
      <c r="AA96" s="13"/>
      <c r="AB96" s="13"/>
      <c r="AC96" s="14">
        <v>1993.2432432432433</v>
      </c>
      <c r="AD96" s="14">
        <v>88.80994671403198</v>
      </c>
      <c r="AE96" s="14">
        <v>1889.4472361809044</v>
      </c>
      <c r="AF96" s="14">
        <v>1772.8531855955678</v>
      </c>
      <c r="AG96" s="15">
        <v>4.574660132434951E-2</v>
      </c>
      <c r="AH96" s="15">
        <v>4.5762956584061334E-2</v>
      </c>
      <c r="AI96" s="15">
        <v>4.6330161995003061E-2</v>
      </c>
      <c r="AJ96" s="41">
        <f t="shared" si="2"/>
        <v>2053</v>
      </c>
      <c r="AK96" s="44">
        <f t="shared" si="3"/>
        <v>5.3418803418803416E-2</v>
      </c>
      <c r="AL96" s="10"/>
      <c r="AM96" s="10"/>
    </row>
    <row r="97" spans="1:39" s="16" customFormat="1" ht="19" customHeight="1">
      <c r="A97" s="9" t="s">
        <v>129</v>
      </c>
      <c r="B97" s="10" t="s">
        <v>44</v>
      </c>
      <c r="C97" s="10"/>
      <c r="D97" s="10"/>
      <c r="E97" s="17" t="s">
        <v>45</v>
      </c>
      <c r="F97" s="17" t="s">
        <v>30</v>
      </c>
      <c r="G97" s="12" t="s">
        <v>1384</v>
      </c>
      <c r="H97" s="13">
        <v>4</v>
      </c>
      <c r="I97" s="13">
        <v>25</v>
      </c>
      <c r="J97" s="13">
        <v>223</v>
      </c>
      <c r="K97" s="13">
        <v>797</v>
      </c>
      <c r="L97" s="13">
        <v>142</v>
      </c>
      <c r="M97" s="13">
        <v>175</v>
      </c>
      <c r="N97" s="13">
        <v>735</v>
      </c>
      <c r="O97" s="13">
        <v>303</v>
      </c>
      <c r="P97" s="13">
        <v>6</v>
      </c>
      <c r="Q97" s="13">
        <v>396</v>
      </c>
      <c r="R97" s="13">
        <v>65</v>
      </c>
      <c r="S97" s="13">
        <v>400</v>
      </c>
      <c r="T97" s="13">
        <v>2010</v>
      </c>
      <c r="U97" s="13">
        <v>76</v>
      </c>
      <c r="V97" s="13">
        <v>181</v>
      </c>
      <c r="W97" s="13">
        <v>23</v>
      </c>
      <c r="X97" s="13">
        <v>120</v>
      </c>
      <c r="Y97" s="13">
        <v>15</v>
      </c>
      <c r="Z97" s="13"/>
      <c r="AA97" s="13"/>
      <c r="AB97" s="13"/>
      <c r="AC97" s="14">
        <v>2047.2972972972973</v>
      </c>
      <c r="AD97" s="14">
        <v>106.57193605683837</v>
      </c>
      <c r="AE97" s="14">
        <v>1989.9497487437186</v>
      </c>
      <c r="AF97" s="14">
        <v>1800.5540166204987</v>
      </c>
      <c r="AG97" s="15">
        <v>5.2794359543265695E-2</v>
      </c>
      <c r="AH97" s="15">
        <v>5.2799686538667193E-2</v>
      </c>
      <c r="AI97" s="15">
        <v>5.4331729382762414E-2</v>
      </c>
      <c r="AJ97" s="41">
        <f t="shared" si="2"/>
        <v>1897</v>
      </c>
      <c r="AK97" s="44">
        <f t="shared" si="3"/>
        <v>8.7064676616915429E-2</v>
      </c>
      <c r="AL97" s="10"/>
      <c r="AM97" s="10"/>
    </row>
    <row r="98" spans="1:39" s="16" customFormat="1" ht="19" customHeight="1">
      <c r="A98" s="9" t="s">
        <v>130</v>
      </c>
      <c r="B98" s="10" t="s">
        <v>44</v>
      </c>
      <c r="C98" s="10"/>
      <c r="D98" s="10"/>
      <c r="E98" s="17" t="s">
        <v>45</v>
      </c>
      <c r="F98" s="17" t="s">
        <v>30</v>
      </c>
      <c r="G98" s="12" t="s">
        <v>1384</v>
      </c>
      <c r="H98" s="13">
        <v>3</v>
      </c>
      <c r="I98" s="13">
        <v>87</v>
      </c>
      <c r="J98" s="13">
        <v>233</v>
      </c>
      <c r="K98" s="13">
        <v>856</v>
      </c>
      <c r="L98" s="13">
        <v>148</v>
      </c>
      <c r="M98" s="13">
        <v>29</v>
      </c>
      <c r="N98" s="13">
        <v>665</v>
      </c>
      <c r="O98" s="13">
        <v>343</v>
      </c>
      <c r="P98" s="13">
        <v>4</v>
      </c>
      <c r="Q98" s="13">
        <v>412</v>
      </c>
      <c r="R98" s="13">
        <v>72</v>
      </c>
      <c r="S98" s="13">
        <v>474</v>
      </c>
      <c r="T98" s="13">
        <v>2300</v>
      </c>
      <c r="U98" s="13">
        <v>72</v>
      </c>
      <c r="V98" s="13">
        <v>183</v>
      </c>
      <c r="W98" s="13">
        <v>27</v>
      </c>
      <c r="X98" s="13">
        <v>173</v>
      </c>
      <c r="Y98" s="13">
        <v>24</v>
      </c>
      <c r="Z98" s="13"/>
      <c r="AA98" s="13"/>
      <c r="AB98" s="13"/>
      <c r="AC98" s="14">
        <v>2317.5675675675675</v>
      </c>
      <c r="AD98" s="14">
        <v>71.047957371225579</v>
      </c>
      <c r="AE98" s="14">
        <v>2070.3517587939696</v>
      </c>
      <c r="AF98" s="14">
        <v>1994.4598337950138</v>
      </c>
      <c r="AG98" s="15">
        <v>3.2383438293583464E-2</v>
      </c>
      <c r="AH98" s="15">
        <v>3.243495683805854E-2</v>
      </c>
      <c r="AI98" s="15">
        <v>3.2229598515708079E-2</v>
      </c>
      <c r="AJ98" s="41">
        <f t="shared" si="2"/>
        <v>1902</v>
      </c>
      <c r="AK98" s="44">
        <f t="shared" si="3"/>
        <v>1.2608695652173913E-2</v>
      </c>
      <c r="AL98" s="10"/>
      <c r="AM98" s="10"/>
    </row>
    <row r="99" spans="1:39" s="16" customFormat="1" ht="19" customHeight="1">
      <c r="A99" s="9" t="s">
        <v>131</v>
      </c>
      <c r="B99" s="10" t="s">
        <v>44</v>
      </c>
      <c r="C99" s="10"/>
      <c r="D99" s="10"/>
      <c r="E99" s="17" t="s">
        <v>45</v>
      </c>
      <c r="F99" s="17" t="s">
        <v>30</v>
      </c>
      <c r="G99" s="12" t="s">
        <v>1384</v>
      </c>
      <c r="H99" s="13">
        <v>3</v>
      </c>
      <c r="I99" s="13">
        <v>63</v>
      </c>
      <c r="J99" s="13">
        <v>174</v>
      </c>
      <c r="K99" s="13">
        <v>630</v>
      </c>
      <c r="L99" s="13">
        <v>119</v>
      </c>
      <c r="M99" s="13">
        <v>142</v>
      </c>
      <c r="N99" s="13">
        <v>629</v>
      </c>
      <c r="O99" s="13">
        <v>276</v>
      </c>
      <c r="P99" s="13">
        <v>10</v>
      </c>
      <c r="Q99" s="13">
        <v>373</v>
      </c>
      <c r="R99" s="13">
        <v>66</v>
      </c>
      <c r="S99" s="13">
        <v>448</v>
      </c>
      <c r="T99" s="13">
        <v>2080</v>
      </c>
      <c r="U99" s="13">
        <v>85</v>
      </c>
      <c r="V99" s="13">
        <v>211</v>
      </c>
      <c r="W99" s="13">
        <v>29</v>
      </c>
      <c r="X99" s="13">
        <v>165</v>
      </c>
      <c r="Y99" s="13">
        <v>21</v>
      </c>
      <c r="Z99" s="13"/>
      <c r="AA99" s="13"/>
      <c r="AB99" s="13"/>
      <c r="AC99" s="14">
        <v>1864.864864864865</v>
      </c>
      <c r="AD99" s="14">
        <v>177.61989342806396</v>
      </c>
      <c r="AE99" s="14">
        <v>1874.3718592964824</v>
      </c>
      <c r="AF99" s="14">
        <v>1828.2548476454294</v>
      </c>
      <c r="AG99" s="15">
        <v>9.5003288922768769E-2</v>
      </c>
      <c r="AH99" s="15">
        <v>9.5003595988469608E-2</v>
      </c>
      <c r="AI99" s="15">
        <v>9.5877002948518808E-2</v>
      </c>
      <c r="AJ99" s="41">
        <f t="shared" si="2"/>
        <v>1552</v>
      </c>
      <c r="AK99" s="44">
        <f t="shared" si="3"/>
        <v>6.8269230769230763E-2</v>
      </c>
      <c r="AL99" s="10"/>
      <c r="AM99" s="10"/>
    </row>
    <row r="100" spans="1:39" s="16" customFormat="1" ht="19" customHeight="1">
      <c r="A100" s="9" t="s">
        <v>132</v>
      </c>
      <c r="B100" s="10" t="s">
        <v>44</v>
      </c>
      <c r="C100" s="10"/>
      <c r="D100" s="10"/>
      <c r="E100" s="17" t="s">
        <v>45</v>
      </c>
      <c r="F100" s="17" t="s">
        <v>30</v>
      </c>
      <c r="G100" s="12" t="s">
        <v>1384</v>
      </c>
      <c r="H100" s="13">
        <v>12</v>
      </c>
      <c r="I100" s="13">
        <v>14</v>
      </c>
      <c r="J100" s="13">
        <v>304</v>
      </c>
      <c r="K100" s="13">
        <v>926</v>
      </c>
      <c r="L100" s="13">
        <v>141</v>
      </c>
      <c r="M100" s="13">
        <v>483</v>
      </c>
      <c r="N100" s="13">
        <v>618</v>
      </c>
      <c r="O100" s="13">
        <v>186</v>
      </c>
      <c r="P100" s="13">
        <v>14</v>
      </c>
      <c r="Q100" s="13">
        <v>185</v>
      </c>
      <c r="R100" s="13">
        <v>32</v>
      </c>
      <c r="S100" s="13">
        <v>205</v>
      </c>
      <c r="T100" s="13">
        <v>1190</v>
      </c>
      <c r="U100" s="13">
        <v>38</v>
      </c>
      <c r="V100" s="13">
        <v>103</v>
      </c>
      <c r="W100" s="13">
        <v>16</v>
      </c>
      <c r="X100" s="13">
        <v>102</v>
      </c>
      <c r="Y100" s="13">
        <v>13</v>
      </c>
      <c r="Z100" s="13"/>
      <c r="AA100" s="13"/>
      <c r="AB100" s="13"/>
      <c r="AC100" s="14">
        <v>1256.7567567567569</v>
      </c>
      <c r="AD100" s="14">
        <v>248.66785079928954</v>
      </c>
      <c r="AE100" s="14">
        <v>929.64824120603009</v>
      </c>
      <c r="AF100" s="14">
        <v>886.42659279778388</v>
      </c>
      <c r="AG100" s="15">
        <v>0.22746732744481396</v>
      </c>
      <c r="AH100" s="15">
        <v>0.23005660177028622</v>
      </c>
      <c r="AI100" s="15">
        <v>0.22228213685215054</v>
      </c>
      <c r="AJ100" s="41">
        <f t="shared" si="2"/>
        <v>1989</v>
      </c>
      <c r="AK100" s="44">
        <f t="shared" si="3"/>
        <v>0.40588235294117647</v>
      </c>
      <c r="AL100" s="10"/>
      <c r="AM100" s="10"/>
    </row>
    <row r="101" spans="1:39" s="16" customFormat="1" ht="19" customHeight="1">
      <c r="A101" s="9" t="s">
        <v>133</v>
      </c>
      <c r="B101" s="10" t="s">
        <v>44</v>
      </c>
      <c r="C101" s="10"/>
      <c r="D101" s="10"/>
      <c r="E101" s="17" t="s">
        <v>45</v>
      </c>
      <c r="F101" s="17" t="s">
        <v>30</v>
      </c>
      <c r="G101" s="12" t="s">
        <v>1384</v>
      </c>
      <c r="H101" s="13">
        <v>2</v>
      </c>
      <c r="I101" s="13">
        <v>100</v>
      </c>
      <c r="J101" s="13">
        <v>265</v>
      </c>
      <c r="K101" s="13">
        <v>792</v>
      </c>
      <c r="L101" s="13">
        <v>126</v>
      </c>
      <c r="M101" s="13">
        <v>93</v>
      </c>
      <c r="N101" s="13">
        <v>582</v>
      </c>
      <c r="O101" s="13">
        <v>252</v>
      </c>
      <c r="P101" s="13">
        <v>12</v>
      </c>
      <c r="Q101" s="13">
        <v>365</v>
      </c>
      <c r="R101" s="13">
        <v>65</v>
      </c>
      <c r="S101" s="13">
        <v>446</v>
      </c>
      <c r="T101" s="13">
        <v>2470</v>
      </c>
      <c r="U101" s="13">
        <v>76</v>
      </c>
      <c r="V101" s="13">
        <v>185</v>
      </c>
      <c r="W101" s="13">
        <v>26</v>
      </c>
      <c r="X101" s="13">
        <v>156</v>
      </c>
      <c r="Y101" s="13">
        <v>19</v>
      </c>
      <c r="Z101" s="13"/>
      <c r="AA101" s="13"/>
      <c r="AB101" s="13"/>
      <c r="AC101" s="14">
        <v>1702.7027027027027</v>
      </c>
      <c r="AD101" s="14">
        <v>213.14387211367674</v>
      </c>
      <c r="AE101" s="14">
        <v>1834.1708542713568</v>
      </c>
      <c r="AF101" s="14">
        <v>1800.5540166204987</v>
      </c>
      <c r="AG101" s="15">
        <v>0.12052671303071975</v>
      </c>
      <c r="AH101" s="15">
        <v>0.12061006304608224</v>
      </c>
      <c r="AI101" s="15">
        <v>0.12286973351250999</v>
      </c>
      <c r="AJ101" s="41">
        <f t="shared" si="2"/>
        <v>1765</v>
      </c>
      <c r="AK101" s="44">
        <f t="shared" si="3"/>
        <v>3.7651821862348181E-2</v>
      </c>
      <c r="AL101" s="10"/>
      <c r="AM101" s="10"/>
    </row>
    <row r="102" spans="1:39" s="16" customFormat="1" ht="19" customHeight="1">
      <c r="A102" s="9" t="s">
        <v>134</v>
      </c>
      <c r="B102" s="10" t="s">
        <v>44</v>
      </c>
      <c r="C102" s="10"/>
      <c r="D102" s="10"/>
      <c r="E102" s="17" t="s">
        <v>45</v>
      </c>
      <c r="F102" s="17" t="s">
        <v>30</v>
      </c>
      <c r="G102" s="12" t="s">
        <v>1384</v>
      </c>
      <c r="H102" s="13">
        <v>2</v>
      </c>
      <c r="I102" s="13">
        <v>28</v>
      </c>
      <c r="J102" s="13">
        <v>246</v>
      </c>
      <c r="K102" s="13">
        <v>821</v>
      </c>
      <c r="L102" s="13">
        <v>140</v>
      </c>
      <c r="M102" s="13">
        <v>211</v>
      </c>
      <c r="N102" s="13">
        <v>709</v>
      </c>
      <c r="O102" s="13">
        <v>250</v>
      </c>
      <c r="P102" s="13">
        <v>7</v>
      </c>
      <c r="Q102" s="13">
        <v>338</v>
      </c>
      <c r="R102" s="13">
        <v>65</v>
      </c>
      <c r="S102" s="13">
        <v>476</v>
      </c>
      <c r="T102" s="13">
        <v>2600</v>
      </c>
      <c r="U102" s="13">
        <v>98</v>
      </c>
      <c r="V102" s="13">
        <v>271</v>
      </c>
      <c r="W102" s="13">
        <v>37</v>
      </c>
      <c r="X102" s="13">
        <v>210</v>
      </c>
      <c r="Y102" s="13">
        <v>27</v>
      </c>
      <c r="Z102" s="13"/>
      <c r="AA102" s="13"/>
      <c r="AB102" s="13"/>
      <c r="AC102" s="14">
        <v>1689.1891891891892</v>
      </c>
      <c r="AD102" s="14">
        <v>124.33392539964477</v>
      </c>
      <c r="AE102" s="14">
        <v>1698.4924623115578</v>
      </c>
      <c r="AF102" s="14">
        <v>1800.5540166204987</v>
      </c>
      <c r="AG102" s="15">
        <v>7.3403547434608973E-2</v>
      </c>
      <c r="AH102" s="15">
        <v>7.3403824228096687E-2</v>
      </c>
      <c r="AI102" s="15">
        <v>7.205576473067514E-2</v>
      </c>
      <c r="AJ102" s="41">
        <f t="shared" si="2"/>
        <v>1916</v>
      </c>
      <c r="AK102" s="44">
        <f t="shared" si="3"/>
        <v>8.115384615384616E-2</v>
      </c>
      <c r="AL102" s="10"/>
      <c r="AM102" s="10"/>
    </row>
    <row r="103" spans="1:39" s="16" customFormat="1" ht="19" customHeight="1">
      <c r="A103" s="9" t="s">
        <v>135</v>
      </c>
      <c r="B103" s="10" t="s">
        <v>44</v>
      </c>
      <c r="C103" s="10"/>
      <c r="D103" s="10"/>
      <c r="E103" s="17" t="s">
        <v>45</v>
      </c>
      <c r="F103" s="17" t="s">
        <v>30</v>
      </c>
      <c r="G103" s="12" t="s">
        <v>1384</v>
      </c>
      <c r="H103" s="13">
        <v>1</v>
      </c>
      <c r="I103" s="13">
        <v>48</v>
      </c>
      <c r="J103" s="13">
        <v>242</v>
      </c>
      <c r="K103" s="13">
        <v>861</v>
      </c>
      <c r="L103" s="13">
        <v>149</v>
      </c>
      <c r="M103" s="13">
        <v>145</v>
      </c>
      <c r="N103" s="13">
        <v>735</v>
      </c>
      <c r="O103" s="13">
        <v>277</v>
      </c>
      <c r="P103" s="13">
        <v>7</v>
      </c>
      <c r="Q103" s="13">
        <v>370</v>
      </c>
      <c r="R103" s="13">
        <v>68</v>
      </c>
      <c r="S103" s="13">
        <v>472</v>
      </c>
      <c r="T103" s="13">
        <v>2750</v>
      </c>
      <c r="U103" s="13">
        <v>104</v>
      </c>
      <c r="V103" s="13">
        <v>291</v>
      </c>
      <c r="W103" s="13">
        <v>42</v>
      </c>
      <c r="X103" s="13">
        <v>258</v>
      </c>
      <c r="Y103" s="13">
        <v>35</v>
      </c>
      <c r="Z103" s="13"/>
      <c r="AA103" s="13"/>
      <c r="AB103" s="13"/>
      <c r="AC103" s="14">
        <v>1871.6216216216217</v>
      </c>
      <c r="AD103" s="14">
        <v>124.33392539964477</v>
      </c>
      <c r="AE103" s="14">
        <v>1859.2964824120602</v>
      </c>
      <c r="AF103" s="14">
        <v>1883.6565096952909</v>
      </c>
      <c r="AG103" s="15">
        <v>6.6650578722283485E-2</v>
      </c>
      <c r="AH103" s="15">
        <v>6.6650942410908492E-2</v>
      </c>
      <c r="AI103" s="15">
        <v>6.6289341688168274E-2</v>
      </c>
      <c r="AJ103" s="41">
        <f t="shared" si="2"/>
        <v>1987</v>
      </c>
      <c r="AK103" s="44">
        <f t="shared" si="3"/>
        <v>5.2727272727272727E-2</v>
      </c>
      <c r="AL103" s="10"/>
      <c r="AM103" s="10"/>
    </row>
    <row r="104" spans="1:39" s="16" customFormat="1" ht="19" customHeight="1">
      <c r="A104" s="9" t="s">
        <v>136</v>
      </c>
      <c r="B104" s="10" t="s">
        <v>137</v>
      </c>
      <c r="C104" s="10"/>
      <c r="D104" s="10"/>
      <c r="E104" s="11" t="s">
        <v>1341</v>
      </c>
      <c r="F104" s="11" t="s">
        <v>30</v>
      </c>
      <c r="G104" s="12" t="s">
        <v>138</v>
      </c>
      <c r="H104" s="13">
        <v>51.1</v>
      </c>
      <c r="I104" s="13"/>
      <c r="J104" s="13">
        <v>651.6</v>
      </c>
      <c r="K104" s="13">
        <v>1248.9000000000001</v>
      </c>
      <c r="L104" s="13">
        <v>236.9</v>
      </c>
      <c r="M104" s="13"/>
      <c r="N104" s="13">
        <v>1224.9000000000001</v>
      </c>
      <c r="O104" s="13">
        <v>286.5</v>
      </c>
      <c r="P104" s="13">
        <v>10.4</v>
      </c>
      <c r="Q104" s="13">
        <v>304.7</v>
      </c>
      <c r="R104" s="13">
        <v>45.4</v>
      </c>
      <c r="S104" s="13">
        <v>279.2</v>
      </c>
      <c r="T104" s="13">
        <v>1394</v>
      </c>
      <c r="U104" s="13">
        <v>52.9</v>
      </c>
      <c r="V104" s="13">
        <v>138.80000000000001</v>
      </c>
      <c r="W104" s="13">
        <v>18.899999999999999</v>
      </c>
      <c r="X104" s="13">
        <v>103.3</v>
      </c>
      <c r="Y104" s="13">
        <v>13.2</v>
      </c>
      <c r="Z104" s="13"/>
      <c r="AA104" s="13"/>
      <c r="AB104" s="13"/>
      <c r="AC104" s="14">
        <v>1935.8108108108108</v>
      </c>
      <c r="AD104" s="14">
        <v>184.72468916518653</v>
      </c>
      <c r="AE104" s="14">
        <v>1531.1557788944722</v>
      </c>
      <c r="AF104" s="14">
        <v>1257.6177285318558</v>
      </c>
      <c r="AG104" s="15">
        <v>0.10656271664901706</v>
      </c>
      <c r="AH104" s="15">
        <v>0.1072960662951155</v>
      </c>
      <c r="AI104" s="15">
        <v>0.11017932832843416</v>
      </c>
      <c r="AJ104" s="41">
        <f t="shared" si="2"/>
        <v>3362.3</v>
      </c>
      <c r="AK104" s="44"/>
      <c r="AL104" s="10"/>
      <c r="AM104" s="10"/>
    </row>
    <row r="105" spans="1:39" s="16" customFormat="1" ht="19" customHeight="1">
      <c r="A105" s="9" t="s">
        <v>139</v>
      </c>
      <c r="B105" s="10" t="s">
        <v>140</v>
      </c>
      <c r="C105" s="10"/>
      <c r="D105" s="10"/>
      <c r="E105" s="20" t="s">
        <v>141</v>
      </c>
      <c r="F105" s="20" t="s">
        <v>30</v>
      </c>
      <c r="G105" s="12" t="s">
        <v>142</v>
      </c>
      <c r="H105" s="13"/>
      <c r="I105" s="13"/>
      <c r="J105" s="13">
        <v>59.81</v>
      </c>
      <c r="K105" s="13">
        <v>45.29</v>
      </c>
      <c r="L105" s="13">
        <v>10.3</v>
      </c>
      <c r="M105" s="13"/>
      <c r="N105" s="13">
        <v>46.64</v>
      </c>
      <c r="O105" s="13">
        <v>8.8800000000000008</v>
      </c>
      <c r="P105" s="13">
        <v>2.17</v>
      </c>
      <c r="Q105" s="13">
        <v>11.89</v>
      </c>
      <c r="R105" s="13">
        <v>1.71</v>
      </c>
      <c r="S105" s="13">
        <v>10.48</v>
      </c>
      <c r="T105" s="13">
        <v>122.98</v>
      </c>
      <c r="U105" s="13">
        <v>2.38</v>
      </c>
      <c r="V105" s="13">
        <v>6.5</v>
      </c>
      <c r="W105" s="13">
        <v>0.7</v>
      </c>
      <c r="X105" s="13">
        <v>3.14</v>
      </c>
      <c r="Y105" s="13">
        <v>0.38</v>
      </c>
      <c r="Z105" s="13"/>
      <c r="AA105" s="13"/>
      <c r="AB105" s="13"/>
      <c r="AC105" s="14">
        <v>60.000000000000007</v>
      </c>
      <c r="AD105" s="14">
        <v>38.543516873889878</v>
      </c>
      <c r="AE105" s="14">
        <v>59.748743718592962</v>
      </c>
      <c r="AF105" s="14">
        <v>47.368421052631575</v>
      </c>
      <c r="AG105" s="15">
        <v>0.643739811825773</v>
      </c>
      <c r="AH105" s="15">
        <v>0.6437412288384351</v>
      </c>
      <c r="AI105" s="15">
        <v>0.69505771682301687</v>
      </c>
      <c r="AJ105" s="41">
        <f t="shared" si="2"/>
        <v>162.04</v>
      </c>
      <c r="AK105" s="44"/>
      <c r="AL105" s="10"/>
      <c r="AM105" s="10"/>
    </row>
    <row r="106" spans="1:39" s="16" customFormat="1" ht="19" customHeight="1">
      <c r="A106" s="9" t="s">
        <v>143</v>
      </c>
      <c r="B106" s="10" t="s">
        <v>140</v>
      </c>
      <c r="C106" s="10"/>
      <c r="D106" s="10"/>
      <c r="E106" s="20" t="s">
        <v>141</v>
      </c>
      <c r="F106" s="20" t="s">
        <v>30</v>
      </c>
      <c r="G106" s="12" t="s">
        <v>142</v>
      </c>
      <c r="H106" s="13"/>
      <c r="I106" s="13"/>
      <c r="J106" s="13">
        <v>59.87</v>
      </c>
      <c r="K106" s="13">
        <v>82.71</v>
      </c>
      <c r="L106" s="13">
        <v>12.91</v>
      </c>
      <c r="M106" s="13"/>
      <c r="N106" s="13">
        <v>53.2</v>
      </c>
      <c r="O106" s="13">
        <v>9.9700000000000006</v>
      </c>
      <c r="P106" s="13">
        <v>1.7</v>
      </c>
      <c r="Q106" s="13">
        <v>12.37</v>
      </c>
      <c r="R106" s="13">
        <v>1.75</v>
      </c>
      <c r="S106" s="13">
        <v>9.81</v>
      </c>
      <c r="T106" s="13">
        <v>99.49</v>
      </c>
      <c r="U106" s="13">
        <v>2.1</v>
      </c>
      <c r="V106" s="13">
        <v>5.45</v>
      </c>
      <c r="W106" s="13">
        <v>0.56999999999999995</v>
      </c>
      <c r="X106" s="13">
        <v>2.67</v>
      </c>
      <c r="Y106" s="13">
        <v>0.34</v>
      </c>
      <c r="Z106" s="13"/>
      <c r="AA106" s="13"/>
      <c r="AB106" s="13"/>
      <c r="AC106" s="14">
        <v>67.36486486486487</v>
      </c>
      <c r="AD106" s="14">
        <v>30.195381882770871</v>
      </c>
      <c r="AE106" s="14">
        <v>62.160804020100493</v>
      </c>
      <c r="AF106" s="14">
        <v>48.476454293628805</v>
      </c>
      <c r="AG106" s="15">
        <v>0.46624552712540807</v>
      </c>
      <c r="AH106" s="15">
        <v>0.46662230371748686</v>
      </c>
      <c r="AI106" s="15">
        <v>0.50019723016346007</v>
      </c>
      <c r="AJ106" s="41">
        <f t="shared" si="2"/>
        <v>208.69</v>
      </c>
      <c r="AK106" s="44"/>
      <c r="AL106" s="10"/>
      <c r="AM106" s="10"/>
    </row>
    <row r="107" spans="1:39" s="16" customFormat="1" ht="19" customHeight="1">
      <c r="A107" s="9" t="s">
        <v>144</v>
      </c>
      <c r="B107" s="10" t="s">
        <v>140</v>
      </c>
      <c r="C107" s="10"/>
      <c r="D107" s="10"/>
      <c r="E107" s="20" t="s">
        <v>141</v>
      </c>
      <c r="F107" s="20" t="s">
        <v>30</v>
      </c>
      <c r="G107" s="12" t="s">
        <v>142</v>
      </c>
      <c r="H107" s="13"/>
      <c r="I107" s="13"/>
      <c r="J107" s="13">
        <v>54.51</v>
      </c>
      <c r="K107" s="13">
        <v>44.88</v>
      </c>
      <c r="L107" s="13">
        <v>9.4700000000000006</v>
      </c>
      <c r="M107" s="13"/>
      <c r="N107" s="13">
        <v>42.65</v>
      </c>
      <c r="O107" s="13">
        <v>7.95</v>
      </c>
      <c r="P107" s="13">
        <v>1.92</v>
      </c>
      <c r="Q107" s="13">
        <v>10.67</v>
      </c>
      <c r="R107" s="13">
        <v>1.51</v>
      </c>
      <c r="S107" s="13">
        <v>9.2799999999999994</v>
      </c>
      <c r="T107" s="13">
        <v>105.09</v>
      </c>
      <c r="U107" s="13">
        <v>2.08</v>
      </c>
      <c r="V107" s="13">
        <v>5.61</v>
      </c>
      <c r="W107" s="13">
        <v>0.6</v>
      </c>
      <c r="X107" s="13">
        <v>2.73</v>
      </c>
      <c r="Y107" s="13">
        <v>0.33</v>
      </c>
      <c r="Z107" s="13"/>
      <c r="AA107" s="13"/>
      <c r="AB107" s="13"/>
      <c r="AC107" s="14">
        <v>53.716216216216218</v>
      </c>
      <c r="AD107" s="14">
        <v>34.103019538188278</v>
      </c>
      <c r="AE107" s="14">
        <v>53.618090452261306</v>
      </c>
      <c r="AF107" s="14">
        <v>41.828254847645432</v>
      </c>
      <c r="AG107" s="15">
        <v>0.63545422887990433</v>
      </c>
      <c r="AH107" s="15">
        <v>0.63545449442821456</v>
      </c>
      <c r="AI107" s="15">
        <v>0.69007979224174065</v>
      </c>
      <c r="AJ107" s="41">
        <f t="shared" si="2"/>
        <v>151.51</v>
      </c>
      <c r="AK107" s="44"/>
      <c r="AL107" s="10"/>
      <c r="AM107" s="10"/>
    </row>
    <row r="108" spans="1:39" s="16" customFormat="1" ht="19" customHeight="1">
      <c r="A108" s="9" t="s">
        <v>145</v>
      </c>
      <c r="B108" s="10" t="s">
        <v>140</v>
      </c>
      <c r="C108" s="10"/>
      <c r="D108" s="10"/>
      <c r="E108" s="20" t="s">
        <v>141</v>
      </c>
      <c r="F108" s="20" t="s">
        <v>30</v>
      </c>
      <c r="G108" s="12" t="s">
        <v>142</v>
      </c>
      <c r="H108" s="13"/>
      <c r="I108" s="13"/>
      <c r="J108" s="13">
        <v>59.68</v>
      </c>
      <c r="K108" s="13">
        <v>54.98</v>
      </c>
      <c r="L108" s="13">
        <v>9.51</v>
      </c>
      <c r="M108" s="13">
        <v>570</v>
      </c>
      <c r="N108" s="13">
        <v>40.450000000000003</v>
      </c>
      <c r="O108" s="13">
        <v>7.06</v>
      </c>
      <c r="P108" s="13">
        <v>1.77</v>
      </c>
      <c r="Q108" s="13">
        <v>9.9700000000000006</v>
      </c>
      <c r="R108" s="13">
        <v>1.41</v>
      </c>
      <c r="S108" s="13">
        <v>8.58</v>
      </c>
      <c r="T108" s="13">
        <v>107.41</v>
      </c>
      <c r="U108" s="13">
        <v>2</v>
      </c>
      <c r="V108" s="13">
        <v>5.49</v>
      </c>
      <c r="W108" s="13">
        <v>0.61</v>
      </c>
      <c r="X108" s="13">
        <v>2.81</v>
      </c>
      <c r="Y108" s="13">
        <v>0.35</v>
      </c>
      <c r="Z108" s="13"/>
      <c r="AA108" s="13"/>
      <c r="AB108" s="13"/>
      <c r="AC108" s="14">
        <v>47.702702702702702</v>
      </c>
      <c r="AD108" s="14">
        <v>31.43872113676732</v>
      </c>
      <c r="AE108" s="14">
        <v>50.100502512562812</v>
      </c>
      <c r="AF108" s="14">
        <v>39.05817174515235</v>
      </c>
      <c r="AG108" s="15">
        <v>0.64289756286760713</v>
      </c>
      <c r="AH108" s="15">
        <v>0.64309086083338829</v>
      </c>
      <c r="AI108" s="15">
        <v>0.70447498690306198</v>
      </c>
      <c r="AJ108" s="41">
        <f t="shared" si="2"/>
        <v>164.62</v>
      </c>
      <c r="AK108" s="44">
        <f t="shared" si="3"/>
        <v>5.3067684573130993</v>
      </c>
      <c r="AL108" s="10"/>
      <c r="AM108" s="10"/>
    </row>
    <row r="109" spans="1:39" s="16" customFormat="1" ht="19" customHeight="1">
      <c r="A109" s="9" t="s">
        <v>146</v>
      </c>
      <c r="B109" s="10" t="s">
        <v>140</v>
      </c>
      <c r="C109" s="10"/>
      <c r="D109" s="10"/>
      <c r="E109" s="20" t="s">
        <v>141</v>
      </c>
      <c r="F109" s="20" t="s">
        <v>30</v>
      </c>
      <c r="G109" s="12" t="s">
        <v>142</v>
      </c>
      <c r="H109" s="13"/>
      <c r="I109" s="13"/>
      <c r="J109" s="13">
        <v>80</v>
      </c>
      <c r="K109" s="13">
        <v>123.9</v>
      </c>
      <c r="L109" s="13">
        <v>18.53</v>
      </c>
      <c r="M109" s="13"/>
      <c r="N109" s="13">
        <v>75.19</v>
      </c>
      <c r="O109" s="13">
        <v>15.65</v>
      </c>
      <c r="P109" s="13">
        <v>1.82</v>
      </c>
      <c r="Q109" s="13">
        <v>17.87</v>
      </c>
      <c r="R109" s="13">
        <v>2.79</v>
      </c>
      <c r="S109" s="13">
        <v>16.03</v>
      </c>
      <c r="T109" s="13">
        <v>140.12</v>
      </c>
      <c r="U109" s="13">
        <v>3.27</v>
      </c>
      <c r="V109" s="13">
        <v>8.5500000000000007</v>
      </c>
      <c r="W109" s="13">
        <v>0.97</v>
      </c>
      <c r="X109" s="13">
        <v>5.08</v>
      </c>
      <c r="Y109" s="13">
        <v>0.71</v>
      </c>
      <c r="Z109" s="13"/>
      <c r="AA109" s="13"/>
      <c r="AB109" s="13"/>
      <c r="AC109" s="14">
        <v>105.74324324324326</v>
      </c>
      <c r="AD109" s="14">
        <v>32.326820603907642</v>
      </c>
      <c r="AE109" s="14">
        <v>89.798994974874375</v>
      </c>
      <c r="AF109" s="14">
        <v>77.285318559556785</v>
      </c>
      <c r="AG109" s="15">
        <v>0.33063772715794204</v>
      </c>
      <c r="AH109" s="15">
        <v>0.33174236913393379</v>
      </c>
      <c r="AI109" s="15">
        <v>0.33938729093020681</v>
      </c>
      <c r="AJ109" s="41">
        <f t="shared" si="2"/>
        <v>297.62</v>
      </c>
      <c r="AK109" s="44"/>
      <c r="AL109" s="10"/>
      <c r="AM109" s="10"/>
    </row>
    <row r="110" spans="1:39" s="16" customFormat="1" ht="19" customHeight="1">
      <c r="A110" s="9" t="s">
        <v>147</v>
      </c>
      <c r="B110" s="10" t="s">
        <v>140</v>
      </c>
      <c r="C110" s="10"/>
      <c r="D110" s="10"/>
      <c r="E110" s="20" t="s">
        <v>141</v>
      </c>
      <c r="F110" s="20" t="s">
        <v>30</v>
      </c>
      <c r="G110" s="12" t="s">
        <v>142</v>
      </c>
      <c r="H110" s="13"/>
      <c r="I110" s="13"/>
      <c r="J110" s="13">
        <v>55.71</v>
      </c>
      <c r="K110" s="13">
        <v>59.09</v>
      </c>
      <c r="L110" s="13">
        <v>9.8699999999999992</v>
      </c>
      <c r="M110" s="13"/>
      <c r="N110" s="13">
        <v>39.24</v>
      </c>
      <c r="O110" s="13">
        <v>6.7</v>
      </c>
      <c r="P110" s="13">
        <v>1.1200000000000001</v>
      </c>
      <c r="Q110" s="13">
        <v>9.06</v>
      </c>
      <c r="R110" s="13">
        <v>1.26</v>
      </c>
      <c r="S110" s="13">
        <v>7.62</v>
      </c>
      <c r="T110" s="13">
        <v>103.52</v>
      </c>
      <c r="U110" s="13">
        <v>1.78</v>
      </c>
      <c r="V110" s="13">
        <v>4.95</v>
      </c>
      <c r="W110" s="13">
        <v>0.54</v>
      </c>
      <c r="X110" s="13">
        <v>2.5299999999999998</v>
      </c>
      <c r="Y110" s="13">
        <v>0.33</v>
      </c>
      <c r="Z110" s="13"/>
      <c r="AA110" s="13"/>
      <c r="AB110" s="13"/>
      <c r="AC110" s="14">
        <v>45.270270270270274</v>
      </c>
      <c r="AD110" s="14">
        <v>19.893428063943166</v>
      </c>
      <c r="AE110" s="14">
        <v>45.527638190954775</v>
      </c>
      <c r="AF110" s="14">
        <v>34.903047091412745</v>
      </c>
      <c r="AG110" s="15">
        <v>0.43819132843657055</v>
      </c>
      <c r="AH110" s="15">
        <v>0.43819308876433399</v>
      </c>
      <c r="AI110" s="15">
        <v>0.47923271246727178</v>
      </c>
      <c r="AJ110" s="41">
        <f t="shared" si="2"/>
        <v>163.91000000000003</v>
      </c>
      <c r="AK110" s="44"/>
      <c r="AL110" s="10"/>
      <c r="AM110" s="10"/>
    </row>
    <row r="111" spans="1:39" s="16" customFormat="1" ht="19" customHeight="1">
      <c r="A111" s="9" t="s">
        <v>148</v>
      </c>
      <c r="B111" s="10" t="s">
        <v>140</v>
      </c>
      <c r="C111" s="10"/>
      <c r="D111" s="10"/>
      <c r="E111" s="20" t="s">
        <v>141</v>
      </c>
      <c r="F111" s="20" t="s">
        <v>30</v>
      </c>
      <c r="G111" s="12" t="s">
        <v>142</v>
      </c>
      <c r="H111" s="13"/>
      <c r="I111" s="13"/>
      <c r="J111" s="13">
        <v>58.87</v>
      </c>
      <c r="K111" s="13">
        <v>41.68</v>
      </c>
      <c r="L111" s="13">
        <v>7.23</v>
      </c>
      <c r="M111" s="13">
        <v>820</v>
      </c>
      <c r="N111" s="13">
        <v>28.47</v>
      </c>
      <c r="O111" s="13">
        <v>4.28</v>
      </c>
      <c r="P111" s="13">
        <v>1.05</v>
      </c>
      <c r="Q111" s="13">
        <v>6.64</v>
      </c>
      <c r="R111" s="13">
        <v>0.91</v>
      </c>
      <c r="S111" s="13">
        <v>5.94</v>
      </c>
      <c r="T111" s="13">
        <v>100.04</v>
      </c>
      <c r="U111" s="13">
        <v>1.52</v>
      </c>
      <c r="V111" s="13">
        <v>4.53</v>
      </c>
      <c r="W111" s="13">
        <v>0.52</v>
      </c>
      <c r="X111" s="13">
        <v>2.5499999999999998</v>
      </c>
      <c r="Y111" s="13">
        <v>0.33</v>
      </c>
      <c r="Z111" s="13"/>
      <c r="AA111" s="13"/>
      <c r="AB111" s="13"/>
      <c r="AC111" s="14">
        <v>28.918918918918923</v>
      </c>
      <c r="AD111" s="14">
        <v>18.650088809946716</v>
      </c>
      <c r="AE111" s="14">
        <v>33.366834170854268</v>
      </c>
      <c r="AF111" s="14">
        <v>25.207756232686982</v>
      </c>
      <c r="AG111" s="15">
        <v>0.59885568961705005</v>
      </c>
      <c r="AH111" s="15">
        <v>0.60038851502816704</v>
      </c>
      <c r="AI111" s="15">
        <v>0.67512077405143756</v>
      </c>
      <c r="AJ111" s="41">
        <f t="shared" si="2"/>
        <v>136.25</v>
      </c>
      <c r="AK111" s="44">
        <f t="shared" si="3"/>
        <v>8.1967213114754092</v>
      </c>
      <c r="AL111" s="10"/>
      <c r="AM111" s="10"/>
    </row>
    <row r="112" spans="1:39" s="16" customFormat="1" ht="19" customHeight="1">
      <c r="A112" s="9" t="s">
        <v>149</v>
      </c>
      <c r="B112" s="10" t="s">
        <v>140</v>
      </c>
      <c r="C112" s="10"/>
      <c r="D112" s="10"/>
      <c r="E112" s="20" t="s">
        <v>141</v>
      </c>
      <c r="F112" s="20" t="s">
        <v>30</v>
      </c>
      <c r="G112" s="12" t="s">
        <v>142</v>
      </c>
      <c r="H112" s="13"/>
      <c r="I112" s="13"/>
      <c r="J112" s="13">
        <v>20.77</v>
      </c>
      <c r="K112" s="13">
        <v>11.95</v>
      </c>
      <c r="L112" s="13">
        <v>3.43</v>
      </c>
      <c r="M112" s="13">
        <v>197</v>
      </c>
      <c r="N112" s="13">
        <v>15.36</v>
      </c>
      <c r="O112" s="13">
        <v>2.98</v>
      </c>
      <c r="P112" s="13">
        <v>0.78</v>
      </c>
      <c r="Q112" s="13">
        <v>4.3600000000000003</v>
      </c>
      <c r="R112" s="13">
        <v>0.71</v>
      </c>
      <c r="S112" s="13">
        <v>4.79</v>
      </c>
      <c r="T112" s="13">
        <v>59</v>
      </c>
      <c r="U112" s="13">
        <v>1.21</v>
      </c>
      <c r="V112" s="13">
        <v>3.63</v>
      </c>
      <c r="W112" s="13">
        <v>0.47</v>
      </c>
      <c r="X112" s="13">
        <v>2.61</v>
      </c>
      <c r="Y112" s="13">
        <v>0.39</v>
      </c>
      <c r="Z112" s="13"/>
      <c r="AA112" s="13"/>
      <c r="AB112" s="13"/>
      <c r="AC112" s="14">
        <v>20.135135135135137</v>
      </c>
      <c r="AD112" s="14">
        <v>13.85435168738899</v>
      </c>
      <c r="AE112" s="14">
        <v>21.909547738693469</v>
      </c>
      <c r="AF112" s="14">
        <v>19.667590027700829</v>
      </c>
      <c r="AG112" s="15">
        <v>0.65902990534923767</v>
      </c>
      <c r="AH112" s="15">
        <v>0.65961758791291758</v>
      </c>
      <c r="AI112" s="15">
        <v>0.69347816804520901</v>
      </c>
      <c r="AJ112" s="41">
        <f t="shared" si="2"/>
        <v>51.51</v>
      </c>
      <c r="AK112" s="44">
        <f t="shared" si="3"/>
        <v>3.3389830508474576</v>
      </c>
      <c r="AL112" s="10"/>
      <c r="AM112" s="10"/>
    </row>
    <row r="113" spans="1:39" s="16" customFormat="1" ht="19" customHeight="1">
      <c r="A113" s="9" t="s">
        <v>150</v>
      </c>
      <c r="B113" s="10" t="s">
        <v>140</v>
      </c>
      <c r="C113" s="10"/>
      <c r="D113" s="10"/>
      <c r="E113" s="20" t="s">
        <v>141</v>
      </c>
      <c r="F113" s="20" t="s">
        <v>30</v>
      </c>
      <c r="G113" s="12" t="s">
        <v>142</v>
      </c>
      <c r="H113" s="13"/>
      <c r="I113" s="13"/>
      <c r="J113" s="13">
        <v>30.5</v>
      </c>
      <c r="K113" s="13">
        <v>16.93</v>
      </c>
      <c r="L113" s="13">
        <v>4.6100000000000003</v>
      </c>
      <c r="M113" s="13">
        <v>243</v>
      </c>
      <c r="N113" s="13">
        <v>20.46</v>
      </c>
      <c r="O113" s="13">
        <v>3.74</v>
      </c>
      <c r="P113" s="13">
        <v>0.97</v>
      </c>
      <c r="Q113" s="13">
        <v>5.65</v>
      </c>
      <c r="R113" s="13">
        <v>0.86</v>
      </c>
      <c r="S113" s="13">
        <v>5.81</v>
      </c>
      <c r="T113" s="13">
        <v>81.05</v>
      </c>
      <c r="U113" s="13">
        <v>1.47</v>
      </c>
      <c r="V113" s="13">
        <v>4.3899999999999997</v>
      </c>
      <c r="W113" s="13">
        <v>0.53</v>
      </c>
      <c r="X113" s="13">
        <v>2.83</v>
      </c>
      <c r="Y113" s="13">
        <v>0.38</v>
      </c>
      <c r="Z113" s="13"/>
      <c r="AA113" s="13"/>
      <c r="AB113" s="13"/>
      <c r="AC113" s="14">
        <v>25.270270270270274</v>
      </c>
      <c r="AD113" s="14">
        <v>17.229129662522205</v>
      </c>
      <c r="AE113" s="14">
        <v>28.391959798994975</v>
      </c>
      <c r="AF113" s="14">
        <v>23.822714681440441</v>
      </c>
      <c r="AG113" s="15">
        <v>0.64213245108462591</v>
      </c>
      <c r="AH113" s="15">
        <v>0.64322173373430691</v>
      </c>
      <c r="AI113" s="15">
        <v>0.69533325200003249</v>
      </c>
      <c r="AJ113" s="41">
        <f t="shared" si="2"/>
        <v>72.5</v>
      </c>
      <c r="AK113" s="44">
        <f t="shared" si="3"/>
        <v>2.9981492905613818</v>
      </c>
      <c r="AL113" s="10"/>
      <c r="AM113" s="10"/>
    </row>
    <row r="114" spans="1:39" s="16" customFormat="1" ht="19" customHeight="1">
      <c r="A114" s="9" t="s">
        <v>151</v>
      </c>
      <c r="B114" s="10" t="s">
        <v>140</v>
      </c>
      <c r="C114" s="10"/>
      <c r="D114" s="10"/>
      <c r="E114" s="20" t="s">
        <v>141</v>
      </c>
      <c r="F114" s="20" t="s">
        <v>30</v>
      </c>
      <c r="G114" s="12" t="s">
        <v>142</v>
      </c>
      <c r="H114" s="13"/>
      <c r="I114" s="13"/>
      <c r="J114" s="13">
        <v>57.59</v>
      </c>
      <c r="K114" s="13">
        <v>85.12</v>
      </c>
      <c r="L114" s="13">
        <v>13.76</v>
      </c>
      <c r="M114" s="13">
        <v>620</v>
      </c>
      <c r="N114" s="13">
        <v>55.21</v>
      </c>
      <c r="O114" s="13">
        <v>10.35</v>
      </c>
      <c r="P114" s="13">
        <v>1.91</v>
      </c>
      <c r="Q114" s="13">
        <v>12.59</v>
      </c>
      <c r="R114" s="13">
        <v>1.86</v>
      </c>
      <c r="S114" s="13">
        <v>11.12</v>
      </c>
      <c r="T114" s="13">
        <v>119.26</v>
      </c>
      <c r="U114" s="13">
        <v>2.5099999999999998</v>
      </c>
      <c r="V114" s="13">
        <v>7.34</v>
      </c>
      <c r="W114" s="13">
        <v>0.89</v>
      </c>
      <c r="X114" s="13">
        <v>4.68</v>
      </c>
      <c r="Y114" s="13">
        <v>0.63</v>
      </c>
      <c r="Z114" s="13"/>
      <c r="AA114" s="13"/>
      <c r="AB114" s="13"/>
      <c r="AC114" s="14">
        <v>69.932432432432435</v>
      </c>
      <c r="AD114" s="14">
        <v>33.925399644760212</v>
      </c>
      <c r="AE114" s="14">
        <v>63.266331658291456</v>
      </c>
      <c r="AF114" s="14">
        <v>51.523545706371195</v>
      </c>
      <c r="AG114" s="15">
        <v>0.50939511152900874</v>
      </c>
      <c r="AH114" s="15">
        <v>0.51003423517295887</v>
      </c>
      <c r="AI114" s="15">
        <v>0.53711914865702903</v>
      </c>
      <c r="AJ114" s="41">
        <f t="shared" si="2"/>
        <v>211.68</v>
      </c>
      <c r="AK114" s="44">
        <f t="shared" si="3"/>
        <v>5.1987254737548207</v>
      </c>
      <c r="AL114" s="10"/>
      <c r="AM114" s="10"/>
    </row>
    <row r="115" spans="1:39" s="16" customFormat="1" ht="19" customHeight="1">
      <c r="A115" s="9" t="s">
        <v>152</v>
      </c>
      <c r="B115" s="10" t="s">
        <v>140</v>
      </c>
      <c r="C115" s="10"/>
      <c r="D115" s="10"/>
      <c r="E115" s="20" t="s">
        <v>141</v>
      </c>
      <c r="F115" s="20" t="s">
        <v>30</v>
      </c>
      <c r="G115" s="12" t="s">
        <v>142</v>
      </c>
      <c r="H115" s="13"/>
      <c r="I115" s="13"/>
      <c r="J115" s="13">
        <v>102.3</v>
      </c>
      <c r="K115" s="13">
        <v>142</v>
      </c>
      <c r="L115" s="13">
        <v>22.84</v>
      </c>
      <c r="M115" s="13"/>
      <c r="N115" s="13">
        <v>94.02</v>
      </c>
      <c r="O115" s="13">
        <v>17.850000000000001</v>
      </c>
      <c r="P115" s="13">
        <v>3.48</v>
      </c>
      <c r="Q115" s="13">
        <v>22.25</v>
      </c>
      <c r="R115" s="13">
        <v>3.33</v>
      </c>
      <c r="S115" s="13">
        <v>20.21</v>
      </c>
      <c r="T115" s="13">
        <v>214.5</v>
      </c>
      <c r="U115" s="13">
        <v>4.6100000000000003</v>
      </c>
      <c r="V115" s="13">
        <v>13.5</v>
      </c>
      <c r="W115" s="13">
        <v>1.66</v>
      </c>
      <c r="X115" s="13">
        <v>9.0399999999999991</v>
      </c>
      <c r="Y115" s="13">
        <v>1.24</v>
      </c>
      <c r="Z115" s="13"/>
      <c r="AA115" s="13"/>
      <c r="AB115" s="13"/>
      <c r="AC115" s="14">
        <v>120.60810810810813</v>
      </c>
      <c r="AD115" s="14">
        <v>61.811722912966253</v>
      </c>
      <c r="AE115" s="14">
        <v>111.80904522613065</v>
      </c>
      <c r="AF115" s="14">
        <v>92.24376731301939</v>
      </c>
      <c r="AG115" s="15">
        <v>0.53190327844756713</v>
      </c>
      <c r="AH115" s="15">
        <v>0.53228487665070612</v>
      </c>
      <c r="AI115" s="15">
        <v>0.56041209791772051</v>
      </c>
      <c r="AJ115" s="41">
        <f t="shared" si="2"/>
        <v>361.15999999999997</v>
      </c>
      <c r="AK115" s="44"/>
      <c r="AL115" s="10"/>
      <c r="AM115" s="10"/>
    </row>
    <row r="116" spans="1:39" s="16" customFormat="1" ht="19" customHeight="1">
      <c r="A116" s="9" t="s">
        <v>153</v>
      </c>
      <c r="B116" s="10" t="s">
        <v>140</v>
      </c>
      <c r="C116" s="10"/>
      <c r="D116" s="10"/>
      <c r="E116" s="20" t="s">
        <v>141</v>
      </c>
      <c r="F116" s="20" t="s">
        <v>30</v>
      </c>
      <c r="G116" s="12" t="s">
        <v>142</v>
      </c>
      <c r="H116" s="13"/>
      <c r="I116" s="13"/>
      <c r="J116" s="13">
        <v>93.66</v>
      </c>
      <c r="K116" s="13">
        <v>208.9</v>
      </c>
      <c r="L116" s="13">
        <v>40.200000000000003</v>
      </c>
      <c r="M116" s="13">
        <v>211</v>
      </c>
      <c r="N116" s="13">
        <v>185.7</v>
      </c>
      <c r="O116" s="13">
        <v>45.39</v>
      </c>
      <c r="P116" s="13">
        <v>6.29</v>
      </c>
      <c r="Q116" s="13">
        <v>48.37</v>
      </c>
      <c r="R116" s="13">
        <v>7.61</v>
      </c>
      <c r="S116" s="13">
        <v>39.96</v>
      </c>
      <c r="T116" s="13">
        <v>243.41</v>
      </c>
      <c r="U116" s="13">
        <v>7.15</v>
      </c>
      <c r="V116" s="13">
        <v>16.59</v>
      </c>
      <c r="W116" s="13">
        <v>1.62</v>
      </c>
      <c r="X116" s="13">
        <v>7.39</v>
      </c>
      <c r="Y116" s="13">
        <v>0.91</v>
      </c>
      <c r="Z116" s="13"/>
      <c r="AA116" s="13"/>
      <c r="AB116" s="13"/>
      <c r="AC116" s="14">
        <v>306.68918918918922</v>
      </c>
      <c r="AD116" s="14">
        <v>111.72291296625222</v>
      </c>
      <c r="AE116" s="14">
        <v>243.0653266331658</v>
      </c>
      <c r="AF116" s="14">
        <v>210.803324099723</v>
      </c>
      <c r="AG116" s="15">
        <v>0.40644654932622265</v>
      </c>
      <c r="AH116" s="15">
        <v>0.40919612410216166</v>
      </c>
      <c r="AI116" s="15">
        <v>0.41277886667826658</v>
      </c>
      <c r="AJ116" s="41">
        <f t="shared" si="2"/>
        <v>528.46</v>
      </c>
      <c r="AK116" s="44">
        <f t="shared" si="3"/>
        <v>0.86685017049422786</v>
      </c>
      <c r="AL116" s="10"/>
      <c r="AM116" s="10"/>
    </row>
    <row r="117" spans="1:39" s="16" customFormat="1" ht="19" customHeight="1">
      <c r="A117" s="9" t="s">
        <v>154</v>
      </c>
      <c r="B117" s="10" t="s">
        <v>140</v>
      </c>
      <c r="C117" s="10"/>
      <c r="D117" s="10"/>
      <c r="E117" s="20" t="s">
        <v>141</v>
      </c>
      <c r="F117" s="20" t="s">
        <v>30</v>
      </c>
      <c r="G117" s="12" t="s">
        <v>142</v>
      </c>
      <c r="H117" s="13"/>
      <c r="I117" s="13"/>
      <c r="J117" s="13">
        <v>35.35</v>
      </c>
      <c r="K117" s="13">
        <v>29.66</v>
      </c>
      <c r="L117" s="13">
        <v>7.51</v>
      </c>
      <c r="M117" s="13"/>
      <c r="N117" s="13">
        <v>33.99</v>
      </c>
      <c r="O117" s="13">
        <v>6.81</v>
      </c>
      <c r="P117" s="13">
        <v>1.78</v>
      </c>
      <c r="Q117" s="13">
        <v>9.06</v>
      </c>
      <c r="R117" s="13">
        <v>1.38</v>
      </c>
      <c r="S117" s="13">
        <v>8.57</v>
      </c>
      <c r="T117" s="13">
        <v>81.89</v>
      </c>
      <c r="U117" s="13">
        <v>1.89</v>
      </c>
      <c r="V117" s="13">
        <v>5.44</v>
      </c>
      <c r="W117" s="13">
        <v>0.68</v>
      </c>
      <c r="X117" s="13">
        <v>3.85</v>
      </c>
      <c r="Y117" s="13">
        <v>0.59</v>
      </c>
      <c r="Z117" s="13"/>
      <c r="AA117" s="13"/>
      <c r="AB117" s="13"/>
      <c r="AC117" s="14">
        <v>46.013513513513516</v>
      </c>
      <c r="AD117" s="14">
        <v>31.616341030195386</v>
      </c>
      <c r="AE117" s="14">
        <v>45.527638190954775</v>
      </c>
      <c r="AF117" s="14">
        <v>38.227146814404428</v>
      </c>
      <c r="AG117" s="15">
        <v>0.69075689876102209</v>
      </c>
      <c r="AH117" s="15">
        <v>0.69076662895170793</v>
      </c>
      <c r="AI117" s="15">
        <v>0.73091024350558775</v>
      </c>
      <c r="AJ117" s="41">
        <f t="shared" si="2"/>
        <v>106.51000000000002</v>
      </c>
      <c r="AK117" s="44"/>
      <c r="AL117" s="10"/>
      <c r="AM117" s="10"/>
    </row>
    <row r="118" spans="1:39" s="16" customFormat="1" ht="19" customHeight="1">
      <c r="A118" s="9" t="s">
        <v>155</v>
      </c>
      <c r="B118" s="10" t="s">
        <v>140</v>
      </c>
      <c r="C118" s="10"/>
      <c r="D118" s="10"/>
      <c r="E118" s="20" t="s">
        <v>141</v>
      </c>
      <c r="F118" s="20" t="s">
        <v>30</v>
      </c>
      <c r="G118" s="12" t="s">
        <v>142</v>
      </c>
      <c r="H118" s="13"/>
      <c r="I118" s="13"/>
      <c r="J118" s="13">
        <v>60.02</v>
      </c>
      <c r="K118" s="13">
        <v>38.1</v>
      </c>
      <c r="L118" s="13">
        <v>12.07</v>
      </c>
      <c r="M118" s="13"/>
      <c r="N118" s="13">
        <v>54.52</v>
      </c>
      <c r="O118" s="13">
        <v>11.25</v>
      </c>
      <c r="P118" s="13">
        <v>3.14</v>
      </c>
      <c r="Q118" s="13">
        <v>15.73</v>
      </c>
      <c r="R118" s="13">
        <v>2.4500000000000002</v>
      </c>
      <c r="S118" s="13">
        <v>15.93</v>
      </c>
      <c r="T118" s="13">
        <v>154.02000000000001</v>
      </c>
      <c r="U118" s="13">
        <v>3.65</v>
      </c>
      <c r="V118" s="13">
        <v>10.78</v>
      </c>
      <c r="W118" s="13">
        <v>1.36</v>
      </c>
      <c r="X118" s="13">
        <v>7.89</v>
      </c>
      <c r="Y118" s="13">
        <v>1.1599999999999999</v>
      </c>
      <c r="Z118" s="13"/>
      <c r="AA118" s="13"/>
      <c r="AB118" s="13"/>
      <c r="AC118" s="14">
        <v>76.013513513513516</v>
      </c>
      <c r="AD118" s="14">
        <v>55.772646536412083</v>
      </c>
      <c r="AE118" s="14">
        <v>79.045226130653262</v>
      </c>
      <c r="AF118" s="14">
        <v>67.86703601108033</v>
      </c>
      <c r="AG118" s="15">
        <v>0.71937443402933288</v>
      </c>
      <c r="AH118" s="15">
        <v>0.71951197532327471</v>
      </c>
      <c r="AI118" s="15">
        <v>0.76197564090226966</v>
      </c>
      <c r="AJ118" s="41">
        <f t="shared" si="2"/>
        <v>164.71</v>
      </c>
      <c r="AK118" s="44"/>
      <c r="AL118" s="10"/>
      <c r="AM118" s="10"/>
    </row>
    <row r="119" spans="1:39" s="16" customFormat="1" ht="19" customHeight="1">
      <c r="A119" s="9" t="s">
        <v>156</v>
      </c>
      <c r="B119" s="10" t="s">
        <v>140</v>
      </c>
      <c r="C119" s="10"/>
      <c r="D119" s="10"/>
      <c r="E119" s="20" t="s">
        <v>141</v>
      </c>
      <c r="F119" s="20" t="s">
        <v>30</v>
      </c>
      <c r="G119" s="12" t="s">
        <v>142</v>
      </c>
      <c r="H119" s="13"/>
      <c r="I119" s="13"/>
      <c r="J119" s="13">
        <v>91.2</v>
      </c>
      <c r="K119" s="13">
        <v>40.159999999999997</v>
      </c>
      <c r="L119" s="13">
        <v>15.44</v>
      </c>
      <c r="M119" s="13"/>
      <c r="N119" s="13">
        <v>68.900000000000006</v>
      </c>
      <c r="O119" s="13">
        <v>13.62</v>
      </c>
      <c r="P119" s="13">
        <v>3.7</v>
      </c>
      <c r="Q119" s="13">
        <v>19.899999999999999</v>
      </c>
      <c r="R119" s="13">
        <v>3.16</v>
      </c>
      <c r="S119" s="13">
        <v>21.01</v>
      </c>
      <c r="T119" s="13">
        <v>243.9</v>
      </c>
      <c r="U119" s="13">
        <v>5.0599999999999996</v>
      </c>
      <c r="V119" s="13">
        <v>15.11</v>
      </c>
      <c r="W119" s="13">
        <v>1.97</v>
      </c>
      <c r="X119" s="13">
        <v>11.51</v>
      </c>
      <c r="Y119" s="13">
        <v>1.67</v>
      </c>
      <c r="Z119" s="13"/>
      <c r="AA119" s="13"/>
      <c r="AB119" s="13"/>
      <c r="AC119" s="14">
        <v>92.027027027027032</v>
      </c>
      <c r="AD119" s="14">
        <v>65.719360568383664</v>
      </c>
      <c r="AE119" s="14">
        <v>99.999999999999986</v>
      </c>
      <c r="AF119" s="14">
        <v>87.53462603878117</v>
      </c>
      <c r="AG119" s="15">
        <v>0.68448032119076585</v>
      </c>
      <c r="AH119" s="15">
        <v>0.68507107808375234</v>
      </c>
      <c r="AI119" s="15">
        <v>0.72614459273827747</v>
      </c>
      <c r="AJ119" s="41">
        <f t="shared" si="2"/>
        <v>215.70000000000002</v>
      </c>
      <c r="AK119" s="44"/>
      <c r="AL119" s="10"/>
      <c r="AM119" s="10"/>
    </row>
    <row r="120" spans="1:39" s="16" customFormat="1" ht="19" customHeight="1">
      <c r="A120" s="9" t="s">
        <v>157</v>
      </c>
      <c r="B120" s="10" t="s">
        <v>140</v>
      </c>
      <c r="C120" s="10"/>
      <c r="D120" s="10"/>
      <c r="E120" s="20" t="s">
        <v>141</v>
      </c>
      <c r="F120" s="20" t="s">
        <v>30</v>
      </c>
      <c r="G120" s="12" t="s">
        <v>142</v>
      </c>
      <c r="H120" s="13"/>
      <c r="I120" s="13"/>
      <c r="J120" s="13">
        <v>202.3</v>
      </c>
      <c r="K120" s="13">
        <v>128</v>
      </c>
      <c r="L120" s="13">
        <v>20.78</v>
      </c>
      <c r="M120" s="13">
        <v>1210</v>
      </c>
      <c r="N120" s="13">
        <v>86.46</v>
      </c>
      <c r="O120" s="13">
        <v>17.739999999999998</v>
      </c>
      <c r="P120" s="13">
        <v>2.23</v>
      </c>
      <c r="Q120" s="13">
        <v>20.49</v>
      </c>
      <c r="R120" s="13">
        <v>3.11</v>
      </c>
      <c r="S120" s="13">
        <v>17.649999999999999</v>
      </c>
      <c r="T120" s="13">
        <v>144.91999999999999</v>
      </c>
      <c r="U120" s="13">
        <v>3.49</v>
      </c>
      <c r="V120" s="13">
        <v>8.77</v>
      </c>
      <c r="W120" s="13">
        <v>0.9</v>
      </c>
      <c r="X120" s="13">
        <v>3.96</v>
      </c>
      <c r="Y120" s="13">
        <v>0.49</v>
      </c>
      <c r="Z120" s="13"/>
      <c r="AA120" s="13"/>
      <c r="AB120" s="13"/>
      <c r="AC120" s="14">
        <v>119.86486486486486</v>
      </c>
      <c r="AD120" s="14">
        <v>39.609236234458265</v>
      </c>
      <c r="AE120" s="14">
        <v>102.964824120603</v>
      </c>
      <c r="AF120" s="14">
        <v>86.149584487534625</v>
      </c>
      <c r="AG120" s="15">
        <v>0.35551130026521233</v>
      </c>
      <c r="AH120" s="15">
        <v>0.35653820784299767</v>
      </c>
      <c r="AI120" s="15">
        <v>0.36890748978308402</v>
      </c>
      <c r="AJ120" s="41">
        <f t="shared" si="2"/>
        <v>437.54</v>
      </c>
      <c r="AK120" s="44">
        <f t="shared" si="3"/>
        <v>8.3494341705768704</v>
      </c>
      <c r="AL120" s="10"/>
      <c r="AM120" s="10"/>
    </row>
    <row r="121" spans="1:39" s="16" customFormat="1" ht="19" customHeight="1">
      <c r="A121" s="9" t="s">
        <v>158</v>
      </c>
      <c r="B121" s="10" t="s">
        <v>159</v>
      </c>
      <c r="C121" s="10"/>
      <c r="D121" s="10"/>
      <c r="E121" s="20" t="s">
        <v>141</v>
      </c>
      <c r="F121" s="20" t="s">
        <v>30</v>
      </c>
      <c r="G121" s="12" t="s">
        <v>142</v>
      </c>
      <c r="H121" s="13"/>
      <c r="I121" s="13"/>
      <c r="J121" s="13">
        <v>209.4</v>
      </c>
      <c r="K121" s="13">
        <v>357.6</v>
      </c>
      <c r="L121" s="13">
        <v>50.66</v>
      </c>
      <c r="M121" s="13"/>
      <c r="N121" s="13">
        <v>221.3</v>
      </c>
      <c r="O121" s="13">
        <v>47.3</v>
      </c>
      <c r="P121" s="13">
        <v>10.97</v>
      </c>
      <c r="Q121" s="13">
        <v>49.1</v>
      </c>
      <c r="R121" s="13">
        <v>5.851</v>
      </c>
      <c r="S121" s="13">
        <v>28.86</v>
      </c>
      <c r="T121" s="13"/>
      <c r="U121" s="13">
        <v>5.117</v>
      </c>
      <c r="V121" s="13">
        <v>12.02</v>
      </c>
      <c r="W121" s="13">
        <v>1.2529999999999999</v>
      </c>
      <c r="X121" s="13">
        <v>6.109</v>
      </c>
      <c r="Y121" s="13">
        <v>0.77700000000000002</v>
      </c>
      <c r="Z121" s="13"/>
      <c r="AA121" s="13"/>
      <c r="AB121" s="13"/>
      <c r="AC121" s="14">
        <v>319.59459459459458</v>
      </c>
      <c r="AD121" s="14">
        <v>194.84902309058617</v>
      </c>
      <c r="AE121" s="14">
        <v>246.73366834170855</v>
      </c>
      <c r="AF121" s="14">
        <v>162.07756232686981</v>
      </c>
      <c r="AG121" s="15">
        <v>0.6881133640773337</v>
      </c>
      <c r="AH121" s="15">
        <v>0.69387990793985588</v>
      </c>
      <c r="AI121" s="15">
        <v>0.76452375465590772</v>
      </c>
      <c r="AJ121" s="41">
        <f t="shared" si="2"/>
        <v>838.96</v>
      </c>
      <c r="AK121" s="44"/>
      <c r="AL121" s="10"/>
      <c r="AM121" s="10"/>
    </row>
    <row r="122" spans="1:39" s="16" customFormat="1" ht="19" customHeight="1">
      <c r="A122" s="9" t="s">
        <v>160</v>
      </c>
      <c r="B122" s="10" t="s">
        <v>159</v>
      </c>
      <c r="C122" s="10"/>
      <c r="D122" s="10"/>
      <c r="E122" s="20" t="s">
        <v>141</v>
      </c>
      <c r="F122" s="20" t="s">
        <v>30</v>
      </c>
      <c r="G122" s="12" t="s">
        <v>142</v>
      </c>
      <c r="H122" s="13"/>
      <c r="I122" s="13"/>
      <c r="J122" s="13">
        <v>242.3</v>
      </c>
      <c r="K122" s="13">
        <v>386.8</v>
      </c>
      <c r="L122" s="13">
        <v>52.67</v>
      </c>
      <c r="M122" s="13"/>
      <c r="N122" s="13">
        <v>236.9</v>
      </c>
      <c r="O122" s="13">
        <v>50.68</v>
      </c>
      <c r="P122" s="13">
        <v>11.63</v>
      </c>
      <c r="Q122" s="13">
        <v>54.88</v>
      </c>
      <c r="R122" s="13">
        <v>6.3339999999999996</v>
      </c>
      <c r="S122" s="13">
        <v>30.84</v>
      </c>
      <c r="T122" s="13"/>
      <c r="U122" s="13">
        <v>5.4420000000000002</v>
      </c>
      <c r="V122" s="13">
        <v>12.53</v>
      </c>
      <c r="W122" s="13">
        <v>1.2330000000000001</v>
      </c>
      <c r="X122" s="13">
        <v>6.0140000000000002</v>
      </c>
      <c r="Y122" s="13">
        <v>0.78500000000000003</v>
      </c>
      <c r="Z122" s="13"/>
      <c r="AA122" s="13"/>
      <c r="AB122" s="13"/>
      <c r="AC122" s="14">
        <v>342.43243243243245</v>
      </c>
      <c r="AD122" s="14">
        <v>206.57193605683838</v>
      </c>
      <c r="AE122" s="14">
        <v>275.7788944723618</v>
      </c>
      <c r="AF122" s="14">
        <v>175.45706371191136</v>
      </c>
      <c r="AG122" s="15">
        <v>0.66828906901814444</v>
      </c>
      <c r="AH122" s="15">
        <v>0.67220751179972238</v>
      </c>
      <c r="AI122" s="15">
        <v>0.7538722788469715</v>
      </c>
      <c r="AJ122" s="41">
        <f t="shared" si="2"/>
        <v>918.67</v>
      </c>
      <c r="AK122" s="44"/>
      <c r="AL122" s="10"/>
      <c r="AM122" s="10"/>
    </row>
    <row r="123" spans="1:39" s="16" customFormat="1" ht="19" customHeight="1">
      <c r="A123" s="9" t="s">
        <v>161</v>
      </c>
      <c r="B123" s="10" t="s">
        <v>159</v>
      </c>
      <c r="C123" s="10"/>
      <c r="D123" s="10"/>
      <c r="E123" s="20" t="s">
        <v>141</v>
      </c>
      <c r="F123" s="20" t="s">
        <v>30</v>
      </c>
      <c r="G123" s="12" t="s">
        <v>142</v>
      </c>
      <c r="H123" s="13"/>
      <c r="I123" s="13"/>
      <c r="J123" s="13">
        <v>152.9</v>
      </c>
      <c r="K123" s="13">
        <v>168.9</v>
      </c>
      <c r="L123" s="13">
        <v>33.299999999999997</v>
      </c>
      <c r="M123" s="13"/>
      <c r="N123" s="13">
        <v>146.30000000000001</v>
      </c>
      <c r="O123" s="13">
        <v>30.8</v>
      </c>
      <c r="P123" s="13">
        <v>6.9850000000000003</v>
      </c>
      <c r="Q123" s="13">
        <v>32.299999999999997</v>
      </c>
      <c r="R123" s="13">
        <v>3.6909999999999998</v>
      </c>
      <c r="S123" s="13">
        <v>17.75</v>
      </c>
      <c r="T123" s="13"/>
      <c r="U123" s="13">
        <v>3.1539999999999999</v>
      </c>
      <c r="V123" s="13">
        <v>7.3109999999999999</v>
      </c>
      <c r="W123" s="13">
        <v>0.59199999999999997</v>
      </c>
      <c r="X123" s="13">
        <v>3.7010000000000001</v>
      </c>
      <c r="Y123" s="13">
        <v>0.48899999999999999</v>
      </c>
      <c r="Z123" s="13"/>
      <c r="AA123" s="13"/>
      <c r="AB123" s="13"/>
      <c r="AC123" s="14">
        <v>208.10810810810813</v>
      </c>
      <c r="AD123" s="14">
        <v>124.06749555950267</v>
      </c>
      <c r="AE123" s="14">
        <v>162.3115577889447</v>
      </c>
      <c r="AF123" s="14">
        <v>102.24376731301939</v>
      </c>
      <c r="AG123" s="15">
        <v>0.66987531700859293</v>
      </c>
      <c r="AH123" s="15">
        <v>0.67505443069333204</v>
      </c>
      <c r="AI123" s="15">
        <v>0.75553235495218107</v>
      </c>
      <c r="AJ123" s="41">
        <f t="shared" si="2"/>
        <v>501.40000000000003</v>
      </c>
      <c r="AK123" s="44"/>
      <c r="AL123" s="10"/>
      <c r="AM123" s="10"/>
    </row>
    <row r="124" spans="1:39" s="16" customFormat="1" ht="19" customHeight="1">
      <c r="A124" s="9" t="s">
        <v>162</v>
      </c>
      <c r="B124" s="10" t="s">
        <v>159</v>
      </c>
      <c r="C124" s="10"/>
      <c r="D124" s="10"/>
      <c r="E124" s="20" t="s">
        <v>141</v>
      </c>
      <c r="F124" s="20" t="s">
        <v>30</v>
      </c>
      <c r="G124" s="12" t="s">
        <v>142</v>
      </c>
      <c r="H124" s="13"/>
      <c r="I124" s="13"/>
      <c r="J124" s="13">
        <v>150.4</v>
      </c>
      <c r="K124" s="13">
        <v>251.8</v>
      </c>
      <c r="L124" s="13">
        <v>33.32</v>
      </c>
      <c r="M124" s="13"/>
      <c r="N124" s="13">
        <v>146.69999999999999</v>
      </c>
      <c r="O124" s="13">
        <v>30.88</v>
      </c>
      <c r="P124" s="13">
        <v>7.1040000000000001</v>
      </c>
      <c r="Q124" s="13">
        <v>33.590000000000003</v>
      </c>
      <c r="R124" s="13">
        <v>3.843</v>
      </c>
      <c r="S124" s="13">
        <v>19.48</v>
      </c>
      <c r="T124" s="13"/>
      <c r="U124" s="13">
        <v>3.343</v>
      </c>
      <c r="V124" s="13">
        <v>8.0719999999999992</v>
      </c>
      <c r="W124" s="13">
        <v>0.871</v>
      </c>
      <c r="X124" s="13">
        <v>4.43</v>
      </c>
      <c r="Y124" s="13">
        <v>0.57899999999999996</v>
      </c>
      <c r="Z124" s="13"/>
      <c r="AA124" s="13"/>
      <c r="AB124" s="13"/>
      <c r="AC124" s="14">
        <v>208.64864864864865</v>
      </c>
      <c r="AD124" s="14">
        <v>126.18117229129663</v>
      </c>
      <c r="AE124" s="14">
        <v>168.79396984924625</v>
      </c>
      <c r="AF124" s="14">
        <v>106.45429362880887</v>
      </c>
      <c r="AG124" s="15">
        <v>0.66861115362890788</v>
      </c>
      <c r="AH124" s="15">
        <v>0.67236996647628777</v>
      </c>
      <c r="AI124" s="15">
        <v>0.75682670236095284</v>
      </c>
      <c r="AJ124" s="41">
        <f t="shared" si="2"/>
        <v>582.22</v>
      </c>
      <c r="AK124" s="44"/>
      <c r="AL124" s="10"/>
      <c r="AM124" s="10"/>
    </row>
    <row r="125" spans="1:39" s="16" customFormat="1" ht="19" customHeight="1">
      <c r="A125" s="9" t="s">
        <v>163</v>
      </c>
      <c r="B125" s="10" t="s">
        <v>164</v>
      </c>
      <c r="C125" s="10"/>
      <c r="D125" s="10"/>
      <c r="E125" s="11" t="s">
        <v>1341</v>
      </c>
      <c r="F125" s="11" t="s">
        <v>30</v>
      </c>
      <c r="G125" s="12" t="s">
        <v>165</v>
      </c>
      <c r="H125" s="13">
        <v>14.06</v>
      </c>
      <c r="I125" s="13">
        <v>4.2300000000000004</v>
      </c>
      <c r="J125" s="13">
        <v>601</v>
      </c>
      <c r="K125" s="13">
        <v>1748</v>
      </c>
      <c r="L125" s="13">
        <v>276</v>
      </c>
      <c r="M125" s="13">
        <v>913</v>
      </c>
      <c r="N125" s="13">
        <v>1274</v>
      </c>
      <c r="O125" s="13">
        <v>263</v>
      </c>
      <c r="P125" s="13">
        <v>60.8</v>
      </c>
      <c r="Q125" s="13">
        <v>262</v>
      </c>
      <c r="R125" s="13">
        <v>31.5</v>
      </c>
      <c r="S125" s="13">
        <v>171</v>
      </c>
      <c r="T125" s="13">
        <v>780</v>
      </c>
      <c r="U125" s="13">
        <v>29.1</v>
      </c>
      <c r="V125" s="13">
        <v>65.5</v>
      </c>
      <c r="W125" s="13">
        <v>7.3</v>
      </c>
      <c r="X125" s="13">
        <v>40.700000000000003</v>
      </c>
      <c r="Y125" s="13">
        <v>5.59</v>
      </c>
      <c r="Z125" s="13"/>
      <c r="AA125" s="13">
        <v>17</v>
      </c>
      <c r="AB125" s="13"/>
      <c r="AC125" s="14">
        <v>1777.0270270270271</v>
      </c>
      <c r="AD125" s="14">
        <v>1079.9289520426289</v>
      </c>
      <c r="AE125" s="14">
        <v>1316.5829145728642</v>
      </c>
      <c r="AF125" s="14">
        <v>872.57617728531852</v>
      </c>
      <c r="AG125" s="15">
        <v>0.69816749521055188</v>
      </c>
      <c r="AH125" s="15">
        <v>0.70603147177415981</v>
      </c>
      <c r="AI125" s="15">
        <v>0.7703085388748776</v>
      </c>
      <c r="AJ125" s="41">
        <f t="shared" si="2"/>
        <v>3899</v>
      </c>
      <c r="AK125" s="44">
        <f t="shared" si="3"/>
        <v>1.1705128205128206</v>
      </c>
      <c r="AL125" s="10"/>
      <c r="AM125" s="10"/>
    </row>
    <row r="126" spans="1:39" s="16" customFormat="1" ht="19" customHeight="1">
      <c r="A126" s="9" t="s">
        <v>166</v>
      </c>
      <c r="B126" s="10" t="s">
        <v>164</v>
      </c>
      <c r="C126" s="10"/>
      <c r="D126" s="10"/>
      <c r="E126" s="11" t="s">
        <v>1341</v>
      </c>
      <c r="F126" s="11" t="s">
        <v>30</v>
      </c>
      <c r="G126" s="12" t="s">
        <v>165</v>
      </c>
      <c r="H126" s="13">
        <v>9.27</v>
      </c>
      <c r="I126" s="13">
        <v>2.54</v>
      </c>
      <c r="J126" s="13">
        <v>660</v>
      </c>
      <c r="K126" s="13">
        <v>1692</v>
      </c>
      <c r="L126" s="13">
        <v>268</v>
      </c>
      <c r="M126" s="13">
        <v>856</v>
      </c>
      <c r="N126" s="13">
        <v>1142</v>
      </c>
      <c r="O126" s="13">
        <v>225</v>
      </c>
      <c r="P126" s="13">
        <v>51.5</v>
      </c>
      <c r="Q126" s="13">
        <v>226</v>
      </c>
      <c r="R126" s="13">
        <v>27</v>
      </c>
      <c r="S126" s="13">
        <v>147</v>
      </c>
      <c r="T126" s="13">
        <v>733</v>
      </c>
      <c r="U126" s="13">
        <v>25.8</v>
      </c>
      <c r="V126" s="13">
        <v>61.3</v>
      </c>
      <c r="W126" s="13">
        <v>7.1</v>
      </c>
      <c r="X126" s="13">
        <v>39.200000000000003</v>
      </c>
      <c r="Y126" s="13">
        <v>5.16</v>
      </c>
      <c r="Z126" s="13"/>
      <c r="AA126" s="13">
        <v>38</v>
      </c>
      <c r="AB126" s="13"/>
      <c r="AC126" s="14">
        <v>1520.2702702702704</v>
      </c>
      <c r="AD126" s="14">
        <v>914.74245115452936</v>
      </c>
      <c r="AE126" s="14">
        <v>1135.678391959799</v>
      </c>
      <c r="AF126" s="14">
        <v>747.92243767313016</v>
      </c>
      <c r="AG126" s="15">
        <v>0.68882540100490131</v>
      </c>
      <c r="AH126" s="15">
        <v>0.69616270182988471</v>
      </c>
      <c r="AI126" s="15">
        <v>0.76219502889197344</v>
      </c>
      <c r="AJ126" s="41">
        <f t="shared" si="2"/>
        <v>3762</v>
      </c>
      <c r="AK126" s="44">
        <f t="shared" si="3"/>
        <v>1.1678035470668486</v>
      </c>
      <c r="AL126" s="10"/>
      <c r="AM126" s="10"/>
    </row>
    <row r="127" spans="1:39" s="16" customFormat="1" ht="19" customHeight="1">
      <c r="A127" s="9" t="s">
        <v>167</v>
      </c>
      <c r="B127" s="10" t="s">
        <v>164</v>
      </c>
      <c r="C127" s="10"/>
      <c r="D127" s="10"/>
      <c r="E127" s="11" t="s">
        <v>1341</v>
      </c>
      <c r="F127" s="11" t="s">
        <v>30</v>
      </c>
      <c r="G127" s="12" t="s">
        <v>165</v>
      </c>
      <c r="H127" s="13">
        <v>3.12</v>
      </c>
      <c r="I127" s="13">
        <v>0.91</v>
      </c>
      <c r="J127" s="13">
        <v>747</v>
      </c>
      <c r="K127" s="13">
        <v>2036</v>
      </c>
      <c r="L127" s="13">
        <v>290</v>
      </c>
      <c r="M127" s="13">
        <v>777</v>
      </c>
      <c r="N127" s="13">
        <v>1215</v>
      </c>
      <c r="O127" s="13">
        <v>225</v>
      </c>
      <c r="P127" s="13">
        <v>30.8</v>
      </c>
      <c r="Q127" s="13">
        <v>213</v>
      </c>
      <c r="R127" s="13">
        <v>25.9</v>
      </c>
      <c r="S127" s="13">
        <v>149</v>
      </c>
      <c r="T127" s="13">
        <v>785</v>
      </c>
      <c r="U127" s="13">
        <v>26.7</v>
      </c>
      <c r="V127" s="13">
        <v>66.7</v>
      </c>
      <c r="W127" s="13">
        <v>7.8</v>
      </c>
      <c r="X127" s="13">
        <v>42.5</v>
      </c>
      <c r="Y127" s="13">
        <v>5.56</v>
      </c>
      <c r="Z127" s="13"/>
      <c r="AA127" s="13">
        <v>27</v>
      </c>
      <c r="AB127" s="13"/>
      <c r="AC127" s="14">
        <v>1520.2702702702704</v>
      </c>
      <c r="AD127" s="14">
        <v>547.06927175843703</v>
      </c>
      <c r="AE127" s="14">
        <v>1070.3517587939698</v>
      </c>
      <c r="AF127" s="14">
        <v>717.45152354570632</v>
      </c>
      <c r="AG127" s="15">
        <v>0.42234588112110211</v>
      </c>
      <c r="AH127" s="15">
        <v>0.42886307655074279</v>
      </c>
      <c r="AI127" s="15">
        <v>0.46220105532749783</v>
      </c>
      <c r="AJ127" s="41">
        <f t="shared" si="2"/>
        <v>4288</v>
      </c>
      <c r="AK127" s="44">
        <f t="shared" si="3"/>
        <v>0.98980891719745223</v>
      </c>
      <c r="AL127" s="10"/>
      <c r="AM127" s="10"/>
    </row>
    <row r="128" spans="1:39" s="16" customFormat="1" ht="19" customHeight="1">
      <c r="A128" s="9" t="s">
        <v>168</v>
      </c>
      <c r="B128" s="10" t="s">
        <v>1356</v>
      </c>
      <c r="C128" s="10"/>
      <c r="D128" s="10"/>
      <c r="E128" s="11" t="s">
        <v>1341</v>
      </c>
      <c r="F128" s="11" t="s">
        <v>30</v>
      </c>
      <c r="G128" s="12" t="s">
        <v>165</v>
      </c>
      <c r="H128" s="13">
        <v>7.31</v>
      </c>
      <c r="I128" s="13">
        <v>1.59</v>
      </c>
      <c r="J128" s="13">
        <v>697</v>
      </c>
      <c r="K128" s="13">
        <v>1934</v>
      </c>
      <c r="L128" s="13">
        <v>299</v>
      </c>
      <c r="M128" s="13">
        <v>857</v>
      </c>
      <c r="N128" s="13">
        <v>1253</v>
      </c>
      <c r="O128" s="13">
        <v>248</v>
      </c>
      <c r="P128" s="13">
        <v>59.1</v>
      </c>
      <c r="Q128" s="13">
        <v>258</v>
      </c>
      <c r="R128" s="13">
        <v>31.1</v>
      </c>
      <c r="S128" s="13">
        <v>166</v>
      </c>
      <c r="T128" s="13">
        <v>824</v>
      </c>
      <c r="U128" s="13">
        <v>28.9</v>
      </c>
      <c r="V128" s="13">
        <v>68.900000000000006</v>
      </c>
      <c r="W128" s="13">
        <v>7.8</v>
      </c>
      <c r="X128" s="13">
        <v>40.5</v>
      </c>
      <c r="Y128" s="13">
        <v>5.35</v>
      </c>
      <c r="Z128" s="13"/>
      <c r="AA128" s="13">
        <v>21</v>
      </c>
      <c r="AB128" s="13"/>
      <c r="AC128" s="14">
        <v>1675.6756756756758</v>
      </c>
      <c r="AD128" s="14">
        <v>1049.7335701598581</v>
      </c>
      <c r="AE128" s="14">
        <v>1296.4824120603014</v>
      </c>
      <c r="AF128" s="14">
        <v>861.49584487534628</v>
      </c>
      <c r="AG128" s="15">
        <v>0.70637801837753922</v>
      </c>
      <c r="AH128" s="15">
        <v>0.71219806360623417</v>
      </c>
      <c r="AI128" s="15">
        <v>0.78199032583938033</v>
      </c>
      <c r="AJ128" s="41">
        <f t="shared" si="2"/>
        <v>4183</v>
      </c>
      <c r="AK128" s="44">
        <f t="shared" si="3"/>
        <v>1.0400485436893203</v>
      </c>
      <c r="AL128" s="10"/>
      <c r="AM128" s="10"/>
    </row>
    <row r="129" spans="1:39" s="16" customFormat="1" ht="19" customHeight="1">
      <c r="A129" s="9" t="s">
        <v>169</v>
      </c>
      <c r="B129" s="10" t="s">
        <v>1356</v>
      </c>
      <c r="C129" s="10"/>
      <c r="D129" s="10"/>
      <c r="E129" s="11" t="s">
        <v>1341</v>
      </c>
      <c r="F129" s="11" t="s">
        <v>30</v>
      </c>
      <c r="G129" s="12" t="s">
        <v>165</v>
      </c>
      <c r="H129" s="13">
        <v>5</v>
      </c>
      <c r="I129" s="13">
        <v>1.08</v>
      </c>
      <c r="J129" s="13">
        <v>370</v>
      </c>
      <c r="K129" s="13">
        <v>896</v>
      </c>
      <c r="L129" s="13">
        <v>139</v>
      </c>
      <c r="M129" s="13">
        <v>526</v>
      </c>
      <c r="N129" s="13">
        <v>685</v>
      </c>
      <c r="O129" s="13">
        <v>152</v>
      </c>
      <c r="P129" s="13">
        <v>38.6</v>
      </c>
      <c r="Q129" s="13">
        <v>162</v>
      </c>
      <c r="R129" s="13">
        <v>19.5</v>
      </c>
      <c r="S129" s="13">
        <v>110</v>
      </c>
      <c r="T129" s="13">
        <v>631</v>
      </c>
      <c r="U129" s="13">
        <v>19.100000000000001</v>
      </c>
      <c r="V129" s="13">
        <v>45.6</v>
      </c>
      <c r="W129" s="13">
        <v>5.3</v>
      </c>
      <c r="X129" s="13">
        <v>28.2</v>
      </c>
      <c r="Y129" s="13">
        <v>3.82</v>
      </c>
      <c r="Z129" s="13"/>
      <c r="AA129" s="13">
        <v>15</v>
      </c>
      <c r="AB129" s="13"/>
      <c r="AC129" s="14">
        <v>1027.0270270270271</v>
      </c>
      <c r="AD129" s="14">
        <v>685.6127886323269</v>
      </c>
      <c r="AE129" s="14">
        <v>814.07035175879389</v>
      </c>
      <c r="AF129" s="14">
        <v>540.16620498614964</v>
      </c>
      <c r="AG129" s="15">
        <v>0.7447870998376841</v>
      </c>
      <c r="AH129" s="15">
        <v>0.7498199728463969</v>
      </c>
      <c r="AI129" s="15">
        <v>0.82701843774921213</v>
      </c>
      <c r="AJ129" s="41">
        <f t="shared" si="2"/>
        <v>2090</v>
      </c>
      <c r="AK129" s="44">
        <f t="shared" si="3"/>
        <v>0.83359746434231374</v>
      </c>
      <c r="AL129" s="10"/>
      <c r="AM129" s="10"/>
    </row>
    <row r="130" spans="1:39" s="16" customFormat="1" ht="19" customHeight="1">
      <c r="A130" s="9" t="s">
        <v>170</v>
      </c>
      <c r="B130" s="10" t="s">
        <v>1356</v>
      </c>
      <c r="C130" s="10"/>
      <c r="D130" s="10"/>
      <c r="E130" s="11" t="s">
        <v>1341</v>
      </c>
      <c r="F130" s="11" t="s">
        <v>30</v>
      </c>
      <c r="G130" s="12" t="s">
        <v>165</v>
      </c>
      <c r="H130" s="13">
        <v>5.62</v>
      </c>
      <c r="I130" s="13">
        <v>1.24</v>
      </c>
      <c r="J130" s="13">
        <v>564</v>
      </c>
      <c r="K130" s="13">
        <v>1470</v>
      </c>
      <c r="L130" s="13">
        <v>228</v>
      </c>
      <c r="M130" s="13">
        <v>982</v>
      </c>
      <c r="N130" s="13">
        <v>974</v>
      </c>
      <c r="O130" s="13">
        <v>201</v>
      </c>
      <c r="P130" s="13">
        <v>64.2</v>
      </c>
      <c r="Q130" s="13">
        <v>217</v>
      </c>
      <c r="R130" s="13">
        <v>26.3</v>
      </c>
      <c r="S130" s="13">
        <v>139</v>
      </c>
      <c r="T130" s="13">
        <v>647</v>
      </c>
      <c r="U130" s="13">
        <v>23.8</v>
      </c>
      <c r="V130" s="13">
        <v>58.4</v>
      </c>
      <c r="W130" s="13">
        <v>6.3</v>
      </c>
      <c r="X130" s="13">
        <v>33.200000000000003</v>
      </c>
      <c r="Y130" s="13">
        <v>4.2300000000000004</v>
      </c>
      <c r="Z130" s="13"/>
      <c r="AA130" s="13">
        <v>24</v>
      </c>
      <c r="AB130" s="13"/>
      <c r="AC130" s="14">
        <v>1358.1081081081081</v>
      </c>
      <c r="AD130" s="14">
        <v>1140.3197158081707</v>
      </c>
      <c r="AE130" s="14">
        <v>1090.4522613065326</v>
      </c>
      <c r="AF130" s="14">
        <v>728.53185595567868</v>
      </c>
      <c r="AG130" s="15">
        <v>0.93142054413040964</v>
      </c>
      <c r="AH130" s="15">
        <v>0.93703569170175238</v>
      </c>
      <c r="AI130" s="15">
        <v>1.0333661311128886</v>
      </c>
      <c r="AJ130" s="41">
        <f t="shared" si="2"/>
        <v>3236</v>
      </c>
      <c r="AK130" s="44">
        <f t="shared" si="3"/>
        <v>1.517774343122102</v>
      </c>
      <c r="AL130" s="10"/>
      <c r="AM130" s="10"/>
    </row>
    <row r="131" spans="1:39" s="16" customFormat="1" ht="19" customHeight="1">
      <c r="A131" s="9" t="s">
        <v>171</v>
      </c>
      <c r="B131" s="10" t="s">
        <v>1356</v>
      </c>
      <c r="C131" s="10"/>
      <c r="D131" s="10"/>
      <c r="E131" s="11" t="s">
        <v>1341</v>
      </c>
      <c r="F131" s="11" t="s">
        <v>30</v>
      </c>
      <c r="G131" s="12" t="s">
        <v>165</v>
      </c>
      <c r="H131" s="13">
        <v>5.52</v>
      </c>
      <c r="I131" s="13">
        <v>0.98</v>
      </c>
      <c r="J131" s="13">
        <v>496</v>
      </c>
      <c r="K131" s="13">
        <v>1101</v>
      </c>
      <c r="L131" s="13">
        <v>185</v>
      </c>
      <c r="M131" s="13">
        <v>865</v>
      </c>
      <c r="N131" s="13">
        <v>902</v>
      </c>
      <c r="O131" s="13">
        <v>192</v>
      </c>
      <c r="P131" s="13">
        <v>48</v>
      </c>
      <c r="Q131" s="13">
        <v>203</v>
      </c>
      <c r="R131" s="13">
        <v>24.8</v>
      </c>
      <c r="S131" s="13">
        <v>141</v>
      </c>
      <c r="T131" s="13">
        <v>738</v>
      </c>
      <c r="U131" s="13">
        <v>25</v>
      </c>
      <c r="V131" s="13">
        <v>60.1</v>
      </c>
      <c r="W131" s="13">
        <v>7</v>
      </c>
      <c r="X131" s="13">
        <v>37.6</v>
      </c>
      <c r="Y131" s="13">
        <v>5.0599999999999996</v>
      </c>
      <c r="Z131" s="13"/>
      <c r="AA131" s="13">
        <v>17</v>
      </c>
      <c r="AB131" s="13"/>
      <c r="AC131" s="14">
        <v>1297.2972972972973</v>
      </c>
      <c r="AD131" s="14">
        <v>852.57548845470694</v>
      </c>
      <c r="AE131" s="14">
        <v>1020.1005025125628</v>
      </c>
      <c r="AF131" s="14">
        <v>686.9806094182826</v>
      </c>
      <c r="AG131" s="15">
        <v>0.7358041752906298</v>
      </c>
      <c r="AH131" s="15">
        <v>0.74112524192278362</v>
      </c>
      <c r="AI131" s="15">
        <v>0.81231600024453976</v>
      </c>
      <c r="AJ131" s="41">
        <f t="shared" si="2"/>
        <v>2684</v>
      </c>
      <c r="AK131" s="44">
        <f t="shared" si="3"/>
        <v>1.1720867208672088</v>
      </c>
      <c r="AL131" s="10"/>
      <c r="AM131" s="10"/>
    </row>
    <row r="132" spans="1:39" s="16" customFormat="1" ht="19" customHeight="1">
      <c r="A132" s="9" t="s">
        <v>172</v>
      </c>
      <c r="B132" s="10" t="s">
        <v>1356</v>
      </c>
      <c r="C132" s="10"/>
      <c r="D132" s="10"/>
      <c r="E132" s="11" t="s">
        <v>1341</v>
      </c>
      <c r="F132" s="11" t="s">
        <v>30</v>
      </c>
      <c r="G132" s="12" t="s">
        <v>165</v>
      </c>
      <c r="H132" s="13">
        <v>4.76</v>
      </c>
      <c r="I132" s="13">
        <v>1.47</v>
      </c>
      <c r="J132" s="13">
        <v>400</v>
      </c>
      <c r="K132" s="13">
        <v>1102</v>
      </c>
      <c r="L132" s="13">
        <v>170</v>
      </c>
      <c r="M132" s="13">
        <v>704</v>
      </c>
      <c r="N132" s="13">
        <v>772</v>
      </c>
      <c r="O132" s="13">
        <v>163</v>
      </c>
      <c r="P132" s="13">
        <v>46.2</v>
      </c>
      <c r="Q132" s="13">
        <v>171</v>
      </c>
      <c r="R132" s="13">
        <v>20.5</v>
      </c>
      <c r="S132" s="13">
        <v>117</v>
      </c>
      <c r="T132" s="13">
        <v>585</v>
      </c>
      <c r="U132" s="13">
        <v>20.399999999999999</v>
      </c>
      <c r="V132" s="13">
        <v>49.7</v>
      </c>
      <c r="W132" s="13">
        <v>5.8</v>
      </c>
      <c r="X132" s="13">
        <v>32</v>
      </c>
      <c r="Y132" s="13">
        <v>4.29</v>
      </c>
      <c r="Z132" s="13"/>
      <c r="AA132" s="13">
        <v>12</v>
      </c>
      <c r="AB132" s="13"/>
      <c r="AC132" s="14">
        <v>1101.3513513513515</v>
      </c>
      <c r="AD132" s="14">
        <v>820.60390763765554</v>
      </c>
      <c r="AE132" s="14">
        <v>859.2964824120603</v>
      </c>
      <c r="AF132" s="14">
        <v>567.86703601108036</v>
      </c>
      <c r="AG132" s="15">
        <v>0.83707425015998727</v>
      </c>
      <c r="AH132" s="15">
        <v>0.84352725437046072</v>
      </c>
      <c r="AI132" s="15">
        <v>0.92918195827911421</v>
      </c>
      <c r="AJ132" s="41">
        <f t="shared" si="2"/>
        <v>2444</v>
      </c>
      <c r="AK132" s="44">
        <f t="shared" si="3"/>
        <v>1.2034188034188034</v>
      </c>
      <c r="AL132" s="10"/>
      <c r="AM132" s="10"/>
    </row>
    <row r="133" spans="1:39" s="16" customFormat="1" ht="19" customHeight="1">
      <c r="A133" s="9" t="s">
        <v>173</v>
      </c>
      <c r="B133" s="10" t="s">
        <v>137</v>
      </c>
      <c r="C133" s="10"/>
      <c r="D133" s="10"/>
      <c r="E133" s="11" t="s">
        <v>1341</v>
      </c>
      <c r="F133" s="11" t="s">
        <v>30</v>
      </c>
      <c r="G133" s="12" t="s">
        <v>165</v>
      </c>
      <c r="H133" s="13">
        <v>4.87</v>
      </c>
      <c r="I133" s="13">
        <v>1.18</v>
      </c>
      <c r="J133" s="13">
        <v>479</v>
      </c>
      <c r="K133" s="13">
        <v>1203</v>
      </c>
      <c r="L133" s="13">
        <v>197</v>
      </c>
      <c r="M133" s="13">
        <v>1087</v>
      </c>
      <c r="N133" s="13">
        <v>940</v>
      </c>
      <c r="O133" s="13">
        <v>200</v>
      </c>
      <c r="P133" s="13">
        <v>62.5</v>
      </c>
      <c r="Q133" s="13">
        <v>209</v>
      </c>
      <c r="R133" s="13">
        <v>24.9</v>
      </c>
      <c r="S133" s="13">
        <v>137</v>
      </c>
      <c r="T133" s="13">
        <v>671</v>
      </c>
      <c r="U133" s="13">
        <v>23.6</v>
      </c>
      <c r="V133" s="13">
        <v>56.4</v>
      </c>
      <c r="W133" s="13">
        <v>6.4</v>
      </c>
      <c r="X133" s="13">
        <v>35</v>
      </c>
      <c r="Y133" s="13">
        <v>4.74</v>
      </c>
      <c r="Z133" s="13"/>
      <c r="AA133" s="13">
        <v>16</v>
      </c>
      <c r="AB133" s="13"/>
      <c r="AC133" s="14">
        <v>1351.3513513513515</v>
      </c>
      <c r="AD133" s="14">
        <v>1110.1243339253997</v>
      </c>
      <c r="AE133" s="14">
        <v>1050.251256281407</v>
      </c>
      <c r="AF133" s="14">
        <v>689.7506925207756</v>
      </c>
      <c r="AG133" s="15">
        <v>0.92448628294890212</v>
      </c>
      <c r="AH133" s="15">
        <v>0.93183898843093604</v>
      </c>
      <c r="AI133" s="15">
        <v>1.027926480784181</v>
      </c>
      <c r="AJ133" s="41">
        <f t="shared" si="2"/>
        <v>2819</v>
      </c>
      <c r="AK133" s="44">
        <f t="shared" si="3"/>
        <v>1.6199701937406856</v>
      </c>
      <c r="AL133" s="10"/>
      <c r="AM133" s="10"/>
    </row>
    <row r="134" spans="1:39" s="16" customFormat="1" ht="19" customHeight="1">
      <c r="A134" s="9" t="s">
        <v>174</v>
      </c>
      <c r="B134" s="10" t="s">
        <v>137</v>
      </c>
      <c r="C134" s="10"/>
      <c r="D134" s="10"/>
      <c r="E134" s="11" t="s">
        <v>1341</v>
      </c>
      <c r="F134" s="11" t="s">
        <v>30</v>
      </c>
      <c r="G134" s="12" t="s">
        <v>165</v>
      </c>
      <c r="H134" s="13">
        <v>2.25</v>
      </c>
      <c r="I134" s="13">
        <v>0.72</v>
      </c>
      <c r="J134" s="13">
        <v>248</v>
      </c>
      <c r="K134" s="13">
        <v>781</v>
      </c>
      <c r="L134" s="13">
        <v>116</v>
      </c>
      <c r="M134" s="13">
        <v>758</v>
      </c>
      <c r="N134" s="13">
        <v>530</v>
      </c>
      <c r="O134" s="13">
        <v>114</v>
      </c>
      <c r="P134" s="13">
        <v>41.3</v>
      </c>
      <c r="Q134" s="13">
        <v>116</v>
      </c>
      <c r="R134" s="13">
        <v>13.4</v>
      </c>
      <c r="S134" s="13">
        <v>72</v>
      </c>
      <c r="T134" s="13">
        <v>352</v>
      </c>
      <c r="U134" s="13">
        <v>12.1</v>
      </c>
      <c r="V134" s="13">
        <v>27.6</v>
      </c>
      <c r="W134" s="13">
        <v>3.1</v>
      </c>
      <c r="X134" s="13">
        <v>16.5</v>
      </c>
      <c r="Y134" s="13">
        <v>2.15</v>
      </c>
      <c r="Z134" s="13"/>
      <c r="AA134" s="13">
        <v>10</v>
      </c>
      <c r="AB134" s="13"/>
      <c r="AC134" s="14">
        <v>770.27027027027032</v>
      </c>
      <c r="AD134" s="14">
        <v>733.57015985790406</v>
      </c>
      <c r="AE134" s="14">
        <v>582.9145728643216</v>
      </c>
      <c r="AF134" s="14">
        <v>371.19113573407202</v>
      </c>
      <c r="AG134" s="15">
        <v>1.0842127941052335</v>
      </c>
      <c r="AH134" s="15">
        <v>1.0947567520182686</v>
      </c>
      <c r="AI134" s="15">
        <v>1.2147317070533477</v>
      </c>
      <c r="AJ134" s="41">
        <f t="shared" ref="AJ134:AJ197" si="4">J134+K134+L134+N134</f>
        <v>1675</v>
      </c>
      <c r="AK134" s="44">
        <f t="shared" ref="AK134:AK197" si="5">M134/T134</f>
        <v>2.1534090909090908</v>
      </c>
      <c r="AL134" s="10"/>
      <c r="AM134" s="10"/>
    </row>
    <row r="135" spans="1:39" s="16" customFormat="1" ht="19" customHeight="1">
      <c r="A135" s="9" t="s">
        <v>175</v>
      </c>
      <c r="B135" s="10" t="s">
        <v>137</v>
      </c>
      <c r="C135" s="10"/>
      <c r="D135" s="10"/>
      <c r="E135" s="11" t="s">
        <v>1341</v>
      </c>
      <c r="F135" s="11" t="s">
        <v>30</v>
      </c>
      <c r="G135" s="12" t="s">
        <v>165</v>
      </c>
      <c r="H135" s="13">
        <v>2.84</v>
      </c>
      <c r="I135" s="13">
        <v>0.73</v>
      </c>
      <c r="J135" s="13">
        <v>320</v>
      </c>
      <c r="K135" s="13">
        <v>769</v>
      </c>
      <c r="L135" s="13">
        <v>154</v>
      </c>
      <c r="M135" s="13">
        <v>855</v>
      </c>
      <c r="N135" s="13">
        <v>718</v>
      </c>
      <c r="O135" s="13">
        <v>155</v>
      </c>
      <c r="P135" s="13">
        <v>54.3</v>
      </c>
      <c r="Q135" s="13">
        <v>156</v>
      </c>
      <c r="R135" s="13">
        <v>18.8</v>
      </c>
      <c r="S135" s="13">
        <v>98</v>
      </c>
      <c r="T135" s="13">
        <v>463</v>
      </c>
      <c r="U135" s="13">
        <v>16.600000000000001</v>
      </c>
      <c r="V135" s="13">
        <v>38</v>
      </c>
      <c r="W135" s="13">
        <v>4</v>
      </c>
      <c r="X135" s="13">
        <v>20.8</v>
      </c>
      <c r="Y135" s="13">
        <v>2.68</v>
      </c>
      <c r="Z135" s="13"/>
      <c r="AA135" s="13">
        <v>16</v>
      </c>
      <c r="AB135" s="13"/>
      <c r="AC135" s="14">
        <v>1047.2972972972973</v>
      </c>
      <c r="AD135" s="14">
        <v>964.47602131438725</v>
      </c>
      <c r="AE135" s="14">
        <v>783.91959798994969</v>
      </c>
      <c r="AF135" s="14">
        <v>520.77562326869804</v>
      </c>
      <c r="AG135" s="15">
        <v>1.0533716937589725</v>
      </c>
      <c r="AH135" s="15">
        <v>1.0644387649114719</v>
      </c>
      <c r="AI135" s="15">
        <v>1.1624150674247722</v>
      </c>
      <c r="AJ135" s="41">
        <f t="shared" si="4"/>
        <v>1961</v>
      </c>
      <c r="AK135" s="44">
        <f t="shared" si="5"/>
        <v>1.8466522678185746</v>
      </c>
      <c r="AL135" s="10"/>
      <c r="AM135" s="10"/>
    </row>
    <row r="136" spans="1:39" s="16" customFormat="1" ht="19" customHeight="1">
      <c r="A136" s="9" t="s">
        <v>176</v>
      </c>
      <c r="B136" s="10" t="s">
        <v>137</v>
      </c>
      <c r="C136" s="10"/>
      <c r="D136" s="10"/>
      <c r="E136" s="11" t="s">
        <v>1341</v>
      </c>
      <c r="F136" s="11" t="s">
        <v>30</v>
      </c>
      <c r="G136" s="12" t="s">
        <v>165</v>
      </c>
      <c r="H136" s="13">
        <v>3.24</v>
      </c>
      <c r="I136" s="13">
        <v>0.56000000000000005</v>
      </c>
      <c r="J136" s="13">
        <v>282</v>
      </c>
      <c r="K136" s="13">
        <v>695</v>
      </c>
      <c r="L136" s="13">
        <v>117</v>
      </c>
      <c r="M136" s="13">
        <v>621</v>
      </c>
      <c r="N136" s="13">
        <v>595</v>
      </c>
      <c r="O136" s="13">
        <v>135</v>
      </c>
      <c r="P136" s="13">
        <v>42.7</v>
      </c>
      <c r="Q136" s="13">
        <v>47</v>
      </c>
      <c r="R136" s="13">
        <v>17.3</v>
      </c>
      <c r="S136" s="13">
        <v>96</v>
      </c>
      <c r="T136" s="13">
        <v>459</v>
      </c>
      <c r="U136" s="13">
        <v>16.3</v>
      </c>
      <c r="V136" s="13">
        <v>37.700000000000003</v>
      </c>
      <c r="W136" s="13">
        <v>4.2</v>
      </c>
      <c r="X136" s="13">
        <v>21.9</v>
      </c>
      <c r="Y136" s="13">
        <v>2.93</v>
      </c>
      <c r="Z136" s="13"/>
      <c r="AA136" s="13">
        <v>10</v>
      </c>
      <c r="AB136" s="13"/>
      <c r="AC136" s="14">
        <v>912.16216216216219</v>
      </c>
      <c r="AD136" s="14">
        <v>758.43694493783312</v>
      </c>
      <c r="AE136" s="14">
        <v>236.18090452261305</v>
      </c>
      <c r="AF136" s="14">
        <v>479.22437673130196</v>
      </c>
      <c r="AG136" s="15">
        <v>1.3209239763643335</v>
      </c>
      <c r="AH136" s="15">
        <v>1.6340339022915109</v>
      </c>
      <c r="AI136" s="15">
        <v>1.030445779157503</v>
      </c>
      <c r="AJ136" s="41">
        <f t="shared" si="4"/>
        <v>1689</v>
      </c>
      <c r="AK136" s="44">
        <f t="shared" si="5"/>
        <v>1.3529411764705883</v>
      </c>
      <c r="AL136" s="10"/>
      <c r="AM136" s="10"/>
    </row>
    <row r="137" spans="1:39" s="16" customFormat="1" ht="19" customHeight="1">
      <c r="A137" s="9" t="s">
        <v>177</v>
      </c>
      <c r="B137" s="10" t="s">
        <v>178</v>
      </c>
      <c r="C137" s="10"/>
      <c r="D137" s="10"/>
      <c r="E137" s="20" t="s">
        <v>141</v>
      </c>
      <c r="F137" s="20" t="s">
        <v>30</v>
      </c>
      <c r="G137" s="12" t="s">
        <v>179</v>
      </c>
      <c r="H137" s="13"/>
      <c r="I137" s="13"/>
      <c r="J137" s="13">
        <v>5</v>
      </c>
      <c r="K137" s="13">
        <v>31</v>
      </c>
      <c r="L137" s="13">
        <v>5</v>
      </c>
      <c r="M137" s="13"/>
      <c r="N137" s="13">
        <v>21.2</v>
      </c>
      <c r="O137" s="13">
        <v>7.2</v>
      </c>
      <c r="P137" s="13">
        <v>6.5</v>
      </c>
      <c r="Q137" s="13">
        <v>9.1999999999999993</v>
      </c>
      <c r="R137" s="13">
        <v>1.6</v>
      </c>
      <c r="S137" s="13">
        <v>8.9</v>
      </c>
      <c r="T137" s="13"/>
      <c r="U137" s="13">
        <v>2.1</v>
      </c>
      <c r="V137" s="13">
        <v>7.1</v>
      </c>
      <c r="W137" s="13">
        <v>1.2</v>
      </c>
      <c r="X137" s="13">
        <v>8.5</v>
      </c>
      <c r="Y137" s="13">
        <v>1.5</v>
      </c>
      <c r="Z137" s="13"/>
      <c r="AA137" s="13"/>
      <c r="AB137" s="13"/>
      <c r="AC137" s="14">
        <v>48.648648648648653</v>
      </c>
      <c r="AD137" s="14">
        <v>115.45293072824157</v>
      </c>
      <c r="AE137" s="14">
        <v>46.231155778894468</v>
      </c>
      <c r="AF137" s="14">
        <v>44.3213296398892</v>
      </c>
      <c r="AG137" s="15">
        <v>2.4336671312683729</v>
      </c>
      <c r="AH137" s="15">
        <v>2.4344574923483977</v>
      </c>
      <c r="AI137" s="15">
        <v>2.4480494207644545</v>
      </c>
      <c r="AJ137" s="41">
        <f t="shared" si="4"/>
        <v>62.2</v>
      </c>
      <c r="AK137" s="44"/>
      <c r="AL137" s="10"/>
      <c r="AM137" s="10"/>
    </row>
    <row r="138" spans="1:39" s="16" customFormat="1" ht="19" customHeight="1">
      <c r="A138" s="9" t="s">
        <v>180</v>
      </c>
      <c r="B138" s="10" t="s">
        <v>178</v>
      </c>
      <c r="C138" s="10"/>
      <c r="D138" s="10"/>
      <c r="E138" s="20" t="s">
        <v>141</v>
      </c>
      <c r="F138" s="20" t="s">
        <v>30</v>
      </c>
      <c r="G138" s="12" t="s">
        <v>179</v>
      </c>
      <c r="H138" s="13"/>
      <c r="I138" s="13"/>
      <c r="J138" s="13">
        <v>3.7</v>
      </c>
      <c r="K138" s="13">
        <v>19.7</v>
      </c>
      <c r="L138" s="13">
        <v>3.9</v>
      </c>
      <c r="M138" s="13"/>
      <c r="N138" s="13">
        <v>19.899999999999999</v>
      </c>
      <c r="O138" s="13">
        <v>7.1</v>
      </c>
      <c r="P138" s="13">
        <v>6.3</v>
      </c>
      <c r="Q138" s="13">
        <v>10.1</v>
      </c>
      <c r="R138" s="13">
        <v>1.7</v>
      </c>
      <c r="S138" s="13">
        <v>10</v>
      </c>
      <c r="T138" s="13"/>
      <c r="U138" s="13">
        <v>2.4</v>
      </c>
      <c r="V138" s="13">
        <v>7.1</v>
      </c>
      <c r="W138" s="13">
        <v>1.2</v>
      </c>
      <c r="X138" s="13">
        <v>8.6999999999999993</v>
      </c>
      <c r="Y138" s="13">
        <v>1.6</v>
      </c>
      <c r="Z138" s="13"/>
      <c r="AA138" s="13"/>
      <c r="AB138" s="13"/>
      <c r="AC138" s="14">
        <v>47.972972972972975</v>
      </c>
      <c r="AD138" s="14">
        <v>111.90053285968028</v>
      </c>
      <c r="AE138" s="14">
        <v>50.753768844221099</v>
      </c>
      <c r="AF138" s="14">
        <v>47.091412742382268</v>
      </c>
      <c r="AG138" s="15">
        <v>2.2668738135181097</v>
      </c>
      <c r="AH138" s="15">
        <v>2.2677735689298375</v>
      </c>
      <c r="AI138" s="15">
        <v>2.3470400080998495</v>
      </c>
      <c r="AJ138" s="41">
        <f t="shared" si="4"/>
        <v>47.199999999999996</v>
      </c>
      <c r="AK138" s="44"/>
      <c r="AL138" s="10"/>
      <c r="AM138" s="10"/>
    </row>
    <row r="139" spans="1:39" s="16" customFormat="1" ht="19" customHeight="1">
      <c r="A139" s="9" t="s">
        <v>181</v>
      </c>
      <c r="B139" s="10" t="s">
        <v>182</v>
      </c>
      <c r="C139" s="10"/>
      <c r="D139" s="10"/>
      <c r="E139" s="18" t="s">
        <v>183</v>
      </c>
      <c r="F139" s="18" t="s">
        <v>30</v>
      </c>
      <c r="G139" s="12" t="s">
        <v>179</v>
      </c>
      <c r="H139" s="13"/>
      <c r="I139" s="13"/>
      <c r="J139" s="13">
        <v>5.0999999999999996</v>
      </c>
      <c r="K139" s="13">
        <v>27.6</v>
      </c>
      <c r="L139" s="13">
        <v>5.5</v>
      </c>
      <c r="M139" s="13"/>
      <c r="N139" s="13">
        <v>23.3</v>
      </c>
      <c r="O139" s="13">
        <v>8</v>
      </c>
      <c r="P139" s="13">
        <v>5.6</v>
      </c>
      <c r="Q139" s="13">
        <v>27.6</v>
      </c>
      <c r="R139" s="13">
        <v>8.6</v>
      </c>
      <c r="S139" s="13">
        <v>48.8</v>
      </c>
      <c r="T139" s="13"/>
      <c r="U139" s="13">
        <v>11.2</v>
      </c>
      <c r="V139" s="13">
        <v>28.4</v>
      </c>
      <c r="W139" s="13">
        <v>4.0999999999999996</v>
      </c>
      <c r="X139" s="13">
        <v>18.399999999999999</v>
      </c>
      <c r="Y139" s="13">
        <v>3.1</v>
      </c>
      <c r="Z139" s="13"/>
      <c r="AA139" s="13"/>
      <c r="AB139" s="13"/>
      <c r="AC139" s="14">
        <v>54.054054054054056</v>
      </c>
      <c r="AD139" s="14">
        <v>99.46714031971581</v>
      </c>
      <c r="AE139" s="14">
        <v>138.69346733668343</v>
      </c>
      <c r="AF139" s="14">
        <v>238.22714681440442</v>
      </c>
      <c r="AG139" s="15">
        <v>1.0320977369984039</v>
      </c>
      <c r="AH139" s="15">
        <v>1.1487816599294456</v>
      </c>
      <c r="AI139" s="15">
        <v>1.1223553166344409</v>
      </c>
      <c r="AJ139" s="41">
        <f t="shared" si="4"/>
        <v>61.5</v>
      </c>
      <c r="AK139" s="44"/>
      <c r="AL139" s="10"/>
      <c r="AM139" s="10"/>
    </row>
    <row r="140" spans="1:39" s="16" customFormat="1" ht="19" customHeight="1">
      <c r="A140" s="9" t="s">
        <v>184</v>
      </c>
      <c r="B140" s="10" t="s">
        <v>182</v>
      </c>
      <c r="C140" s="10"/>
      <c r="D140" s="10"/>
      <c r="E140" s="18" t="s">
        <v>183</v>
      </c>
      <c r="F140" s="18" t="s">
        <v>30</v>
      </c>
      <c r="G140" s="12" t="s">
        <v>179</v>
      </c>
      <c r="H140" s="13"/>
      <c r="I140" s="13"/>
      <c r="J140" s="13">
        <v>6.5</v>
      </c>
      <c r="K140" s="13">
        <v>26.6</v>
      </c>
      <c r="L140" s="13">
        <v>4.7</v>
      </c>
      <c r="M140" s="13"/>
      <c r="N140" s="13">
        <v>22.2</v>
      </c>
      <c r="O140" s="13">
        <v>7.3</v>
      </c>
      <c r="P140" s="13">
        <v>4.9000000000000004</v>
      </c>
      <c r="Q140" s="13">
        <v>24.1</v>
      </c>
      <c r="R140" s="13">
        <v>7.2</v>
      </c>
      <c r="S140" s="13">
        <v>43.1</v>
      </c>
      <c r="T140" s="13"/>
      <c r="U140" s="13">
        <v>9.1</v>
      </c>
      <c r="V140" s="13">
        <v>26.8</v>
      </c>
      <c r="W140" s="13">
        <v>3.8</v>
      </c>
      <c r="X140" s="13">
        <v>16.600000000000001</v>
      </c>
      <c r="Y140" s="13">
        <v>2.9</v>
      </c>
      <c r="Z140" s="13"/>
      <c r="AA140" s="13"/>
      <c r="AB140" s="13"/>
      <c r="AC140" s="14">
        <v>49.324324324324323</v>
      </c>
      <c r="AD140" s="14">
        <v>87.033747779751351</v>
      </c>
      <c r="AE140" s="14">
        <v>121.10552763819095</v>
      </c>
      <c r="AF140" s="14">
        <v>199.4459833795014</v>
      </c>
      <c r="AG140" s="15">
        <v>1.0213439344991482</v>
      </c>
      <c r="AH140" s="15">
        <v>1.1260952581931043</v>
      </c>
      <c r="AI140" s="15">
        <v>1.1075716328127456</v>
      </c>
      <c r="AJ140" s="41">
        <f t="shared" si="4"/>
        <v>60</v>
      </c>
      <c r="AK140" s="44"/>
      <c r="AL140" s="10"/>
      <c r="AM140" s="10"/>
    </row>
    <row r="141" spans="1:39" s="16" customFormat="1" ht="19" customHeight="1">
      <c r="A141" s="9" t="s">
        <v>185</v>
      </c>
      <c r="B141" s="10" t="s">
        <v>186</v>
      </c>
      <c r="C141" s="10"/>
      <c r="D141" s="10"/>
      <c r="E141" s="19" t="s">
        <v>1344</v>
      </c>
      <c r="F141" s="19" t="s">
        <v>30</v>
      </c>
      <c r="G141" s="12" t="s">
        <v>187</v>
      </c>
      <c r="H141" s="13">
        <v>141.29</v>
      </c>
      <c r="I141" s="13">
        <v>19.75</v>
      </c>
      <c r="J141" s="13">
        <v>1199.5999999999999</v>
      </c>
      <c r="K141" s="13">
        <v>3817.8</v>
      </c>
      <c r="L141" s="13">
        <v>576.70000000000005</v>
      </c>
      <c r="M141" s="13">
        <v>9591</v>
      </c>
      <c r="N141" s="13">
        <v>2610.6999999999998</v>
      </c>
      <c r="O141" s="13">
        <v>453.9</v>
      </c>
      <c r="P141" s="13">
        <v>107.9</v>
      </c>
      <c r="Q141" s="13">
        <v>279.10000000000002</v>
      </c>
      <c r="R141" s="13">
        <v>28.61</v>
      </c>
      <c r="S141" s="13">
        <v>112.59</v>
      </c>
      <c r="T141" s="13">
        <v>419.6</v>
      </c>
      <c r="U141" s="13">
        <v>16.2</v>
      </c>
      <c r="V141" s="13">
        <v>30.92</v>
      </c>
      <c r="W141" s="13">
        <v>3.11</v>
      </c>
      <c r="X141" s="13">
        <v>14.89</v>
      </c>
      <c r="Y141" s="13">
        <v>1.54</v>
      </c>
      <c r="Z141" s="13">
        <v>94</v>
      </c>
      <c r="AA141" s="13">
        <v>93.2</v>
      </c>
      <c r="AB141" s="13"/>
      <c r="AC141" s="14">
        <v>3066.8918918918921</v>
      </c>
      <c r="AD141" s="14">
        <v>1916.5186500888101</v>
      </c>
      <c r="AE141" s="14">
        <v>1402.5125628140704</v>
      </c>
      <c r="AF141" s="14">
        <v>792.52077562326872</v>
      </c>
      <c r="AG141" s="15">
        <v>0.85761701341253804</v>
      </c>
      <c r="AH141" s="15">
        <v>0.92408184110381453</v>
      </c>
      <c r="AI141" s="15">
        <v>0.98109377459592473</v>
      </c>
      <c r="AJ141" s="41">
        <f t="shared" si="4"/>
        <v>8204.7999999999993</v>
      </c>
      <c r="AK141" s="44">
        <f t="shared" si="5"/>
        <v>22.857483317445183</v>
      </c>
      <c r="AL141" s="10"/>
      <c r="AM141" s="10"/>
    </row>
    <row r="142" spans="1:39" s="16" customFormat="1" ht="19" customHeight="1">
      <c r="A142" s="9" t="s">
        <v>188</v>
      </c>
      <c r="B142" s="10" t="s">
        <v>186</v>
      </c>
      <c r="C142" s="10"/>
      <c r="D142" s="10"/>
      <c r="E142" s="19" t="s">
        <v>1344</v>
      </c>
      <c r="F142" s="19" t="s">
        <v>30</v>
      </c>
      <c r="G142" s="12" t="s">
        <v>187</v>
      </c>
      <c r="H142" s="13">
        <v>271.8</v>
      </c>
      <c r="I142" s="13">
        <v>74.14</v>
      </c>
      <c r="J142" s="13">
        <v>2137.5</v>
      </c>
      <c r="K142" s="13">
        <v>6378</v>
      </c>
      <c r="L142" s="13">
        <v>977.4</v>
      </c>
      <c r="M142" s="13">
        <v>9275</v>
      </c>
      <c r="N142" s="13">
        <v>4457</v>
      </c>
      <c r="O142" s="13">
        <v>794.2</v>
      </c>
      <c r="P142" s="13">
        <v>189.4</v>
      </c>
      <c r="Q142" s="13">
        <v>480.6</v>
      </c>
      <c r="R142" s="13">
        <v>50.64</v>
      </c>
      <c r="S142" s="13">
        <v>203.65</v>
      </c>
      <c r="T142" s="13">
        <v>757.1</v>
      </c>
      <c r="U142" s="13">
        <v>29.63</v>
      </c>
      <c r="V142" s="13">
        <v>56.46</v>
      </c>
      <c r="W142" s="13">
        <v>5.65</v>
      </c>
      <c r="X142" s="13">
        <v>29</v>
      </c>
      <c r="Y142" s="13">
        <v>2.98</v>
      </c>
      <c r="Z142" s="13">
        <v>104.9</v>
      </c>
      <c r="AA142" s="13">
        <v>91.4</v>
      </c>
      <c r="AB142" s="13"/>
      <c r="AC142" s="14">
        <v>5366.2162162162167</v>
      </c>
      <c r="AD142" s="14">
        <v>3364.1207815275316</v>
      </c>
      <c r="AE142" s="14">
        <v>2415.075376884422</v>
      </c>
      <c r="AF142" s="14">
        <v>1402.7700831024931</v>
      </c>
      <c r="AG142" s="15">
        <v>0.86466899261566377</v>
      </c>
      <c r="AH142" s="15">
        <v>0.93448460511530584</v>
      </c>
      <c r="AI142" s="15">
        <v>0.98046170795274312</v>
      </c>
      <c r="AJ142" s="41">
        <f t="shared" si="4"/>
        <v>13949.9</v>
      </c>
      <c r="AK142" s="44">
        <f t="shared" si="5"/>
        <v>12.25069343547748</v>
      </c>
      <c r="AL142" s="10"/>
      <c r="AM142" s="10"/>
    </row>
    <row r="143" spans="1:39" s="16" customFormat="1" ht="19" customHeight="1">
      <c r="A143" s="9" t="s">
        <v>189</v>
      </c>
      <c r="B143" s="10" t="s">
        <v>186</v>
      </c>
      <c r="C143" s="10"/>
      <c r="D143" s="10"/>
      <c r="E143" s="19" t="s">
        <v>1344</v>
      </c>
      <c r="F143" s="19" t="s">
        <v>30</v>
      </c>
      <c r="G143" s="12" t="s">
        <v>187</v>
      </c>
      <c r="H143" s="13">
        <v>245.03</v>
      </c>
      <c r="I143" s="13">
        <v>67.680000000000007</v>
      </c>
      <c r="J143" s="13">
        <v>3236.3</v>
      </c>
      <c r="K143" s="13">
        <v>9377.9</v>
      </c>
      <c r="L143" s="13">
        <v>1431.4</v>
      </c>
      <c r="M143" s="13">
        <v>9172</v>
      </c>
      <c r="N143" s="13">
        <v>6488.1</v>
      </c>
      <c r="O143" s="13">
        <v>1165.5</v>
      </c>
      <c r="P143" s="13">
        <v>278.39999999999998</v>
      </c>
      <c r="Q143" s="13">
        <v>704.3</v>
      </c>
      <c r="R143" s="13">
        <v>75.260000000000005</v>
      </c>
      <c r="S143" s="13">
        <v>312.52</v>
      </c>
      <c r="T143" s="13">
        <v>1176</v>
      </c>
      <c r="U143" s="13">
        <v>45.26</v>
      </c>
      <c r="V143" s="13">
        <v>88.2</v>
      </c>
      <c r="W143" s="13">
        <v>9.09</v>
      </c>
      <c r="X143" s="13">
        <v>46.03</v>
      </c>
      <c r="Y143" s="13">
        <v>4.7300000000000004</v>
      </c>
      <c r="Z143" s="13">
        <v>123.3</v>
      </c>
      <c r="AA143" s="13">
        <v>117.1</v>
      </c>
      <c r="AB143" s="13"/>
      <c r="AC143" s="14">
        <v>7875</v>
      </c>
      <c r="AD143" s="14">
        <v>4944.9378330373002</v>
      </c>
      <c r="AE143" s="14">
        <v>3539.1959798994972</v>
      </c>
      <c r="AF143" s="14">
        <v>2084.7645429362883</v>
      </c>
      <c r="AG143" s="15">
        <v>0.86645399145859781</v>
      </c>
      <c r="AH143" s="15">
        <v>0.9366627493173556</v>
      </c>
      <c r="AI143" s="15">
        <v>0.97793079919916004</v>
      </c>
      <c r="AJ143" s="41">
        <f t="shared" si="4"/>
        <v>20533.7</v>
      </c>
      <c r="AK143" s="44">
        <f t="shared" si="5"/>
        <v>7.7993197278911568</v>
      </c>
      <c r="AL143" s="10"/>
      <c r="AM143" s="10"/>
    </row>
    <row r="144" spans="1:39" s="16" customFormat="1" ht="19" customHeight="1">
      <c r="A144" s="9" t="s">
        <v>190</v>
      </c>
      <c r="B144" s="10" t="s">
        <v>186</v>
      </c>
      <c r="C144" s="10"/>
      <c r="D144" s="10"/>
      <c r="E144" s="19" t="s">
        <v>1344</v>
      </c>
      <c r="F144" s="19" t="s">
        <v>30</v>
      </c>
      <c r="G144" s="12" t="s">
        <v>187</v>
      </c>
      <c r="H144" s="13">
        <v>1.8</v>
      </c>
      <c r="I144" s="13">
        <v>3.5000000000000003E-2</v>
      </c>
      <c r="J144" s="13">
        <v>4984.7</v>
      </c>
      <c r="K144" s="13">
        <v>8392.5</v>
      </c>
      <c r="L144" s="13">
        <v>886.1</v>
      </c>
      <c r="M144" s="13">
        <v>6917</v>
      </c>
      <c r="N144" s="13">
        <v>2595.6</v>
      </c>
      <c r="O144" s="13">
        <v>285.7</v>
      </c>
      <c r="P144" s="13">
        <v>85</v>
      </c>
      <c r="Q144" s="13">
        <v>288.10000000000002</v>
      </c>
      <c r="R144" s="13">
        <v>19.329999999999998</v>
      </c>
      <c r="S144" s="13">
        <v>90.91</v>
      </c>
      <c r="T144" s="13">
        <v>413.6</v>
      </c>
      <c r="U144" s="13">
        <v>15.97</v>
      </c>
      <c r="V144" s="13">
        <v>36.81</v>
      </c>
      <c r="W144" s="13">
        <v>4.68</v>
      </c>
      <c r="X144" s="13">
        <v>27.11</v>
      </c>
      <c r="Y144" s="13">
        <v>3.64</v>
      </c>
      <c r="Z144" s="13">
        <v>826.6</v>
      </c>
      <c r="AA144" s="13">
        <v>43.5</v>
      </c>
      <c r="AB144" s="13"/>
      <c r="AC144" s="14">
        <v>1930.4054054054054</v>
      </c>
      <c r="AD144" s="14">
        <v>1509.7690941385436</v>
      </c>
      <c r="AE144" s="14">
        <v>1447.7386934673368</v>
      </c>
      <c r="AF144" s="14">
        <v>535.45706371191136</v>
      </c>
      <c r="AG144" s="15">
        <v>0.8938452889812134</v>
      </c>
      <c r="AH144" s="15">
        <v>0.90311109433624104</v>
      </c>
      <c r="AI144" s="15">
        <v>1.1992322444951287</v>
      </c>
      <c r="AJ144" s="41">
        <f t="shared" si="4"/>
        <v>16858.900000000001</v>
      </c>
      <c r="AK144" s="44">
        <f t="shared" si="5"/>
        <v>16.723887814313347</v>
      </c>
      <c r="AL144" s="10"/>
      <c r="AM144" s="10"/>
    </row>
    <row r="145" spans="1:39" s="16" customFormat="1" ht="19" customHeight="1">
      <c r="A145" s="9" t="s">
        <v>191</v>
      </c>
      <c r="B145" s="10" t="s">
        <v>186</v>
      </c>
      <c r="C145" s="10"/>
      <c r="D145" s="10"/>
      <c r="E145" s="19" t="s">
        <v>1344</v>
      </c>
      <c r="F145" s="19" t="s">
        <v>30</v>
      </c>
      <c r="G145" s="12" t="s">
        <v>187</v>
      </c>
      <c r="H145" s="13">
        <v>66.89</v>
      </c>
      <c r="I145" s="13">
        <v>3.11</v>
      </c>
      <c r="J145" s="13">
        <v>1325.1</v>
      </c>
      <c r="K145" s="13">
        <v>3529.5</v>
      </c>
      <c r="L145" s="13">
        <v>466.8</v>
      </c>
      <c r="M145" s="13">
        <v>3118</v>
      </c>
      <c r="N145" s="13">
        <v>1749.7</v>
      </c>
      <c r="O145" s="13">
        <v>280.10000000000002</v>
      </c>
      <c r="P145" s="13">
        <v>75.400000000000006</v>
      </c>
      <c r="Q145" s="13">
        <v>202.8</v>
      </c>
      <c r="R145" s="13">
        <v>19.850000000000001</v>
      </c>
      <c r="S145" s="13">
        <v>89.44</v>
      </c>
      <c r="T145" s="13">
        <v>309</v>
      </c>
      <c r="U145" s="13">
        <v>13.13</v>
      </c>
      <c r="V145" s="13">
        <v>25.23</v>
      </c>
      <c r="W145" s="13">
        <v>2.62</v>
      </c>
      <c r="X145" s="13">
        <v>12.84</v>
      </c>
      <c r="Y145" s="13">
        <v>1.41</v>
      </c>
      <c r="Z145" s="13">
        <v>56.2</v>
      </c>
      <c r="AA145" s="13">
        <v>5.3</v>
      </c>
      <c r="AB145" s="13"/>
      <c r="AC145" s="14">
        <v>1892.5675675675677</v>
      </c>
      <c r="AD145" s="14">
        <v>1339.2539964476023</v>
      </c>
      <c r="AE145" s="14">
        <v>1019.0954773869347</v>
      </c>
      <c r="AF145" s="14">
        <v>549.86149584487544</v>
      </c>
      <c r="AG145" s="15">
        <v>0.9199237520071829</v>
      </c>
      <c r="AH145" s="15">
        <v>0.96433919147856928</v>
      </c>
      <c r="AI145" s="15">
        <v>1.0684255194610144</v>
      </c>
      <c r="AJ145" s="41">
        <f t="shared" si="4"/>
        <v>7071.1</v>
      </c>
      <c r="AK145" s="44">
        <f t="shared" si="5"/>
        <v>10.090614886731391</v>
      </c>
      <c r="AL145" s="10"/>
      <c r="AM145" s="10"/>
    </row>
    <row r="146" spans="1:39" s="16" customFormat="1" ht="19" customHeight="1">
      <c r="A146" s="9" t="s">
        <v>192</v>
      </c>
      <c r="B146" s="10" t="s">
        <v>186</v>
      </c>
      <c r="C146" s="10"/>
      <c r="D146" s="10"/>
      <c r="E146" s="19" t="s">
        <v>1344</v>
      </c>
      <c r="F146" s="19" t="s">
        <v>30</v>
      </c>
      <c r="G146" s="12" t="s">
        <v>187</v>
      </c>
      <c r="H146" s="13">
        <v>25.16</v>
      </c>
      <c r="I146" s="13">
        <v>3.22</v>
      </c>
      <c r="J146" s="13">
        <v>465.4</v>
      </c>
      <c r="K146" s="13">
        <v>1234.8</v>
      </c>
      <c r="L146" s="13">
        <v>177</v>
      </c>
      <c r="M146" s="13">
        <v>3369</v>
      </c>
      <c r="N146" s="13">
        <v>683.3</v>
      </c>
      <c r="O146" s="13">
        <v>119.5</v>
      </c>
      <c r="P146" s="13">
        <v>37.1</v>
      </c>
      <c r="Q146" s="13">
        <v>98.9</v>
      </c>
      <c r="R146" s="13">
        <v>9.68</v>
      </c>
      <c r="S146" s="13">
        <v>43.15</v>
      </c>
      <c r="T146" s="13">
        <v>141.5</v>
      </c>
      <c r="U146" s="13">
        <v>6.78</v>
      </c>
      <c r="V146" s="13">
        <v>11.92</v>
      </c>
      <c r="W146" s="13">
        <v>1.19</v>
      </c>
      <c r="X146" s="13">
        <v>5.44</v>
      </c>
      <c r="Y146" s="13">
        <v>0.74</v>
      </c>
      <c r="Z146" s="13">
        <v>283.2</v>
      </c>
      <c r="AA146" s="13">
        <v>36</v>
      </c>
      <c r="AB146" s="13"/>
      <c r="AC146" s="14">
        <v>807.43243243243251</v>
      </c>
      <c r="AD146" s="14">
        <v>658.96980461811734</v>
      </c>
      <c r="AE146" s="14">
        <v>496.9849246231156</v>
      </c>
      <c r="AF146" s="14">
        <v>268.14404432132966</v>
      </c>
      <c r="AG146" s="15">
        <v>1.0103665073969963</v>
      </c>
      <c r="AH146" s="15">
        <v>1.0402573960280097</v>
      </c>
      <c r="AI146" s="15">
        <v>1.1785246481745322</v>
      </c>
      <c r="AJ146" s="41">
        <f t="shared" si="4"/>
        <v>2560.5</v>
      </c>
      <c r="AK146" s="44">
        <f t="shared" si="5"/>
        <v>23.809187279151942</v>
      </c>
      <c r="AL146" s="10"/>
      <c r="AM146" s="10"/>
    </row>
    <row r="147" spans="1:39" s="16" customFormat="1" ht="19" customHeight="1">
      <c r="A147" s="9" t="s">
        <v>193</v>
      </c>
      <c r="B147" s="10" t="s">
        <v>186</v>
      </c>
      <c r="C147" s="10"/>
      <c r="D147" s="10"/>
      <c r="E147" s="19" t="s">
        <v>1344</v>
      </c>
      <c r="F147" s="19" t="s">
        <v>30</v>
      </c>
      <c r="G147" s="12" t="s">
        <v>187</v>
      </c>
      <c r="H147" s="13">
        <v>49.85</v>
      </c>
      <c r="I147" s="13">
        <v>0.05</v>
      </c>
      <c r="J147" s="13">
        <v>645.20000000000005</v>
      </c>
      <c r="K147" s="13">
        <v>1835.8</v>
      </c>
      <c r="L147" s="13">
        <v>245.8</v>
      </c>
      <c r="M147" s="13">
        <v>3822</v>
      </c>
      <c r="N147" s="13">
        <v>962.3</v>
      </c>
      <c r="O147" s="13">
        <v>163.30000000000001</v>
      </c>
      <c r="P147" s="13">
        <v>46.6</v>
      </c>
      <c r="Q147" s="13">
        <v>126.1</v>
      </c>
      <c r="R147" s="13">
        <v>12.16</v>
      </c>
      <c r="S147" s="13">
        <v>53.32</v>
      </c>
      <c r="T147" s="13">
        <v>158.80000000000001</v>
      </c>
      <c r="U147" s="13">
        <v>7.76</v>
      </c>
      <c r="V147" s="13">
        <v>14.33</v>
      </c>
      <c r="W147" s="13">
        <v>1.36</v>
      </c>
      <c r="X147" s="13">
        <v>6.08</v>
      </c>
      <c r="Y147" s="13">
        <v>0.75</v>
      </c>
      <c r="Z147" s="13">
        <v>252.1</v>
      </c>
      <c r="AA147" s="13">
        <v>11.8</v>
      </c>
      <c r="AB147" s="13"/>
      <c r="AC147" s="14">
        <v>1103.3783783783786</v>
      </c>
      <c r="AD147" s="14">
        <v>827.70870337477811</v>
      </c>
      <c r="AE147" s="14">
        <v>633.6683417085427</v>
      </c>
      <c r="AF147" s="14">
        <v>336.84210526315792</v>
      </c>
      <c r="AG147" s="15">
        <v>0.95300684063737773</v>
      </c>
      <c r="AH147" s="15">
        <v>0.98988394871651442</v>
      </c>
      <c r="AI147" s="15">
        <v>1.1140869443351644</v>
      </c>
      <c r="AJ147" s="41">
        <f t="shared" si="4"/>
        <v>3689.1000000000004</v>
      </c>
      <c r="AK147" s="44">
        <f t="shared" si="5"/>
        <v>24.06801007556675</v>
      </c>
      <c r="AL147" s="10"/>
      <c r="AM147" s="10"/>
    </row>
    <row r="148" spans="1:39" s="16" customFormat="1" ht="19" customHeight="1">
      <c r="A148" s="9" t="s">
        <v>194</v>
      </c>
      <c r="B148" s="10" t="s">
        <v>186</v>
      </c>
      <c r="C148" s="10"/>
      <c r="D148" s="10"/>
      <c r="E148" s="19" t="s">
        <v>1344</v>
      </c>
      <c r="F148" s="19" t="s">
        <v>30</v>
      </c>
      <c r="G148" s="12" t="s">
        <v>187</v>
      </c>
      <c r="H148" s="13">
        <v>18.399999999999999</v>
      </c>
      <c r="I148" s="13">
        <v>0.05</v>
      </c>
      <c r="J148" s="13">
        <v>908.6</v>
      </c>
      <c r="K148" s="13">
        <v>2477</v>
      </c>
      <c r="L148" s="13">
        <v>323.10000000000002</v>
      </c>
      <c r="M148" s="13">
        <v>3615</v>
      </c>
      <c r="N148" s="13">
        <v>1232.2</v>
      </c>
      <c r="O148" s="13">
        <v>204.7</v>
      </c>
      <c r="P148" s="13">
        <v>60.9</v>
      </c>
      <c r="Q148" s="13">
        <v>158.5</v>
      </c>
      <c r="R148" s="13">
        <v>15.47</v>
      </c>
      <c r="S148" s="13">
        <v>64.849999999999994</v>
      </c>
      <c r="T148" s="13">
        <v>193.6</v>
      </c>
      <c r="U148" s="13">
        <v>9.4499999999999993</v>
      </c>
      <c r="V148" s="13">
        <v>15.68</v>
      </c>
      <c r="W148" s="13">
        <v>1.54</v>
      </c>
      <c r="X148" s="13">
        <v>6.11</v>
      </c>
      <c r="Y148" s="13">
        <v>0.7</v>
      </c>
      <c r="Z148" s="13">
        <v>197.6</v>
      </c>
      <c r="AA148" s="13">
        <v>17.899999999999999</v>
      </c>
      <c r="AB148" s="13"/>
      <c r="AC148" s="14">
        <v>1383.1081081081081</v>
      </c>
      <c r="AD148" s="14">
        <v>1081.7051509769094</v>
      </c>
      <c r="AE148" s="14">
        <v>796.4824120603015</v>
      </c>
      <c r="AF148" s="14">
        <v>428.53185595567868</v>
      </c>
      <c r="AG148" s="15">
        <v>0.9925764871590006</v>
      </c>
      <c r="AH148" s="15">
        <v>1.0306061721893693</v>
      </c>
      <c r="AI148" s="15">
        <v>1.1557851476824954</v>
      </c>
      <c r="AJ148" s="41">
        <f t="shared" si="4"/>
        <v>4940.8999999999996</v>
      </c>
      <c r="AK148" s="44">
        <f t="shared" si="5"/>
        <v>18.672520661157026</v>
      </c>
      <c r="AL148" s="10"/>
      <c r="AM148" s="10"/>
    </row>
    <row r="149" spans="1:39" s="16" customFormat="1" ht="19" customHeight="1">
      <c r="A149" s="9" t="s">
        <v>195</v>
      </c>
      <c r="B149" s="10" t="s">
        <v>186</v>
      </c>
      <c r="C149" s="10"/>
      <c r="D149" s="10"/>
      <c r="E149" s="19" t="s">
        <v>1344</v>
      </c>
      <c r="F149" s="19" t="s">
        <v>30</v>
      </c>
      <c r="G149" s="12" t="s">
        <v>187</v>
      </c>
      <c r="H149" s="13">
        <v>7.48</v>
      </c>
      <c r="I149" s="13">
        <v>0.04</v>
      </c>
      <c r="J149" s="13">
        <v>1302.0999999999999</v>
      </c>
      <c r="K149" s="13">
        <v>3689.9</v>
      </c>
      <c r="L149" s="13">
        <v>462.2</v>
      </c>
      <c r="M149" s="13">
        <v>5779</v>
      </c>
      <c r="N149" s="13">
        <v>1576.5</v>
      </c>
      <c r="O149" s="13">
        <v>224.4</v>
      </c>
      <c r="P149" s="13">
        <v>64.900000000000006</v>
      </c>
      <c r="Q149" s="13">
        <v>180.5</v>
      </c>
      <c r="R149" s="13">
        <v>13.93</v>
      </c>
      <c r="S149" s="13">
        <v>55.04</v>
      </c>
      <c r="T149" s="13">
        <v>151.4</v>
      </c>
      <c r="U149" s="13">
        <v>7.75</v>
      </c>
      <c r="V149" s="13">
        <v>13.07</v>
      </c>
      <c r="W149" s="13">
        <v>1.17</v>
      </c>
      <c r="X149" s="13">
        <v>5.26</v>
      </c>
      <c r="Y149" s="13">
        <v>0.64</v>
      </c>
      <c r="Z149" s="13">
        <v>370.5</v>
      </c>
      <c r="AA149" s="13">
        <v>22.8</v>
      </c>
      <c r="AB149" s="13"/>
      <c r="AC149" s="14">
        <v>1516.2162162162163</v>
      </c>
      <c r="AD149" s="14">
        <v>1152.7531083481351</v>
      </c>
      <c r="AE149" s="14">
        <v>907.03517587939689</v>
      </c>
      <c r="AF149" s="14">
        <v>385.87257617728528</v>
      </c>
      <c r="AG149" s="15">
        <v>0.95141025162167869</v>
      </c>
      <c r="AH149" s="15">
        <v>0.98297770672987184</v>
      </c>
      <c r="AI149" s="15">
        <v>1.1997227820856518</v>
      </c>
      <c r="AJ149" s="41">
        <f t="shared" si="4"/>
        <v>7030.7</v>
      </c>
      <c r="AK149" s="44">
        <f t="shared" si="5"/>
        <v>38.170409511228534</v>
      </c>
      <c r="AL149" s="10"/>
      <c r="AM149" s="10"/>
    </row>
    <row r="150" spans="1:39" s="16" customFormat="1" ht="19" customHeight="1">
      <c r="A150" s="9" t="s">
        <v>196</v>
      </c>
      <c r="B150" s="10" t="s">
        <v>186</v>
      </c>
      <c r="C150" s="10"/>
      <c r="D150" s="10"/>
      <c r="E150" s="19" t="s">
        <v>1344</v>
      </c>
      <c r="F150" s="19" t="s">
        <v>30</v>
      </c>
      <c r="G150" s="12" t="s">
        <v>187</v>
      </c>
      <c r="H150" s="13">
        <v>10.23</v>
      </c>
      <c r="I150" s="13">
        <v>1.33</v>
      </c>
      <c r="J150" s="13">
        <v>561.9</v>
      </c>
      <c r="K150" s="13">
        <v>1766.1</v>
      </c>
      <c r="L150" s="13">
        <v>227.6</v>
      </c>
      <c r="M150" s="13">
        <v>4131</v>
      </c>
      <c r="N150" s="13">
        <v>811.7</v>
      </c>
      <c r="O150" s="13">
        <v>120.8</v>
      </c>
      <c r="P150" s="13">
        <v>34.9</v>
      </c>
      <c r="Q150" s="13">
        <v>98.4</v>
      </c>
      <c r="R150" s="13">
        <v>8.1</v>
      </c>
      <c r="S150" s="13">
        <v>34.24</v>
      </c>
      <c r="T150" s="13">
        <v>98.6</v>
      </c>
      <c r="U150" s="13">
        <v>4.87</v>
      </c>
      <c r="V150" s="13">
        <v>8.89</v>
      </c>
      <c r="W150" s="13">
        <v>0.95</v>
      </c>
      <c r="X150" s="13">
        <v>3.73</v>
      </c>
      <c r="Y150" s="13">
        <v>0.34</v>
      </c>
      <c r="Z150" s="13">
        <v>402.6</v>
      </c>
      <c r="AA150" s="13">
        <v>22</v>
      </c>
      <c r="AB150" s="13"/>
      <c r="AC150" s="14">
        <v>816.21621621621625</v>
      </c>
      <c r="AD150" s="14">
        <v>619.89342806394313</v>
      </c>
      <c r="AE150" s="14">
        <v>494.47236180904525</v>
      </c>
      <c r="AF150" s="14">
        <v>224.37673130193906</v>
      </c>
      <c r="AG150" s="15">
        <v>0.94590498224666097</v>
      </c>
      <c r="AH150" s="15">
        <v>0.97576090060224163</v>
      </c>
      <c r="AI150" s="15">
        <v>1.1680307620365118</v>
      </c>
      <c r="AJ150" s="41">
        <f t="shared" si="4"/>
        <v>3367.3</v>
      </c>
      <c r="AK150" s="44">
        <f t="shared" si="5"/>
        <v>41.896551724137936</v>
      </c>
      <c r="AL150" s="10"/>
      <c r="AM150" s="10"/>
    </row>
    <row r="151" spans="1:39" s="16" customFormat="1" ht="19" customHeight="1">
      <c r="A151" s="9" t="s">
        <v>197</v>
      </c>
      <c r="B151" s="10" t="s">
        <v>186</v>
      </c>
      <c r="C151" s="10"/>
      <c r="D151" s="10"/>
      <c r="E151" s="19" t="s">
        <v>1344</v>
      </c>
      <c r="F151" s="19" t="s">
        <v>30</v>
      </c>
      <c r="G151" s="12" t="s">
        <v>187</v>
      </c>
      <c r="H151" s="13">
        <v>23.13</v>
      </c>
      <c r="I151" s="13">
        <v>0.03</v>
      </c>
      <c r="J151" s="13">
        <v>2472.8000000000002</v>
      </c>
      <c r="K151" s="13">
        <v>6502.2</v>
      </c>
      <c r="L151" s="13">
        <v>709</v>
      </c>
      <c r="M151" s="13">
        <v>6714</v>
      </c>
      <c r="N151" s="13">
        <v>2472.6999999999998</v>
      </c>
      <c r="O151" s="13">
        <v>393.7</v>
      </c>
      <c r="P151" s="13">
        <v>120</v>
      </c>
      <c r="Q151" s="13">
        <v>336.9</v>
      </c>
      <c r="R151" s="13">
        <v>25.86</v>
      </c>
      <c r="S151" s="13">
        <v>97.54</v>
      </c>
      <c r="T151" s="13">
        <v>243.4</v>
      </c>
      <c r="U151" s="13">
        <v>12.22</v>
      </c>
      <c r="V151" s="13">
        <v>22.8</v>
      </c>
      <c r="W151" s="13">
        <v>1.89</v>
      </c>
      <c r="X151" s="13">
        <v>8.09</v>
      </c>
      <c r="Y151" s="13">
        <v>0.74</v>
      </c>
      <c r="Z151" s="13">
        <v>134.80000000000001</v>
      </c>
      <c r="AA151" s="13">
        <v>28</v>
      </c>
      <c r="AB151" s="13"/>
      <c r="AC151" s="14">
        <v>2660.135135135135</v>
      </c>
      <c r="AD151" s="14">
        <v>2131.4387211367675</v>
      </c>
      <c r="AE151" s="14">
        <v>1692.9648241206028</v>
      </c>
      <c r="AF151" s="14">
        <v>716.34349030470912</v>
      </c>
      <c r="AG151" s="15">
        <v>0.97927396158446389</v>
      </c>
      <c r="AH151" s="15">
        <v>1.0043776366786326</v>
      </c>
      <c r="AI151" s="15">
        <v>1.2407852222126285</v>
      </c>
      <c r="AJ151" s="41">
        <f t="shared" si="4"/>
        <v>12156.7</v>
      </c>
      <c r="AK151" s="44">
        <f t="shared" si="5"/>
        <v>27.584223500410847</v>
      </c>
      <c r="AL151" s="10"/>
      <c r="AM151" s="10"/>
    </row>
    <row r="152" spans="1:39" s="16" customFormat="1" ht="19" customHeight="1">
      <c r="A152" s="9" t="s">
        <v>198</v>
      </c>
      <c r="B152" s="10" t="s">
        <v>186</v>
      </c>
      <c r="C152" s="10"/>
      <c r="D152" s="10"/>
      <c r="E152" s="19" t="s">
        <v>1344</v>
      </c>
      <c r="F152" s="19" t="s">
        <v>30</v>
      </c>
      <c r="G152" s="12" t="s">
        <v>187</v>
      </c>
      <c r="H152" s="13">
        <v>11.72</v>
      </c>
      <c r="I152" s="13">
        <v>0.04</v>
      </c>
      <c r="J152" s="13">
        <v>845.1</v>
      </c>
      <c r="K152" s="13">
        <v>2245.5</v>
      </c>
      <c r="L152" s="13">
        <v>293.10000000000002</v>
      </c>
      <c r="M152" s="13">
        <v>5491</v>
      </c>
      <c r="N152" s="13">
        <v>1085</v>
      </c>
      <c r="O152" s="13">
        <v>225.3</v>
      </c>
      <c r="P152" s="13">
        <v>78.400000000000006</v>
      </c>
      <c r="Q152" s="13">
        <v>217.4</v>
      </c>
      <c r="R152" s="13">
        <v>22.44</v>
      </c>
      <c r="S152" s="13">
        <v>95.34</v>
      </c>
      <c r="T152" s="13">
        <v>250.9</v>
      </c>
      <c r="U152" s="13">
        <v>12.32</v>
      </c>
      <c r="V152" s="13">
        <v>21.03</v>
      </c>
      <c r="W152" s="13">
        <v>1.66</v>
      </c>
      <c r="X152" s="13">
        <v>6.86</v>
      </c>
      <c r="Y152" s="13">
        <v>0.54</v>
      </c>
      <c r="Z152" s="13">
        <v>95.5</v>
      </c>
      <c r="AA152" s="13">
        <v>15.3</v>
      </c>
      <c r="AB152" s="13"/>
      <c r="AC152" s="14">
        <v>1522.2972972972975</v>
      </c>
      <c r="AD152" s="14">
        <v>1392.5399644760216</v>
      </c>
      <c r="AE152" s="14">
        <v>1092.462311557789</v>
      </c>
      <c r="AF152" s="14">
        <v>621.606648199446</v>
      </c>
      <c r="AG152" s="15">
        <v>1.0651380415699225</v>
      </c>
      <c r="AH152" s="15">
        <v>1.0798282820495995</v>
      </c>
      <c r="AI152" s="15">
        <v>1.2330181431245311</v>
      </c>
      <c r="AJ152" s="41">
        <f t="shared" si="4"/>
        <v>4468.7</v>
      </c>
      <c r="AK152" s="44">
        <f t="shared" si="5"/>
        <v>21.88521323236349</v>
      </c>
      <c r="AL152" s="10"/>
      <c r="AM152" s="10"/>
    </row>
    <row r="153" spans="1:39" s="16" customFormat="1" ht="19" customHeight="1">
      <c r="A153" s="9" t="s">
        <v>199</v>
      </c>
      <c r="B153" s="10" t="s">
        <v>186</v>
      </c>
      <c r="C153" s="10"/>
      <c r="D153" s="10"/>
      <c r="E153" s="19" t="s">
        <v>1344</v>
      </c>
      <c r="F153" s="19" t="s">
        <v>30</v>
      </c>
      <c r="G153" s="12" t="s">
        <v>187</v>
      </c>
      <c r="H153" s="13">
        <v>2.2599999999999998</v>
      </c>
      <c r="I153" s="13">
        <v>0.06</v>
      </c>
      <c r="J153" s="13">
        <v>2081.8000000000002</v>
      </c>
      <c r="K153" s="13">
        <v>4354.7</v>
      </c>
      <c r="L153" s="13">
        <v>439.3</v>
      </c>
      <c r="M153" s="13">
        <v>5131</v>
      </c>
      <c r="N153" s="13">
        <v>1364.8</v>
      </c>
      <c r="O153" s="13">
        <v>174.3</v>
      </c>
      <c r="P153" s="13">
        <v>51.5</v>
      </c>
      <c r="Q153" s="13">
        <v>163.1</v>
      </c>
      <c r="R153" s="13">
        <v>14.33</v>
      </c>
      <c r="S153" s="13">
        <v>66.42</v>
      </c>
      <c r="T153" s="13">
        <v>286.10000000000002</v>
      </c>
      <c r="U153" s="13">
        <v>11.65</v>
      </c>
      <c r="V153" s="13">
        <v>26.32</v>
      </c>
      <c r="W153" s="13">
        <v>3.06</v>
      </c>
      <c r="X153" s="13">
        <v>16.649999999999999</v>
      </c>
      <c r="Y153" s="13">
        <v>2.16</v>
      </c>
      <c r="Z153" s="13">
        <v>432.2</v>
      </c>
      <c r="AA153" s="13">
        <v>29.5</v>
      </c>
      <c r="AB153" s="13"/>
      <c r="AC153" s="14">
        <v>1177.7027027027029</v>
      </c>
      <c r="AD153" s="14">
        <v>914.74245115452936</v>
      </c>
      <c r="AE153" s="14">
        <v>819.59798994974869</v>
      </c>
      <c r="AF153" s="14">
        <v>396.95290858725764</v>
      </c>
      <c r="AG153" s="15">
        <v>0.9159787051790732</v>
      </c>
      <c r="AH153" s="15">
        <v>0.93106618937431118</v>
      </c>
      <c r="AI153" s="15">
        <v>1.1160801665290707</v>
      </c>
      <c r="AJ153" s="41">
        <f t="shared" si="4"/>
        <v>8240.6</v>
      </c>
      <c r="AK153" s="44">
        <f t="shared" si="5"/>
        <v>17.934288710241173</v>
      </c>
      <c r="AL153" s="10"/>
      <c r="AM153" s="10"/>
    </row>
    <row r="154" spans="1:39" s="16" customFormat="1" ht="19" customHeight="1">
      <c r="A154" s="9" t="s">
        <v>200</v>
      </c>
      <c r="B154" s="10" t="s">
        <v>186</v>
      </c>
      <c r="C154" s="10"/>
      <c r="D154" s="10"/>
      <c r="E154" s="19" t="s">
        <v>1344</v>
      </c>
      <c r="F154" s="19" t="s">
        <v>30</v>
      </c>
      <c r="G154" s="12" t="s">
        <v>187</v>
      </c>
      <c r="H154" s="13">
        <v>10.75</v>
      </c>
      <c r="I154" s="13">
        <v>0.02</v>
      </c>
      <c r="J154" s="13">
        <v>1810.6</v>
      </c>
      <c r="K154" s="13">
        <v>3894.8</v>
      </c>
      <c r="L154" s="13">
        <v>415.9</v>
      </c>
      <c r="M154" s="13">
        <v>6005</v>
      </c>
      <c r="N154" s="13">
        <v>1314.7</v>
      </c>
      <c r="O154" s="13">
        <v>165.3</v>
      </c>
      <c r="P154" s="13">
        <v>41.4</v>
      </c>
      <c r="Q154" s="13">
        <v>128.30000000000001</v>
      </c>
      <c r="R154" s="13">
        <v>13.18</v>
      </c>
      <c r="S154" s="13">
        <v>71.09</v>
      </c>
      <c r="T154" s="13">
        <v>333.3</v>
      </c>
      <c r="U154" s="13">
        <v>12.76</v>
      </c>
      <c r="V154" s="13">
        <v>31.38</v>
      </c>
      <c r="W154" s="13">
        <v>3.99</v>
      </c>
      <c r="X154" s="13">
        <v>22.89</v>
      </c>
      <c r="Y154" s="13">
        <v>2.95</v>
      </c>
      <c r="Z154" s="13">
        <v>759.4</v>
      </c>
      <c r="AA154" s="13">
        <v>2.9</v>
      </c>
      <c r="AB154" s="13"/>
      <c r="AC154" s="14">
        <v>1116.8918918918921</v>
      </c>
      <c r="AD154" s="14">
        <v>735.34635879218479</v>
      </c>
      <c r="AE154" s="14">
        <v>644.72361809045231</v>
      </c>
      <c r="AF154" s="14">
        <v>365.09695290858724</v>
      </c>
      <c r="AG154" s="15">
        <v>0.83485454643795076</v>
      </c>
      <c r="AH154" s="15">
        <v>0.86656189330046696</v>
      </c>
      <c r="AI154" s="15">
        <v>0.95575912185092071</v>
      </c>
      <c r="AJ154" s="41">
        <f t="shared" si="4"/>
        <v>7435.9999999999991</v>
      </c>
      <c r="AK154" s="44">
        <f t="shared" si="5"/>
        <v>18.016801680168015</v>
      </c>
      <c r="AL154" s="10"/>
      <c r="AM154" s="10"/>
    </row>
    <row r="155" spans="1:39" s="16" customFormat="1" ht="19" customHeight="1">
      <c r="A155" s="9" t="s">
        <v>201</v>
      </c>
      <c r="B155" s="10" t="s">
        <v>186</v>
      </c>
      <c r="C155" s="10"/>
      <c r="D155" s="10"/>
      <c r="E155" s="19" t="s">
        <v>1344</v>
      </c>
      <c r="F155" s="19" t="s">
        <v>30</v>
      </c>
      <c r="G155" s="12" t="s">
        <v>187</v>
      </c>
      <c r="H155" s="13">
        <v>65.89</v>
      </c>
      <c r="I155" s="13">
        <v>5.54</v>
      </c>
      <c r="J155" s="13">
        <v>727.1</v>
      </c>
      <c r="K155" s="13">
        <v>2442.3000000000002</v>
      </c>
      <c r="L155" s="13">
        <v>320.3</v>
      </c>
      <c r="M155" s="13">
        <v>5157</v>
      </c>
      <c r="N155" s="13">
        <v>1257.4000000000001</v>
      </c>
      <c r="O155" s="13">
        <v>192.7</v>
      </c>
      <c r="P155" s="13">
        <v>48.4</v>
      </c>
      <c r="Q155" s="13">
        <v>129.80000000000001</v>
      </c>
      <c r="R155" s="13">
        <v>11.22</v>
      </c>
      <c r="S155" s="13">
        <v>43.53</v>
      </c>
      <c r="T155" s="13">
        <v>151.1</v>
      </c>
      <c r="U155" s="13">
        <v>6.04</v>
      </c>
      <c r="V155" s="13">
        <v>11.18</v>
      </c>
      <c r="W155" s="13">
        <v>1.04</v>
      </c>
      <c r="X155" s="13">
        <v>5.22</v>
      </c>
      <c r="Y155" s="13">
        <v>0.62</v>
      </c>
      <c r="Z155" s="13">
        <v>288.89999999999998</v>
      </c>
      <c r="AA155" s="13">
        <v>50.4</v>
      </c>
      <c r="AB155" s="13"/>
      <c r="AC155" s="14">
        <v>1302.0270270270271</v>
      </c>
      <c r="AD155" s="14">
        <v>859.68028419182951</v>
      </c>
      <c r="AE155" s="14">
        <v>652.2613065326633</v>
      </c>
      <c r="AF155" s="14">
        <v>310.803324099723</v>
      </c>
      <c r="AG155" s="15">
        <v>0.87978858536799642</v>
      </c>
      <c r="AH155" s="15">
        <v>0.93285932923716286</v>
      </c>
      <c r="AI155" s="15">
        <v>1.0643760226401069</v>
      </c>
      <c r="AJ155" s="41">
        <f t="shared" si="4"/>
        <v>4747.1000000000004</v>
      </c>
      <c r="AK155" s="44">
        <f t="shared" si="5"/>
        <v>34.129715420251493</v>
      </c>
      <c r="AL155" s="10"/>
      <c r="AM155" s="10"/>
    </row>
    <row r="156" spans="1:39" s="16" customFormat="1" ht="19" customHeight="1">
      <c r="A156" s="9" t="s">
        <v>202</v>
      </c>
      <c r="B156" s="10" t="s">
        <v>186</v>
      </c>
      <c r="C156" s="10"/>
      <c r="D156" s="10"/>
      <c r="E156" s="19" t="s">
        <v>1344</v>
      </c>
      <c r="F156" s="19" t="s">
        <v>30</v>
      </c>
      <c r="G156" s="12" t="s">
        <v>187</v>
      </c>
      <c r="H156" s="13">
        <v>176.79</v>
      </c>
      <c r="I156" s="13">
        <v>6.96</v>
      </c>
      <c r="J156" s="13">
        <v>1550.6</v>
      </c>
      <c r="K156" s="13">
        <v>2809.4</v>
      </c>
      <c r="L156" s="13">
        <v>291.2</v>
      </c>
      <c r="M156" s="13">
        <v>1525</v>
      </c>
      <c r="N156" s="13">
        <v>914.8</v>
      </c>
      <c r="O156" s="13">
        <v>93.4</v>
      </c>
      <c r="P156" s="13">
        <v>23.3</v>
      </c>
      <c r="Q156" s="13">
        <v>48.9</v>
      </c>
      <c r="R156" s="13">
        <v>5.04</v>
      </c>
      <c r="S156" s="13">
        <v>21.48</v>
      </c>
      <c r="T156" s="13">
        <v>82.3</v>
      </c>
      <c r="U156" s="13">
        <v>3.18</v>
      </c>
      <c r="V156" s="13">
        <v>6.49</v>
      </c>
      <c r="W156" s="13">
        <v>0.71</v>
      </c>
      <c r="X156" s="13">
        <v>3.21</v>
      </c>
      <c r="Y156" s="13">
        <v>0.45</v>
      </c>
      <c r="Z156" s="13">
        <v>136.69999999999999</v>
      </c>
      <c r="AA156" s="13">
        <v>121.9</v>
      </c>
      <c r="AB156" s="13"/>
      <c r="AC156" s="14">
        <v>631.08108108108115</v>
      </c>
      <c r="AD156" s="14">
        <v>413.85435168738906</v>
      </c>
      <c r="AE156" s="14">
        <v>245.72864321608037</v>
      </c>
      <c r="AF156" s="14">
        <v>139.61218836565098</v>
      </c>
      <c r="AG156" s="15">
        <v>0.94400036910888263</v>
      </c>
      <c r="AH156" s="15">
        <v>1.0509379002601857</v>
      </c>
      <c r="AI156" s="15">
        <v>1.0843004575340727</v>
      </c>
      <c r="AJ156" s="41">
        <f t="shared" si="4"/>
        <v>5566</v>
      </c>
      <c r="AK156" s="44">
        <f t="shared" si="5"/>
        <v>18.529769137302551</v>
      </c>
      <c r="AL156" s="10"/>
      <c r="AM156" s="10"/>
    </row>
    <row r="157" spans="1:39" s="16" customFormat="1" ht="19" customHeight="1">
      <c r="A157" s="9" t="s">
        <v>203</v>
      </c>
      <c r="B157" s="10" t="s">
        <v>186</v>
      </c>
      <c r="C157" s="10"/>
      <c r="D157" s="10"/>
      <c r="E157" s="19" t="s">
        <v>1344</v>
      </c>
      <c r="F157" s="19" t="s">
        <v>30</v>
      </c>
      <c r="G157" s="12" t="s">
        <v>187</v>
      </c>
      <c r="H157" s="13">
        <v>12.55</v>
      </c>
      <c r="I157" s="13">
        <v>1.32</v>
      </c>
      <c r="J157" s="13">
        <v>333.7</v>
      </c>
      <c r="K157" s="13">
        <v>483.6</v>
      </c>
      <c r="L157" s="13">
        <v>56.7</v>
      </c>
      <c r="M157" s="13">
        <v>827</v>
      </c>
      <c r="N157" s="13">
        <v>211.8</v>
      </c>
      <c r="O157" s="13">
        <v>33</v>
      </c>
      <c r="P157" s="13">
        <v>9.9</v>
      </c>
      <c r="Q157" s="13">
        <v>22.9</v>
      </c>
      <c r="R157" s="13">
        <v>2.82</v>
      </c>
      <c r="S157" s="13">
        <v>12.27</v>
      </c>
      <c r="T157" s="13">
        <v>43.3</v>
      </c>
      <c r="U157" s="13">
        <v>2.02</v>
      </c>
      <c r="V157" s="13">
        <v>4</v>
      </c>
      <c r="W157" s="13">
        <v>0.38</v>
      </c>
      <c r="X157" s="13">
        <v>2.15</v>
      </c>
      <c r="Y157" s="13">
        <v>0.26</v>
      </c>
      <c r="Z157" s="13">
        <v>168</v>
      </c>
      <c r="AA157" s="13">
        <v>170</v>
      </c>
      <c r="AB157" s="13"/>
      <c r="AC157" s="14">
        <v>222.972972972973</v>
      </c>
      <c r="AD157" s="14">
        <v>175.84369449378332</v>
      </c>
      <c r="AE157" s="14">
        <v>115.0753768844221</v>
      </c>
      <c r="AF157" s="14">
        <v>78.1163434903047</v>
      </c>
      <c r="AG157" s="15">
        <v>1.0403464153453938</v>
      </c>
      <c r="AH157" s="15">
        <v>1.0977652640631916</v>
      </c>
      <c r="AI157" s="15">
        <v>1.1186941014362792</v>
      </c>
      <c r="AJ157" s="41">
        <f t="shared" si="4"/>
        <v>1085.8</v>
      </c>
      <c r="AK157" s="44">
        <f t="shared" si="5"/>
        <v>19.099307159353351</v>
      </c>
      <c r="AL157" s="10"/>
      <c r="AM157" s="10"/>
    </row>
    <row r="158" spans="1:39" s="16" customFormat="1" ht="19" customHeight="1">
      <c r="A158" s="9" t="s">
        <v>204</v>
      </c>
      <c r="B158" s="10" t="s">
        <v>186</v>
      </c>
      <c r="C158" s="10"/>
      <c r="D158" s="10"/>
      <c r="E158" s="19" t="s">
        <v>1344</v>
      </c>
      <c r="F158" s="19" t="s">
        <v>30</v>
      </c>
      <c r="G158" s="12" t="s">
        <v>187</v>
      </c>
      <c r="H158" s="13">
        <v>556.75</v>
      </c>
      <c r="I158" s="13">
        <v>55.62</v>
      </c>
      <c r="J158" s="13">
        <v>3178.3</v>
      </c>
      <c r="K158" s="13">
        <v>9694.5</v>
      </c>
      <c r="L158" s="13">
        <v>1260.8</v>
      </c>
      <c r="M158" s="13">
        <v>13245</v>
      </c>
      <c r="N158" s="13">
        <v>4935.3</v>
      </c>
      <c r="O158" s="13">
        <v>677.1</v>
      </c>
      <c r="P158" s="13">
        <v>156.6</v>
      </c>
      <c r="Q158" s="13">
        <v>376.1</v>
      </c>
      <c r="R158" s="13">
        <v>26.86</v>
      </c>
      <c r="S158" s="13">
        <v>102.64</v>
      </c>
      <c r="T158" s="13">
        <v>426.6</v>
      </c>
      <c r="U158" s="13">
        <v>15.52</v>
      </c>
      <c r="V158" s="13">
        <v>32.67</v>
      </c>
      <c r="W158" s="13">
        <v>3.71</v>
      </c>
      <c r="X158" s="13">
        <v>21.34</v>
      </c>
      <c r="Y158" s="13">
        <v>2.92</v>
      </c>
      <c r="Z158" s="13">
        <v>611.20000000000005</v>
      </c>
      <c r="AA158" s="13">
        <v>5.4</v>
      </c>
      <c r="AB158" s="13"/>
      <c r="AC158" s="14">
        <v>4575</v>
      </c>
      <c r="AD158" s="14">
        <v>2781.5275310834813</v>
      </c>
      <c r="AE158" s="14">
        <v>1889.9497487437186</v>
      </c>
      <c r="AF158" s="14">
        <v>744.04432132963984</v>
      </c>
      <c r="AG158" s="15">
        <v>0.86049471045741488</v>
      </c>
      <c r="AH158" s="15">
        <v>0.94593802824713513</v>
      </c>
      <c r="AI158" s="15">
        <v>1.1138405608230935</v>
      </c>
      <c r="AJ158" s="41">
        <f t="shared" si="4"/>
        <v>19068.899999999998</v>
      </c>
      <c r="AK158" s="44">
        <f t="shared" si="5"/>
        <v>31.047819971870602</v>
      </c>
      <c r="AL158" s="10"/>
      <c r="AM158" s="10"/>
    </row>
    <row r="159" spans="1:39" s="16" customFormat="1" ht="19" customHeight="1">
      <c r="A159" s="9" t="s">
        <v>205</v>
      </c>
      <c r="B159" s="10" t="s">
        <v>186</v>
      </c>
      <c r="C159" s="10"/>
      <c r="D159" s="10"/>
      <c r="E159" s="19" t="s">
        <v>1344</v>
      </c>
      <c r="F159" s="19" t="s">
        <v>30</v>
      </c>
      <c r="G159" s="12" t="s">
        <v>187</v>
      </c>
      <c r="H159" s="13">
        <v>38.29</v>
      </c>
      <c r="I159" s="13">
        <v>6.96</v>
      </c>
      <c r="J159" s="13">
        <v>416.6</v>
      </c>
      <c r="K159" s="13">
        <v>1712.2</v>
      </c>
      <c r="L159" s="13">
        <v>309</v>
      </c>
      <c r="M159" s="13">
        <v>7396</v>
      </c>
      <c r="N159" s="13">
        <v>1452.5</v>
      </c>
      <c r="O159" s="13">
        <v>280.3</v>
      </c>
      <c r="P159" s="13">
        <v>74.900000000000006</v>
      </c>
      <c r="Q159" s="13">
        <v>164.3</v>
      </c>
      <c r="R159" s="13">
        <v>15.11</v>
      </c>
      <c r="S159" s="13">
        <v>60.77</v>
      </c>
      <c r="T159" s="13">
        <v>254.6</v>
      </c>
      <c r="U159" s="13">
        <v>9.57</v>
      </c>
      <c r="V159" s="13">
        <v>21.53</v>
      </c>
      <c r="W159" s="13">
        <v>2.5099999999999998</v>
      </c>
      <c r="X159" s="13">
        <v>13.93</v>
      </c>
      <c r="Y159" s="13">
        <v>1.9</v>
      </c>
      <c r="Z159" s="13">
        <v>207.7</v>
      </c>
      <c r="AA159" s="13">
        <v>4</v>
      </c>
      <c r="AB159" s="13"/>
      <c r="AC159" s="14">
        <v>1893.9189189189192</v>
      </c>
      <c r="AD159" s="14">
        <v>1330.3730017761991</v>
      </c>
      <c r="AE159" s="14">
        <v>825.6281407035176</v>
      </c>
      <c r="AF159" s="14">
        <v>418.55955678670358</v>
      </c>
      <c r="AG159" s="15">
        <v>0.97837836419782265</v>
      </c>
      <c r="AH159" s="15">
        <v>1.0638992142831885</v>
      </c>
      <c r="AI159" s="15">
        <v>1.1618411318396147</v>
      </c>
      <c r="AJ159" s="41">
        <f t="shared" si="4"/>
        <v>3890.3</v>
      </c>
      <c r="AK159" s="44">
        <f t="shared" si="5"/>
        <v>29.049489395129616</v>
      </c>
      <c r="AL159" s="10"/>
      <c r="AM159" s="10"/>
    </row>
    <row r="160" spans="1:39" s="16" customFormat="1" ht="19" customHeight="1">
      <c r="A160" s="9" t="s">
        <v>206</v>
      </c>
      <c r="B160" s="10" t="s">
        <v>186</v>
      </c>
      <c r="C160" s="10"/>
      <c r="D160" s="10"/>
      <c r="E160" s="19" t="s">
        <v>1344</v>
      </c>
      <c r="F160" s="19" t="s">
        <v>30</v>
      </c>
      <c r="G160" s="12" t="s">
        <v>187</v>
      </c>
      <c r="H160" s="13">
        <v>54.91</v>
      </c>
      <c r="I160" s="13">
        <v>2.96</v>
      </c>
      <c r="J160" s="13">
        <v>1801.8</v>
      </c>
      <c r="K160" s="13">
        <v>6150.2</v>
      </c>
      <c r="L160" s="13">
        <v>845.7</v>
      </c>
      <c r="M160" s="13">
        <v>4247</v>
      </c>
      <c r="N160" s="13">
        <v>3585.7</v>
      </c>
      <c r="O160" s="13">
        <v>654</v>
      </c>
      <c r="P160" s="13">
        <v>204</v>
      </c>
      <c r="Q160" s="13">
        <v>595.20000000000005</v>
      </c>
      <c r="R160" s="13">
        <v>53.68</v>
      </c>
      <c r="S160" s="13">
        <v>196.46</v>
      </c>
      <c r="T160" s="13">
        <v>475.5</v>
      </c>
      <c r="U160" s="13">
        <v>25.08</v>
      </c>
      <c r="V160" s="13">
        <v>44.35</v>
      </c>
      <c r="W160" s="13">
        <v>3.67</v>
      </c>
      <c r="X160" s="13">
        <v>15.72</v>
      </c>
      <c r="Y160" s="13">
        <v>1.61</v>
      </c>
      <c r="Z160" s="13">
        <v>3.5</v>
      </c>
      <c r="AA160" s="13">
        <v>14.3</v>
      </c>
      <c r="AB160" s="13"/>
      <c r="AC160" s="14">
        <v>4418.9189189189192</v>
      </c>
      <c r="AD160" s="14">
        <v>3623.4458259325047</v>
      </c>
      <c r="AE160" s="14">
        <v>2990.9547738693468</v>
      </c>
      <c r="AF160" s="14">
        <v>1486.9806094182825</v>
      </c>
      <c r="AG160" s="15">
        <v>0.97800474776218116</v>
      </c>
      <c r="AH160" s="15">
        <v>0.9966870902905387</v>
      </c>
      <c r="AI160" s="15">
        <v>1.178897325804469</v>
      </c>
      <c r="AJ160" s="41">
        <f t="shared" si="4"/>
        <v>12383.400000000001</v>
      </c>
      <c r="AK160" s="44">
        <f t="shared" si="5"/>
        <v>8.9316508937960037</v>
      </c>
      <c r="AL160" s="10"/>
      <c r="AM160" s="10"/>
    </row>
    <row r="161" spans="1:39" s="16" customFormat="1" ht="19" customHeight="1">
      <c r="A161" s="9" t="s">
        <v>207</v>
      </c>
      <c r="B161" s="10" t="s">
        <v>186</v>
      </c>
      <c r="C161" s="10"/>
      <c r="D161" s="10"/>
      <c r="E161" s="19" t="s">
        <v>1344</v>
      </c>
      <c r="F161" s="19" t="s">
        <v>30</v>
      </c>
      <c r="G161" s="12" t="s">
        <v>187</v>
      </c>
      <c r="H161" s="13">
        <v>17.04</v>
      </c>
      <c r="I161" s="13">
        <v>5.9</v>
      </c>
      <c r="J161" s="13">
        <v>1047.5</v>
      </c>
      <c r="K161" s="13">
        <v>2652.6</v>
      </c>
      <c r="L161" s="13">
        <v>319.60000000000002</v>
      </c>
      <c r="M161" s="13">
        <v>5235</v>
      </c>
      <c r="N161" s="13">
        <v>1166</v>
      </c>
      <c r="O161" s="13">
        <v>174.6</v>
      </c>
      <c r="P161" s="13">
        <v>49.2</v>
      </c>
      <c r="Q161" s="13">
        <v>130.9</v>
      </c>
      <c r="R161" s="13">
        <v>13.04</v>
      </c>
      <c r="S161" s="13">
        <v>55.86</v>
      </c>
      <c r="T161" s="13">
        <v>180.1</v>
      </c>
      <c r="U161" s="13">
        <v>8.2100000000000009</v>
      </c>
      <c r="V161" s="13">
        <v>15.66</v>
      </c>
      <c r="W161" s="13">
        <v>1.64</v>
      </c>
      <c r="X161" s="13">
        <v>7.71</v>
      </c>
      <c r="Y161" s="13">
        <v>0.98</v>
      </c>
      <c r="Z161" s="13">
        <v>331.4</v>
      </c>
      <c r="AA161" s="13">
        <v>45.2</v>
      </c>
      <c r="AB161" s="13"/>
      <c r="AC161" s="14">
        <v>1179.7297297297298</v>
      </c>
      <c r="AD161" s="14">
        <v>873.88987566607466</v>
      </c>
      <c r="AE161" s="14">
        <v>657.7889447236181</v>
      </c>
      <c r="AF161" s="14">
        <v>361.21883656509692</v>
      </c>
      <c r="AG161" s="15">
        <v>0.95116298714738479</v>
      </c>
      <c r="AH161" s="15">
        <v>0.99202395821374756</v>
      </c>
      <c r="AI161" s="15">
        <v>1.099035099087009</v>
      </c>
      <c r="AJ161" s="41">
        <f t="shared" si="4"/>
        <v>5185.7</v>
      </c>
      <c r="AK161" s="44">
        <f t="shared" si="5"/>
        <v>29.06718489727929</v>
      </c>
      <c r="AL161" s="10"/>
      <c r="AM161" s="10"/>
    </row>
    <row r="162" spans="1:39" s="16" customFormat="1" ht="19" customHeight="1">
      <c r="A162" s="9" t="s">
        <v>208</v>
      </c>
      <c r="B162" s="10" t="s">
        <v>186</v>
      </c>
      <c r="C162" s="10"/>
      <c r="D162" s="10"/>
      <c r="E162" s="19" t="s">
        <v>1344</v>
      </c>
      <c r="F162" s="19" t="s">
        <v>30</v>
      </c>
      <c r="G162" s="12" t="s">
        <v>187</v>
      </c>
      <c r="H162" s="13">
        <v>8.06</v>
      </c>
      <c r="I162" s="13">
        <v>0.55000000000000004</v>
      </c>
      <c r="J162" s="13">
        <v>819.9</v>
      </c>
      <c r="K162" s="13">
        <v>2212.1</v>
      </c>
      <c r="L162" s="13">
        <v>272.10000000000002</v>
      </c>
      <c r="M162" s="13">
        <v>5225</v>
      </c>
      <c r="N162" s="13">
        <v>992.2</v>
      </c>
      <c r="O162" s="13">
        <v>148.19999999999999</v>
      </c>
      <c r="P162" s="13">
        <v>42.4</v>
      </c>
      <c r="Q162" s="13">
        <v>108.9</v>
      </c>
      <c r="R162" s="13">
        <v>10.4</v>
      </c>
      <c r="S162" s="13">
        <v>42.57</v>
      </c>
      <c r="T162" s="13">
        <v>126.6</v>
      </c>
      <c r="U162" s="13">
        <v>6.05</v>
      </c>
      <c r="V162" s="13">
        <v>10.88</v>
      </c>
      <c r="W162" s="13">
        <v>1.04</v>
      </c>
      <c r="X162" s="13">
        <v>4.33</v>
      </c>
      <c r="Y162" s="13">
        <v>0.51</v>
      </c>
      <c r="Z162" s="13">
        <v>210.4</v>
      </c>
      <c r="AA162" s="13">
        <v>28.8</v>
      </c>
      <c r="AB162" s="13"/>
      <c r="AC162" s="14">
        <v>1001.3513513513514</v>
      </c>
      <c r="AD162" s="14">
        <v>753.10834813499116</v>
      </c>
      <c r="AE162" s="14">
        <v>547.2361809045226</v>
      </c>
      <c r="AF162" s="14">
        <v>288.0886426592798</v>
      </c>
      <c r="AG162" s="15">
        <v>0.97263904357787978</v>
      </c>
      <c r="AH162" s="15">
        <v>1.0173650544663742</v>
      </c>
      <c r="AI162" s="15">
        <v>1.1392641308643097</v>
      </c>
      <c r="AJ162" s="41">
        <f t="shared" si="4"/>
        <v>4296.3</v>
      </c>
      <c r="AK162" s="44">
        <f t="shared" si="5"/>
        <v>41.271721958925752</v>
      </c>
      <c r="AL162" s="10"/>
      <c r="AM162" s="10"/>
    </row>
    <row r="163" spans="1:39" s="16" customFormat="1" ht="19" customHeight="1">
      <c r="A163" s="9" t="s">
        <v>209</v>
      </c>
      <c r="B163" s="10" t="s">
        <v>186</v>
      </c>
      <c r="C163" s="10"/>
      <c r="D163" s="10"/>
      <c r="E163" s="19" t="s">
        <v>1344</v>
      </c>
      <c r="F163" s="19" t="s">
        <v>30</v>
      </c>
      <c r="G163" s="12" t="s">
        <v>187</v>
      </c>
      <c r="H163" s="13">
        <v>1.1100000000000001</v>
      </c>
      <c r="I163" s="13">
        <v>3.44</v>
      </c>
      <c r="J163" s="13">
        <v>89.7</v>
      </c>
      <c r="K163" s="13">
        <v>429.4</v>
      </c>
      <c r="L163" s="13">
        <v>81.7</v>
      </c>
      <c r="M163" s="13">
        <v>3773</v>
      </c>
      <c r="N163" s="13">
        <v>403.4</v>
      </c>
      <c r="O163" s="13">
        <v>86</v>
      </c>
      <c r="P163" s="13">
        <v>23.7</v>
      </c>
      <c r="Q163" s="13">
        <v>61.2</v>
      </c>
      <c r="R163" s="13">
        <v>5.53</v>
      </c>
      <c r="S163" s="13">
        <v>19.61</v>
      </c>
      <c r="T163" s="13">
        <v>55.1</v>
      </c>
      <c r="U163" s="13">
        <v>2.5</v>
      </c>
      <c r="V163" s="13">
        <v>3.68</v>
      </c>
      <c r="W163" s="13">
        <v>0.4</v>
      </c>
      <c r="X163" s="13">
        <v>1.48</v>
      </c>
      <c r="Y163" s="13">
        <v>0.24</v>
      </c>
      <c r="Z163" s="13">
        <v>337.4</v>
      </c>
      <c r="AA163" s="13">
        <v>3.6</v>
      </c>
      <c r="AB163" s="13"/>
      <c r="AC163" s="14">
        <v>581.08108108108115</v>
      </c>
      <c r="AD163" s="14">
        <v>420.95914742451157</v>
      </c>
      <c r="AE163" s="14">
        <v>307.53768844221105</v>
      </c>
      <c r="AF163" s="14">
        <v>153.18559556786704</v>
      </c>
      <c r="AG163" s="15">
        <v>0.94744599565534493</v>
      </c>
      <c r="AH163" s="15">
        <v>0.99580066133878753</v>
      </c>
      <c r="AI163" s="15">
        <v>1.129820588104111</v>
      </c>
      <c r="AJ163" s="41">
        <f t="shared" si="4"/>
        <v>1004.2</v>
      </c>
      <c r="AK163" s="44">
        <f t="shared" si="5"/>
        <v>68.475499092558977</v>
      </c>
      <c r="AL163" s="10"/>
      <c r="AM163" s="10"/>
    </row>
    <row r="164" spans="1:39" s="16" customFormat="1" ht="19" customHeight="1">
      <c r="A164" s="9" t="s">
        <v>210</v>
      </c>
      <c r="B164" s="10" t="s">
        <v>186</v>
      </c>
      <c r="C164" s="10"/>
      <c r="D164" s="10"/>
      <c r="E164" s="19" t="s">
        <v>1344</v>
      </c>
      <c r="F164" s="19" t="s">
        <v>30</v>
      </c>
      <c r="G164" s="12" t="s">
        <v>187</v>
      </c>
      <c r="H164" s="13">
        <v>43.01</v>
      </c>
      <c r="I164" s="13">
        <v>0.12</v>
      </c>
      <c r="J164" s="13">
        <v>1121.5</v>
      </c>
      <c r="K164" s="13">
        <v>2564.9</v>
      </c>
      <c r="L164" s="13">
        <v>307.39999999999998</v>
      </c>
      <c r="M164" s="13">
        <v>8377</v>
      </c>
      <c r="N164" s="13">
        <v>1213.2</v>
      </c>
      <c r="O164" s="13">
        <v>200.9</v>
      </c>
      <c r="P164" s="13">
        <v>57</v>
      </c>
      <c r="Q164" s="13">
        <v>152.6</v>
      </c>
      <c r="R164" s="13">
        <v>16.03</v>
      </c>
      <c r="S164" s="13">
        <v>72.69</v>
      </c>
      <c r="T164" s="13">
        <v>243.2</v>
      </c>
      <c r="U164" s="13">
        <v>11.05</v>
      </c>
      <c r="V164" s="13">
        <v>21.62</v>
      </c>
      <c r="W164" s="13">
        <v>2.2000000000000002</v>
      </c>
      <c r="X164" s="13">
        <v>10.55</v>
      </c>
      <c r="Y164" s="13">
        <v>1.22</v>
      </c>
      <c r="Z164" s="13">
        <v>502.6</v>
      </c>
      <c r="AA164" s="13">
        <v>52.3</v>
      </c>
      <c r="AB164" s="13"/>
      <c r="AC164" s="14">
        <v>1357.4324324324325</v>
      </c>
      <c r="AD164" s="14">
        <v>1012.4333925399645</v>
      </c>
      <c r="AE164" s="14">
        <v>766.83417085427129</v>
      </c>
      <c r="AF164" s="14">
        <v>444.0443213296399</v>
      </c>
      <c r="AG164" s="15">
        <v>0.95320746555400282</v>
      </c>
      <c r="AH164" s="15">
        <v>0.99233114348636076</v>
      </c>
      <c r="AI164" s="15">
        <v>1.0824608719546862</v>
      </c>
      <c r="AJ164" s="41">
        <f t="shared" si="4"/>
        <v>5207</v>
      </c>
      <c r="AK164" s="44">
        <f t="shared" si="5"/>
        <v>34.444901315789473</v>
      </c>
      <c r="AL164" s="10"/>
      <c r="AM164" s="10"/>
    </row>
    <row r="165" spans="1:39" s="16" customFormat="1" ht="19" customHeight="1">
      <c r="A165" s="9" t="s">
        <v>211</v>
      </c>
      <c r="B165" s="10" t="s">
        <v>186</v>
      </c>
      <c r="C165" s="10"/>
      <c r="D165" s="10"/>
      <c r="E165" s="19" t="s">
        <v>1344</v>
      </c>
      <c r="F165" s="19" t="s">
        <v>30</v>
      </c>
      <c r="G165" s="12" t="s">
        <v>187</v>
      </c>
      <c r="H165" s="13">
        <v>15.17</v>
      </c>
      <c r="I165" s="13">
        <v>0.35</v>
      </c>
      <c r="J165" s="13">
        <v>584.6</v>
      </c>
      <c r="K165" s="13">
        <v>1996.8</v>
      </c>
      <c r="L165" s="13">
        <v>255.2</v>
      </c>
      <c r="M165" s="13">
        <v>8911</v>
      </c>
      <c r="N165" s="13">
        <v>959.9</v>
      </c>
      <c r="O165" s="13">
        <v>141.5</v>
      </c>
      <c r="P165" s="13">
        <v>36.4</v>
      </c>
      <c r="Q165" s="13">
        <v>87.3</v>
      </c>
      <c r="R165" s="13">
        <v>5.38</v>
      </c>
      <c r="S165" s="13">
        <v>18.03</v>
      </c>
      <c r="T165" s="13">
        <v>42.9</v>
      </c>
      <c r="U165" s="13">
        <v>2.14</v>
      </c>
      <c r="V165" s="13">
        <v>3.22</v>
      </c>
      <c r="W165" s="13">
        <v>0.31</v>
      </c>
      <c r="X165" s="13">
        <v>1.21</v>
      </c>
      <c r="Y165" s="13">
        <v>0.16</v>
      </c>
      <c r="Z165" s="13">
        <v>760</v>
      </c>
      <c r="AA165" s="13">
        <v>21</v>
      </c>
      <c r="AB165" s="13"/>
      <c r="AC165" s="14">
        <v>956.08108108108115</v>
      </c>
      <c r="AD165" s="14">
        <v>646.53641207815281</v>
      </c>
      <c r="AE165" s="14">
        <v>438.6934673366834</v>
      </c>
      <c r="AF165" s="14">
        <v>149.03047091412742</v>
      </c>
      <c r="AG165" s="15">
        <v>0.92708375387489717</v>
      </c>
      <c r="AH165" s="15">
        <v>0.99830912991122711</v>
      </c>
      <c r="AI165" s="15">
        <v>1.2565260060020398</v>
      </c>
      <c r="AJ165" s="41">
        <f t="shared" si="4"/>
        <v>3796.5</v>
      </c>
      <c r="AK165" s="44">
        <f t="shared" si="5"/>
        <v>207.71561771561773</v>
      </c>
      <c r="AL165" s="10"/>
      <c r="AM165" s="10"/>
    </row>
    <row r="166" spans="1:39" s="16" customFormat="1" ht="19" customHeight="1">
      <c r="A166" s="9" t="s">
        <v>212</v>
      </c>
      <c r="B166" s="10" t="s">
        <v>186</v>
      </c>
      <c r="C166" s="10"/>
      <c r="D166" s="10"/>
      <c r="E166" s="19" t="s">
        <v>1344</v>
      </c>
      <c r="F166" s="19" t="s">
        <v>30</v>
      </c>
      <c r="G166" s="12" t="s">
        <v>187</v>
      </c>
      <c r="H166" s="13">
        <v>175.06</v>
      </c>
      <c r="I166" s="13">
        <v>0.51</v>
      </c>
      <c r="J166" s="13">
        <v>1694.7</v>
      </c>
      <c r="K166" s="13">
        <v>5399</v>
      </c>
      <c r="L166" s="13">
        <v>697.5</v>
      </c>
      <c r="M166" s="13">
        <v>10664</v>
      </c>
      <c r="N166" s="13">
        <v>2722</v>
      </c>
      <c r="O166" s="13">
        <v>375.3</v>
      </c>
      <c r="P166" s="13">
        <v>88</v>
      </c>
      <c r="Q166" s="13">
        <v>207.1</v>
      </c>
      <c r="R166" s="13">
        <v>10.19</v>
      </c>
      <c r="S166" s="13">
        <v>29.22</v>
      </c>
      <c r="T166" s="13">
        <v>59.3</v>
      </c>
      <c r="U166" s="13">
        <v>3.14</v>
      </c>
      <c r="V166" s="13">
        <v>4.78</v>
      </c>
      <c r="W166" s="13">
        <v>0.4</v>
      </c>
      <c r="X166" s="13">
        <v>2</v>
      </c>
      <c r="Y166" s="13">
        <v>0.19</v>
      </c>
      <c r="Z166" s="13">
        <v>748.3</v>
      </c>
      <c r="AA166" s="13">
        <v>125.8</v>
      </c>
      <c r="AB166" s="13"/>
      <c r="AC166" s="14">
        <v>2535.8108108108108</v>
      </c>
      <c r="AD166" s="14">
        <v>1563.0550621669629</v>
      </c>
      <c r="AE166" s="14">
        <v>1040.7035175879396</v>
      </c>
      <c r="AF166" s="14">
        <v>282.27146814404432</v>
      </c>
      <c r="AG166" s="15">
        <v>0.87406615416343758</v>
      </c>
      <c r="AH166" s="15">
        <v>0.96217117390354856</v>
      </c>
      <c r="AI166" s="15">
        <v>1.2813685218609716</v>
      </c>
      <c r="AJ166" s="41">
        <f t="shared" si="4"/>
        <v>10513.2</v>
      </c>
      <c r="AK166" s="44">
        <f t="shared" si="5"/>
        <v>179.83136593591905</v>
      </c>
      <c r="AL166" s="10"/>
      <c r="AM166" s="10"/>
    </row>
    <row r="167" spans="1:39" s="16" customFormat="1" ht="19" customHeight="1">
      <c r="A167" s="9" t="s">
        <v>213</v>
      </c>
      <c r="B167" s="10" t="s">
        <v>186</v>
      </c>
      <c r="C167" s="10"/>
      <c r="D167" s="10"/>
      <c r="E167" s="19" t="s">
        <v>1344</v>
      </c>
      <c r="F167" s="19" t="s">
        <v>214</v>
      </c>
      <c r="G167" s="12" t="s">
        <v>138</v>
      </c>
      <c r="H167" s="13">
        <v>0.5</v>
      </c>
      <c r="I167" s="13"/>
      <c r="J167" s="13">
        <v>1052.7</v>
      </c>
      <c r="K167" s="13">
        <v>2501.1999999999998</v>
      </c>
      <c r="L167" s="13">
        <v>295.3</v>
      </c>
      <c r="M167" s="13"/>
      <c r="N167" s="13">
        <v>1195.9000000000001</v>
      </c>
      <c r="O167" s="13">
        <v>194.9</v>
      </c>
      <c r="P167" s="13">
        <v>57.8</v>
      </c>
      <c r="Q167" s="13">
        <v>158.1</v>
      </c>
      <c r="R167" s="13">
        <v>18</v>
      </c>
      <c r="S167" s="13">
        <v>78</v>
      </c>
      <c r="T167" s="13">
        <v>287.8</v>
      </c>
      <c r="U167" s="13">
        <v>11.1</v>
      </c>
      <c r="V167" s="13">
        <v>23.2</v>
      </c>
      <c r="W167" s="13">
        <v>2.4</v>
      </c>
      <c r="X167" s="13">
        <v>11.4</v>
      </c>
      <c r="Y167" s="13">
        <v>1.3</v>
      </c>
      <c r="Z167" s="13"/>
      <c r="AA167" s="13"/>
      <c r="AB167" s="13"/>
      <c r="AC167" s="14">
        <v>1316.8918918918921</v>
      </c>
      <c r="AD167" s="14">
        <v>1026.6429840142096</v>
      </c>
      <c r="AE167" s="14">
        <v>794.4723618090452</v>
      </c>
      <c r="AF167" s="14">
        <v>498.61495844875344</v>
      </c>
      <c r="AG167" s="15">
        <v>0.9724925315133498</v>
      </c>
      <c r="AH167" s="15">
        <v>1.0037024516154236</v>
      </c>
      <c r="AI167" s="15">
        <v>1.0776165690383355</v>
      </c>
      <c r="AJ167" s="41">
        <f t="shared" si="4"/>
        <v>5045.1000000000004</v>
      </c>
      <c r="AK167" s="44">
        <f t="shared" si="5"/>
        <v>0</v>
      </c>
      <c r="AL167" s="10"/>
      <c r="AM167" s="10"/>
    </row>
    <row r="168" spans="1:39" s="16" customFormat="1" ht="19" customHeight="1">
      <c r="A168" s="9" t="s">
        <v>215</v>
      </c>
      <c r="B168" s="10" t="s">
        <v>186</v>
      </c>
      <c r="C168" s="10"/>
      <c r="D168" s="10"/>
      <c r="E168" s="19" t="s">
        <v>1344</v>
      </c>
      <c r="F168" s="19" t="s">
        <v>214</v>
      </c>
      <c r="G168" s="12" t="s">
        <v>138</v>
      </c>
      <c r="H168" s="13">
        <v>0.2</v>
      </c>
      <c r="I168" s="13"/>
      <c r="J168" s="13">
        <v>2258.3000000000002</v>
      </c>
      <c r="K168" s="13">
        <v>5045.5</v>
      </c>
      <c r="L168" s="13">
        <v>578.6</v>
      </c>
      <c r="M168" s="13"/>
      <c r="N168" s="13">
        <v>2255.3000000000002</v>
      </c>
      <c r="O168" s="13">
        <v>330.9</v>
      </c>
      <c r="P168" s="13">
        <v>96</v>
      </c>
      <c r="Q168" s="13">
        <v>258.3</v>
      </c>
      <c r="R168" s="13">
        <v>29.2</v>
      </c>
      <c r="S168" s="13">
        <v>128.30000000000001</v>
      </c>
      <c r="T168" s="13">
        <v>485.6</v>
      </c>
      <c r="U168" s="13">
        <v>18.600000000000001</v>
      </c>
      <c r="V168" s="13">
        <v>38.1</v>
      </c>
      <c r="W168" s="13">
        <v>4</v>
      </c>
      <c r="X168" s="13">
        <v>20.8</v>
      </c>
      <c r="Y168" s="13">
        <v>2.2999999999999998</v>
      </c>
      <c r="Z168" s="13"/>
      <c r="AA168" s="13"/>
      <c r="AB168" s="13"/>
      <c r="AC168" s="14">
        <v>2235.8108108108108</v>
      </c>
      <c r="AD168" s="14">
        <v>1705.1509769094139</v>
      </c>
      <c r="AE168" s="14">
        <v>1297.9899497487438</v>
      </c>
      <c r="AF168" s="14">
        <v>808.86426592797784</v>
      </c>
      <c r="AG168" s="15">
        <v>0.96505213080514141</v>
      </c>
      <c r="AH168" s="15">
        <v>1.0009436930501618</v>
      </c>
      <c r="AI168" s="15">
        <v>1.0703215117804838</v>
      </c>
      <c r="AJ168" s="41">
        <f t="shared" si="4"/>
        <v>10137.700000000001</v>
      </c>
      <c r="AK168" s="44">
        <f t="shared" si="5"/>
        <v>0</v>
      </c>
      <c r="AL168" s="10"/>
      <c r="AM168" s="10"/>
    </row>
    <row r="169" spans="1:39" s="16" customFormat="1" ht="19" customHeight="1">
      <c r="A169" s="9" t="s">
        <v>216</v>
      </c>
      <c r="B169" s="10" t="s">
        <v>217</v>
      </c>
      <c r="C169" s="10"/>
      <c r="D169" s="10"/>
      <c r="E169" s="19" t="s">
        <v>1344</v>
      </c>
      <c r="F169" s="19" t="s">
        <v>214</v>
      </c>
      <c r="G169" s="12" t="s">
        <v>138</v>
      </c>
      <c r="H169" s="13">
        <v>50.2</v>
      </c>
      <c r="I169" s="13"/>
      <c r="J169" s="13">
        <v>842.5</v>
      </c>
      <c r="K169" s="13">
        <v>1648.5</v>
      </c>
      <c r="L169" s="13">
        <v>166.7</v>
      </c>
      <c r="M169" s="13"/>
      <c r="N169" s="13">
        <v>676.8</v>
      </c>
      <c r="O169" s="13">
        <v>82.4</v>
      </c>
      <c r="P169" s="13">
        <v>21.5</v>
      </c>
      <c r="Q169" s="13">
        <v>62.3</v>
      </c>
      <c r="R169" s="13">
        <v>6.7</v>
      </c>
      <c r="S169" s="13">
        <v>32.5</v>
      </c>
      <c r="T169" s="13">
        <v>131.80000000000001</v>
      </c>
      <c r="U169" s="13"/>
      <c r="V169" s="13">
        <v>11.8</v>
      </c>
      <c r="W169" s="13">
        <v>1.2</v>
      </c>
      <c r="X169" s="13">
        <v>7.7</v>
      </c>
      <c r="Y169" s="13">
        <v>1.1000000000000001</v>
      </c>
      <c r="Z169" s="13"/>
      <c r="AA169" s="13"/>
      <c r="AB169" s="13"/>
      <c r="AC169" s="14">
        <v>556.75675675675677</v>
      </c>
      <c r="AD169" s="14">
        <v>381.88277087033748</v>
      </c>
      <c r="AE169" s="14">
        <v>313.0653266331658</v>
      </c>
      <c r="AF169" s="14">
        <v>185.59556786703601</v>
      </c>
      <c r="AG169" s="15">
        <v>0.87807099443150749</v>
      </c>
      <c r="AH169" s="15">
        <v>0.91470242779783784</v>
      </c>
      <c r="AI169" s="15">
        <v>0.98922982298127093</v>
      </c>
      <c r="AJ169" s="41">
        <f t="shared" si="4"/>
        <v>3334.5</v>
      </c>
      <c r="AK169" s="44">
        <f t="shared" si="5"/>
        <v>0</v>
      </c>
      <c r="AL169" s="10"/>
      <c r="AM169" s="10"/>
    </row>
    <row r="170" spans="1:39" s="16" customFormat="1" ht="19" customHeight="1">
      <c r="A170" s="9" t="s">
        <v>218</v>
      </c>
      <c r="B170" s="10" t="s">
        <v>217</v>
      </c>
      <c r="C170" s="10"/>
      <c r="D170" s="10"/>
      <c r="E170" s="19" t="s">
        <v>1344</v>
      </c>
      <c r="F170" s="19" t="s">
        <v>214</v>
      </c>
      <c r="G170" s="12" t="s">
        <v>138</v>
      </c>
      <c r="H170" s="13">
        <v>124.7</v>
      </c>
      <c r="I170" s="13"/>
      <c r="J170" s="13">
        <v>486.5</v>
      </c>
      <c r="K170" s="13">
        <v>1506.2</v>
      </c>
      <c r="L170" s="13">
        <v>248.5</v>
      </c>
      <c r="M170" s="13"/>
      <c r="N170" s="13">
        <v>1277.0999999999999</v>
      </c>
      <c r="O170" s="13">
        <v>269.60000000000002</v>
      </c>
      <c r="P170" s="13">
        <v>59.8</v>
      </c>
      <c r="Q170" s="13">
        <v>214.9</v>
      </c>
      <c r="R170" s="13">
        <v>23.7</v>
      </c>
      <c r="S170" s="13">
        <v>105.9</v>
      </c>
      <c r="T170" s="13">
        <v>425.9</v>
      </c>
      <c r="U170" s="13">
        <v>15.9</v>
      </c>
      <c r="V170" s="13">
        <v>32.6</v>
      </c>
      <c r="W170" s="13">
        <v>4</v>
      </c>
      <c r="X170" s="13">
        <v>22.6</v>
      </c>
      <c r="Y170" s="13">
        <v>2.7</v>
      </c>
      <c r="Z170" s="13"/>
      <c r="AA170" s="13"/>
      <c r="AB170" s="13"/>
      <c r="AC170" s="14">
        <v>1821.6216216216219</v>
      </c>
      <c r="AD170" s="14">
        <v>1062.1669626998223</v>
      </c>
      <c r="AE170" s="14">
        <v>1079.8994974874372</v>
      </c>
      <c r="AF170" s="14">
        <v>656.50969529085876</v>
      </c>
      <c r="AG170" s="15">
        <v>0.73214491233892598</v>
      </c>
      <c r="AH170" s="15">
        <v>0.75730710848607696</v>
      </c>
      <c r="AI170" s="15">
        <v>0.81935786421432011</v>
      </c>
      <c r="AJ170" s="41">
        <f t="shared" si="4"/>
        <v>3518.2999999999997</v>
      </c>
      <c r="AK170" s="44">
        <f t="shared" si="5"/>
        <v>0</v>
      </c>
      <c r="AL170" s="10"/>
      <c r="AM170" s="10"/>
    </row>
    <row r="171" spans="1:39" s="16" customFormat="1" ht="19" customHeight="1">
      <c r="A171" s="9" t="s">
        <v>219</v>
      </c>
      <c r="B171" s="10" t="s">
        <v>217</v>
      </c>
      <c r="C171" s="10"/>
      <c r="D171" s="10"/>
      <c r="E171" s="19" t="s">
        <v>1344</v>
      </c>
      <c r="F171" s="19" t="s">
        <v>214</v>
      </c>
      <c r="G171" s="12" t="s">
        <v>138</v>
      </c>
      <c r="H171" s="13">
        <v>62.8</v>
      </c>
      <c r="I171" s="13"/>
      <c r="J171" s="13">
        <v>658.6</v>
      </c>
      <c r="K171" s="13">
        <v>1567.9</v>
      </c>
      <c r="L171" s="13">
        <v>233.4</v>
      </c>
      <c r="M171" s="13"/>
      <c r="N171" s="13">
        <v>1074.9000000000001</v>
      </c>
      <c r="O171" s="13">
        <v>208.7</v>
      </c>
      <c r="P171" s="13">
        <v>45.8</v>
      </c>
      <c r="Q171" s="13">
        <v>160.69999999999999</v>
      </c>
      <c r="R171" s="13">
        <v>16.100000000000001</v>
      </c>
      <c r="S171" s="13">
        <v>67.599999999999994</v>
      </c>
      <c r="T171" s="13">
        <v>253</v>
      </c>
      <c r="U171" s="13">
        <v>8.6999999999999993</v>
      </c>
      <c r="V171" s="13">
        <v>16.899999999999999</v>
      </c>
      <c r="W171" s="13">
        <v>2.1</v>
      </c>
      <c r="X171" s="13">
        <v>12</v>
      </c>
      <c r="Y171" s="13">
        <v>1.4</v>
      </c>
      <c r="Z171" s="13"/>
      <c r="AA171" s="13"/>
      <c r="AB171" s="13"/>
      <c r="AC171" s="14">
        <v>1410.1351351351352</v>
      </c>
      <c r="AD171" s="14">
        <v>813.49911190053285</v>
      </c>
      <c r="AE171" s="14">
        <v>807.53768844221099</v>
      </c>
      <c r="AF171" s="14">
        <v>445.98337950138506</v>
      </c>
      <c r="AG171" s="15">
        <v>0.73365115291287264</v>
      </c>
      <c r="AH171" s="15">
        <v>0.76233404644538805</v>
      </c>
      <c r="AI171" s="15">
        <v>0.84672757399534371</v>
      </c>
      <c r="AJ171" s="41">
        <f t="shared" si="4"/>
        <v>3534.8</v>
      </c>
      <c r="AK171" s="44">
        <f t="shared" si="5"/>
        <v>0</v>
      </c>
      <c r="AL171" s="10"/>
      <c r="AM171" s="10"/>
    </row>
    <row r="172" spans="1:39" s="16" customFormat="1" ht="19" customHeight="1">
      <c r="A172" s="9" t="s">
        <v>220</v>
      </c>
      <c r="B172" s="10" t="s">
        <v>217</v>
      </c>
      <c r="C172" s="10"/>
      <c r="D172" s="10"/>
      <c r="E172" s="19" t="s">
        <v>1344</v>
      </c>
      <c r="F172" s="19" t="s">
        <v>214</v>
      </c>
      <c r="G172" s="12" t="s">
        <v>138</v>
      </c>
      <c r="H172" s="13">
        <v>60.1</v>
      </c>
      <c r="I172" s="13"/>
      <c r="J172" s="13">
        <v>456.3</v>
      </c>
      <c r="K172" s="13">
        <v>1457.7</v>
      </c>
      <c r="L172" s="13">
        <v>226.6</v>
      </c>
      <c r="M172" s="13"/>
      <c r="N172" s="13">
        <v>1112.5999999999999</v>
      </c>
      <c r="O172" s="13">
        <v>231</v>
      </c>
      <c r="P172" s="13">
        <v>50.2</v>
      </c>
      <c r="Q172" s="13">
        <v>183.1</v>
      </c>
      <c r="R172" s="13">
        <v>20</v>
      </c>
      <c r="S172" s="13">
        <v>85</v>
      </c>
      <c r="T172" s="13">
        <v>334.8</v>
      </c>
      <c r="U172" s="13">
        <v>12.1</v>
      </c>
      <c r="V172" s="13">
        <v>26.1</v>
      </c>
      <c r="W172" s="13">
        <v>3.1</v>
      </c>
      <c r="X172" s="13">
        <v>16.7</v>
      </c>
      <c r="Y172" s="13">
        <v>2.2999999999999998</v>
      </c>
      <c r="Z172" s="13"/>
      <c r="AA172" s="13"/>
      <c r="AB172" s="13"/>
      <c r="AC172" s="14">
        <v>1560.8108108108108</v>
      </c>
      <c r="AD172" s="14">
        <v>891.65186500888115</v>
      </c>
      <c r="AE172" s="14">
        <v>920.10050251256268</v>
      </c>
      <c r="AF172" s="14">
        <v>554.016620498615</v>
      </c>
      <c r="AG172" s="15">
        <v>0.71880994715159252</v>
      </c>
      <c r="AH172" s="15">
        <v>0.74405074539062421</v>
      </c>
      <c r="AI172" s="15">
        <v>0.80684023712356923</v>
      </c>
      <c r="AJ172" s="41">
        <f t="shared" si="4"/>
        <v>3253.2</v>
      </c>
      <c r="AK172" s="44">
        <f t="shared" si="5"/>
        <v>0</v>
      </c>
      <c r="AL172" s="10"/>
      <c r="AM172" s="10"/>
    </row>
    <row r="173" spans="1:39" s="16" customFormat="1" ht="19" customHeight="1">
      <c r="A173" s="9" t="s">
        <v>221</v>
      </c>
      <c r="B173" s="10" t="s">
        <v>217</v>
      </c>
      <c r="C173" s="10"/>
      <c r="D173" s="10"/>
      <c r="E173" s="19" t="s">
        <v>1344</v>
      </c>
      <c r="F173" s="19" t="s">
        <v>214</v>
      </c>
      <c r="G173" s="12" t="s">
        <v>138</v>
      </c>
      <c r="H173" s="13">
        <v>9.5</v>
      </c>
      <c r="I173" s="13"/>
      <c r="J173" s="13">
        <v>940.3</v>
      </c>
      <c r="K173" s="13">
        <v>2411.3000000000002</v>
      </c>
      <c r="L173" s="13">
        <v>355.4</v>
      </c>
      <c r="M173" s="13"/>
      <c r="N173" s="13">
        <v>1668.8</v>
      </c>
      <c r="O173" s="13">
        <v>313</v>
      </c>
      <c r="P173" s="13">
        <v>33.700000000000003</v>
      </c>
      <c r="Q173" s="13">
        <v>274.10000000000002</v>
      </c>
      <c r="R173" s="13">
        <v>33.299999999999997</v>
      </c>
      <c r="S173" s="13">
        <v>170.3</v>
      </c>
      <c r="T173" s="13">
        <v>818.4</v>
      </c>
      <c r="U173" s="13">
        <v>29.9</v>
      </c>
      <c r="V173" s="13">
        <v>71.8</v>
      </c>
      <c r="W173" s="13">
        <v>8.6</v>
      </c>
      <c r="X173" s="13">
        <v>47.4</v>
      </c>
      <c r="Y173" s="13">
        <v>6.1</v>
      </c>
      <c r="Z173" s="13"/>
      <c r="AA173" s="13"/>
      <c r="AB173" s="13"/>
      <c r="AC173" s="14">
        <v>2114.864864864865</v>
      </c>
      <c r="AD173" s="14">
        <v>598.57904085257553</v>
      </c>
      <c r="AE173" s="14">
        <v>1377.3869346733668</v>
      </c>
      <c r="AF173" s="14">
        <v>922.43767313019384</v>
      </c>
      <c r="AG173" s="15">
        <v>0.34280405607162895</v>
      </c>
      <c r="AH173" s="15">
        <v>0.35071328349400827</v>
      </c>
      <c r="AI173" s="15">
        <v>0.37321069527895279</v>
      </c>
      <c r="AJ173" s="41">
        <f t="shared" si="4"/>
        <v>5375.8</v>
      </c>
      <c r="AK173" s="44">
        <f t="shared" si="5"/>
        <v>0</v>
      </c>
      <c r="AL173" s="10"/>
      <c r="AM173" s="10"/>
    </row>
    <row r="174" spans="1:39" s="16" customFormat="1" ht="19" customHeight="1">
      <c r="A174" s="9" t="s">
        <v>222</v>
      </c>
      <c r="B174" s="10" t="s">
        <v>217</v>
      </c>
      <c r="C174" s="10"/>
      <c r="D174" s="10"/>
      <c r="E174" s="19" t="s">
        <v>1344</v>
      </c>
      <c r="F174" s="19" t="s">
        <v>214</v>
      </c>
      <c r="G174" s="12" t="s">
        <v>138</v>
      </c>
      <c r="H174" s="13">
        <v>44.6</v>
      </c>
      <c r="I174" s="13"/>
      <c r="J174" s="13">
        <v>1554.6</v>
      </c>
      <c r="K174" s="13">
        <v>3381.8</v>
      </c>
      <c r="L174" s="13">
        <v>424.2</v>
      </c>
      <c r="M174" s="13"/>
      <c r="N174" s="13">
        <v>1729.1</v>
      </c>
      <c r="O174" s="13">
        <v>269.3</v>
      </c>
      <c r="P174" s="13">
        <v>52.5</v>
      </c>
      <c r="Q174" s="13">
        <v>229.7</v>
      </c>
      <c r="R174" s="13">
        <v>26.4</v>
      </c>
      <c r="S174" s="13">
        <v>129.5</v>
      </c>
      <c r="T174" s="13">
        <v>630.1</v>
      </c>
      <c r="U174" s="13">
        <v>23</v>
      </c>
      <c r="V174" s="13">
        <v>57</v>
      </c>
      <c r="W174" s="13">
        <v>6.9</v>
      </c>
      <c r="X174" s="13">
        <v>39.1</v>
      </c>
      <c r="Y174" s="13">
        <v>5.0999999999999996</v>
      </c>
      <c r="Z174" s="13"/>
      <c r="AA174" s="13"/>
      <c r="AB174" s="13"/>
      <c r="AC174" s="14">
        <v>1819.5945945945948</v>
      </c>
      <c r="AD174" s="14">
        <v>932.50444049733574</v>
      </c>
      <c r="AE174" s="14">
        <v>1154.2713567839194</v>
      </c>
      <c r="AF174" s="14">
        <v>731.30193905817168</v>
      </c>
      <c r="AG174" s="15">
        <v>0.62713280002757354</v>
      </c>
      <c r="AH174" s="15">
        <v>0.64344233268415563</v>
      </c>
      <c r="AI174" s="15">
        <v>0.69444135402538854</v>
      </c>
      <c r="AJ174" s="41">
        <f t="shared" si="4"/>
        <v>7089.6999999999989</v>
      </c>
      <c r="AK174" s="44">
        <f t="shared" si="5"/>
        <v>0</v>
      </c>
      <c r="AL174" s="10"/>
      <c r="AM174" s="10"/>
    </row>
    <row r="175" spans="1:39" s="16" customFormat="1" ht="19" customHeight="1">
      <c r="A175" s="9" t="s">
        <v>223</v>
      </c>
      <c r="B175" s="10" t="s">
        <v>217</v>
      </c>
      <c r="C175" s="10"/>
      <c r="D175" s="10"/>
      <c r="E175" s="19" t="s">
        <v>1344</v>
      </c>
      <c r="F175" s="19" t="s">
        <v>214</v>
      </c>
      <c r="G175" s="12" t="s">
        <v>138</v>
      </c>
      <c r="H175" s="13">
        <v>44.2</v>
      </c>
      <c r="I175" s="13"/>
      <c r="J175" s="13">
        <v>2048.1999999999998</v>
      </c>
      <c r="K175" s="13">
        <v>4360.3</v>
      </c>
      <c r="L175" s="13">
        <v>524.6</v>
      </c>
      <c r="M175" s="13"/>
      <c r="N175" s="13">
        <v>2059.3000000000002</v>
      </c>
      <c r="O175" s="13">
        <v>314.5</v>
      </c>
      <c r="P175" s="13">
        <v>49</v>
      </c>
      <c r="Q175" s="13">
        <v>267.8</v>
      </c>
      <c r="R175" s="13">
        <v>30.4</v>
      </c>
      <c r="S175" s="13">
        <v>152.19999999999999</v>
      </c>
      <c r="T175" s="13">
        <v>737.4</v>
      </c>
      <c r="U175" s="13">
        <v>26.6</v>
      </c>
      <c r="V175" s="13">
        <v>64.400000000000006</v>
      </c>
      <c r="W175" s="13">
        <v>8.1</v>
      </c>
      <c r="X175" s="13">
        <v>46.6</v>
      </c>
      <c r="Y175" s="13">
        <v>6</v>
      </c>
      <c r="Z175" s="13"/>
      <c r="AA175" s="13"/>
      <c r="AB175" s="13"/>
      <c r="AC175" s="14">
        <v>2125</v>
      </c>
      <c r="AD175" s="14">
        <v>870.33747779751343</v>
      </c>
      <c r="AE175" s="14">
        <v>1345.7286432160804</v>
      </c>
      <c r="AF175" s="14">
        <v>842.10526315789468</v>
      </c>
      <c r="AG175" s="15">
        <v>0.50153012077085513</v>
      </c>
      <c r="AH175" s="15">
        <v>0.51467072975783368</v>
      </c>
      <c r="AI175" s="15">
        <v>0.55760449834131853</v>
      </c>
      <c r="AJ175" s="41">
        <f t="shared" si="4"/>
        <v>8992.4000000000015</v>
      </c>
      <c r="AK175" s="44">
        <f t="shared" si="5"/>
        <v>0</v>
      </c>
      <c r="AL175" s="10"/>
      <c r="AM175" s="10"/>
    </row>
    <row r="176" spans="1:39" s="16" customFormat="1" ht="19" customHeight="1">
      <c r="A176" s="9" t="s">
        <v>224</v>
      </c>
      <c r="B176" s="10" t="s">
        <v>140</v>
      </c>
      <c r="C176" s="10"/>
      <c r="D176" s="10"/>
      <c r="E176" s="20" t="s">
        <v>141</v>
      </c>
      <c r="F176" s="20" t="s">
        <v>225</v>
      </c>
      <c r="G176" s="12" t="s">
        <v>226</v>
      </c>
      <c r="H176" s="13"/>
      <c r="I176" s="13"/>
      <c r="J176" s="13">
        <v>192</v>
      </c>
      <c r="K176" s="13">
        <v>251</v>
      </c>
      <c r="L176" s="13">
        <v>67</v>
      </c>
      <c r="M176" s="13"/>
      <c r="N176" s="13">
        <v>303</v>
      </c>
      <c r="O176" s="13">
        <v>94</v>
      </c>
      <c r="P176" s="13">
        <v>26.2</v>
      </c>
      <c r="Q176" s="13">
        <v>88</v>
      </c>
      <c r="R176" s="13">
        <v>20.7</v>
      </c>
      <c r="S176" s="13">
        <v>102</v>
      </c>
      <c r="T176" s="13">
        <v>618</v>
      </c>
      <c r="U176" s="13">
        <v>21.1</v>
      </c>
      <c r="V176" s="13">
        <v>52</v>
      </c>
      <c r="W176" s="13">
        <v>6.9</v>
      </c>
      <c r="X176" s="13">
        <v>46</v>
      </c>
      <c r="Y176" s="13">
        <v>7</v>
      </c>
      <c r="Z176" s="13"/>
      <c r="AA176" s="13"/>
      <c r="AB176" s="13"/>
      <c r="AC176" s="14">
        <v>635.13513513513522</v>
      </c>
      <c r="AD176" s="14">
        <v>465.36412078152756</v>
      </c>
      <c r="AE176" s="14">
        <v>442.2110552763819</v>
      </c>
      <c r="AF176" s="14">
        <v>573.40720221606648</v>
      </c>
      <c r="AG176" s="15">
        <v>0.86390823102789471</v>
      </c>
      <c r="AH176" s="15">
        <v>0.87810212773353014</v>
      </c>
      <c r="AI176" s="15">
        <v>0.75810219965700576</v>
      </c>
      <c r="AJ176" s="41">
        <f t="shared" si="4"/>
        <v>813</v>
      </c>
      <c r="AK176" s="44">
        <f t="shared" si="5"/>
        <v>0</v>
      </c>
      <c r="AL176" s="10"/>
      <c r="AM176" s="10"/>
    </row>
    <row r="177" spans="1:41" s="16" customFormat="1" ht="19" customHeight="1">
      <c r="A177" s="9" t="s">
        <v>227</v>
      </c>
      <c r="B177" s="10" t="s">
        <v>228</v>
      </c>
      <c r="C177" s="10"/>
      <c r="D177" s="10"/>
      <c r="E177" s="17" t="s">
        <v>45</v>
      </c>
      <c r="F177" s="17" t="s">
        <v>225</v>
      </c>
      <c r="G177" s="12" t="s">
        <v>226</v>
      </c>
      <c r="H177" s="13"/>
      <c r="I177" s="13"/>
      <c r="J177" s="13">
        <v>1777</v>
      </c>
      <c r="K177" s="13">
        <v>4530</v>
      </c>
      <c r="L177" s="13">
        <v>673</v>
      </c>
      <c r="M177" s="13"/>
      <c r="N177" s="13">
        <v>2986</v>
      </c>
      <c r="O177" s="13">
        <v>622</v>
      </c>
      <c r="P177" s="13">
        <v>11.9</v>
      </c>
      <c r="Q177" s="13">
        <v>486</v>
      </c>
      <c r="R177" s="13">
        <v>101</v>
      </c>
      <c r="S177" s="13">
        <v>453</v>
      </c>
      <c r="T177" s="13">
        <v>2287</v>
      </c>
      <c r="U177" s="13">
        <v>89</v>
      </c>
      <c r="V177" s="13">
        <v>216</v>
      </c>
      <c r="W177" s="13">
        <v>22.7</v>
      </c>
      <c r="X177" s="13">
        <v>162</v>
      </c>
      <c r="Y177" s="13">
        <v>23</v>
      </c>
      <c r="Z177" s="13"/>
      <c r="AA177" s="13"/>
      <c r="AB177" s="13"/>
      <c r="AC177" s="14">
        <v>4202.7027027027025</v>
      </c>
      <c r="AD177" s="14">
        <v>211.36767317939612</v>
      </c>
      <c r="AE177" s="14">
        <v>2442.2110552763816</v>
      </c>
      <c r="AF177" s="14">
        <v>2797.7839335180056</v>
      </c>
      <c r="AG177" s="15">
        <v>6.3617883053964361E-2</v>
      </c>
      <c r="AH177" s="15">
        <v>6.5975491679797563E-2</v>
      </c>
      <c r="AI177" s="15">
        <v>5.7598971691090017E-2</v>
      </c>
      <c r="AJ177" s="41">
        <f t="shared" si="4"/>
        <v>9966</v>
      </c>
      <c r="AK177" s="44">
        <f t="shared" si="5"/>
        <v>0</v>
      </c>
      <c r="AL177" s="10"/>
      <c r="AM177" s="10"/>
    </row>
    <row r="178" spans="1:41" s="16" customFormat="1" ht="19" customHeight="1">
      <c r="A178" s="9" t="s">
        <v>229</v>
      </c>
      <c r="B178" s="10" t="s">
        <v>230</v>
      </c>
      <c r="C178" s="10"/>
      <c r="D178" s="10"/>
      <c r="E178" s="17" t="s">
        <v>45</v>
      </c>
      <c r="F178" s="17" t="s">
        <v>225</v>
      </c>
      <c r="G178" s="12" t="s">
        <v>226</v>
      </c>
      <c r="H178" s="13"/>
      <c r="I178" s="13"/>
      <c r="J178" s="13">
        <v>267</v>
      </c>
      <c r="K178" s="13">
        <v>790</v>
      </c>
      <c r="L178" s="13">
        <v>122</v>
      </c>
      <c r="M178" s="13"/>
      <c r="N178" s="13">
        <v>539</v>
      </c>
      <c r="O178" s="13">
        <v>199</v>
      </c>
      <c r="P178" s="13">
        <v>12.6</v>
      </c>
      <c r="Q178" s="13">
        <v>133</v>
      </c>
      <c r="R178" s="13">
        <v>34</v>
      </c>
      <c r="S178" s="13">
        <v>276</v>
      </c>
      <c r="T178" s="13">
        <v>1755</v>
      </c>
      <c r="U178" s="13">
        <v>61</v>
      </c>
      <c r="V178" s="13">
        <v>170</v>
      </c>
      <c r="W178" s="13">
        <v>22</v>
      </c>
      <c r="X178" s="13">
        <v>139</v>
      </c>
      <c r="Y178" s="13">
        <v>18</v>
      </c>
      <c r="Z178" s="13"/>
      <c r="AA178" s="13"/>
      <c r="AB178" s="13"/>
      <c r="AC178" s="14">
        <v>1344.5945945945946</v>
      </c>
      <c r="AD178" s="14">
        <v>223.80106571936057</v>
      </c>
      <c r="AE178" s="14">
        <v>668.34170854271349</v>
      </c>
      <c r="AF178" s="14">
        <v>941.82825484764544</v>
      </c>
      <c r="AG178" s="15">
        <v>0.22236278949368668</v>
      </c>
      <c r="AH178" s="15">
        <v>0.23608434389553745</v>
      </c>
      <c r="AI178" s="15">
        <v>0.18741772918444602</v>
      </c>
      <c r="AJ178" s="41">
        <f t="shared" si="4"/>
        <v>1718</v>
      </c>
      <c r="AK178" s="44">
        <f t="shared" si="5"/>
        <v>0</v>
      </c>
      <c r="AL178" s="10"/>
      <c r="AM178" s="10"/>
    </row>
    <row r="179" spans="1:41" s="16" customFormat="1" ht="19" customHeight="1">
      <c r="A179" s="9" t="s">
        <v>231</v>
      </c>
      <c r="B179" s="10" t="s">
        <v>230</v>
      </c>
      <c r="C179" s="10"/>
      <c r="D179" s="10"/>
      <c r="E179" s="17" t="s">
        <v>45</v>
      </c>
      <c r="F179" s="17" t="s">
        <v>225</v>
      </c>
      <c r="G179" s="12" t="s">
        <v>226</v>
      </c>
      <c r="H179" s="13"/>
      <c r="I179" s="13"/>
      <c r="J179" s="13">
        <v>324</v>
      </c>
      <c r="K179" s="13">
        <v>1007</v>
      </c>
      <c r="L179" s="13">
        <v>162</v>
      </c>
      <c r="M179" s="13"/>
      <c r="N179" s="13">
        <v>733</v>
      </c>
      <c r="O179" s="13">
        <v>253</v>
      </c>
      <c r="P179" s="13">
        <v>8.6999999999999993</v>
      </c>
      <c r="Q179" s="13">
        <v>178</v>
      </c>
      <c r="R179" s="13">
        <v>40</v>
      </c>
      <c r="S179" s="13">
        <v>282</v>
      </c>
      <c r="T179" s="13">
        <v>1766</v>
      </c>
      <c r="U179" s="13">
        <v>56</v>
      </c>
      <c r="V179" s="13">
        <v>141</v>
      </c>
      <c r="W179" s="13">
        <v>20</v>
      </c>
      <c r="X179" s="13">
        <v>143</v>
      </c>
      <c r="Y179" s="13">
        <v>18</v>
      </c>
      <c r="Z179" s="13"/>
      <c r="AA179" s="13"/>
      <c r="AB179" s="13"/>
      <c r="AC179" s="14">
        <v>1709.4594594594596</v>
      </c>
      <c r="AD179" s="14">
        <v>154.52930728241563</v>
      </c>
      <c r="AE179" s="14">
        <v>894.4723618090452</v>
      </c>
      <c r="AF179" s="14">
        <v>1108.03324099723</v>
      </c>
      <c r="AG179" s="15">
        <v>0.11868921146110248</v>
      </c>
      <c r="AH179" s="15">
        <v>0.1249677618990493</v>
      </c>
      <c r="AI179" s="15">
        <v>0.10445295346895592</v>
      </c>
      <c r="AJ179" s="41">
        <f t="shared" si="4"/>
        <v>2226</v>
      </c>
      <c r="AK179" s="44">
        <f t="shared" si="5"/>
        <v>0</v>
      </c>
      <c r="AL179" s="10"/>
      <c r="AM179" s="10"/>
    </row>
    <row r="180" spans="1:41" s="16" customFormat="1" ht="19" customHeight="1">
      <c r="A180" s="9" t="s">
        <v>232</v>
      </c>
      <c r="B180" s="10" t="s">
        <v>233</v>
      </c>
      <c r="C180" s="10"/>
      <c r="D180" s="10"/>
      <c r="E180" s="21" t="s">
        <v>234</v>
      </c>
      <c r="F180" s="21" t="s">
        <v>225</v>
      </c>
      <c r="G180" s="12" t="s">
        <v>235</v>
      </c>
      <c r="H180" s="13">
        <v>21.8</v>
      </c>
      <c r="I180" s="13">
        <v>19.3</v>
      </c>
      <c r="J180" s="13">
        <v>1162</v>
      </c>
      <c r="K180" s="13">
        <v>2898</v>
      </c>
      <c r="L180" s="13">
        <v>403</v>
      </c>
      <c r="M180" s="13"/>
      <c r="N180" s="13">
        <v>1827</v>
      </c>
      <c r="O180" s="13">
        <v>589</v>
      </c>
      <c r="P180" s="13">
        <v>16</v>
      </c>
      <c r="Q180" s="13">
        <v>639</v>
      </c>
      <c r="R180" s="13">
        <v>104</v>
      </c>
      <c r="S180" s="13">
        <v>645</v>
      </c>
      <c r="T180" s="13">
        <v>192</v>
      </c>
      <c r="U180" s="13">
        <v>131</v>
      </c>
      <c r="V180" s="13">
        <v>356</v>
      </c>
      <c r="W180" s="13">
        <v>52</v>
      </c>
      <c r="X180" s="13">
        <v>316</v>
      </c>
      <c r="Y180" s="13">
        <v>40</v>
      </c>
      <c r="Z180" s="13"/>
      <c r="AA180" s="13"/>
      <c r="AB180" s="13"/>
      <c r="AC180" s="14">
        <v>3979.72972972973</v>
      </c>
      <c r="AD180" s="14">
        <v>284.19182948490231</v>
      </c>
      <c r="AE180" s="14">
        <v>3211.0552763819096</v>
      </c>
      <c r="AF180" s="14">
        <v>2880.8864265927978</v>
      </c>
      <c r="AG180" s="15">
        <v>7.9043339285866598E-2</v>
      </c>
      <c r="AH180" s="15">
        <v>7.9498861142492855E-2</v>
      </c>
      <c r="AI180" s="15">
        <v>7.95305201331655E-2</v>
      </c>
      <c r="AJ180" s="41">
        <f t="shared" si="4"/>
        <v>6290</v>
      </c>
      <c r="AK180" s="44">
        <f t="shared" si="5"/>
        <v>0</v>
      </c>
      <c r="AL180" s="10"/>
      <c r="AM180" s="10"/>
    </row>
    <row r="181" spans="1:41" s="16" customFormat="1" ht="19" customHeight="1">
      <c r="A181" s="9" t="s">
        <v>236</v>
      </c>
      <c r="B181" s="10" t="s">
        <v>233</v>
      </c>
      <c r="C181" s="10"/>
      <c r="D181" s="10"/>
      <c r="E181" s="21" t="s">
        <v>234</v>
      </c>
      <c r="F181" s="21" t="s">
        <v>225</v>
      </c>
      <c r="G181" s="12" t="s">
        <v>235</v>
      </c>
      <c r="H181" s="13">
        <v>28.3</v>
      </c>
      <c r="I181" s="13">
        <v>20</v>
      </c>
      <c r="J181" s="13">
        <v>644</v>
      </c>
      <c r="K181" s="13">
        <v>1418</v>
      </c>
      <c r="L181" s="13">
        <v>178</v>
      </c>
      <c r="M181" s="13"/>
      <c r="N181" s="13">
        <v>773</v>
      </c>
      <c r="O181" s="13">
        <v>229</v>
      </c>
      <c r="P181" s="13">
        <v>17.3</v>
      </c>
      <c r="Q181" s="13">
        <v>256</v>
      </c>
      <c r="R181" s="13">
        <v>41</v>
      </c>
      <c r="S181" s="13">
        <v>266</v>
      </c>
      <c r="T181" s="13">
        <v>161</v>
      </c>
      <c r="U181" s="13">
        <v>56</v>
      </c>
      <c r="V181" s="13">
        <v>51</v>
      </c>
      <c r="W181" s="13">
        <v>22</v>
      </c>
      <c r="X181" s="13">
        <v>127</v>
      </c>
      <c r="Y181" s="13">
        <v>19</v>
      </c>
      <c r="Z181" s="13"/>
      <c r="AA181" s="13"/>
      <c r="AB181" s="13"/>
      <c r="AC181" s="14">
        <v>1547.2972972972973</v>
      </c>
      <c r="AD181" s="14">
        <v>307.28241563055064</v>
      </c>
      <c r="AE181" s="14">
        <v>1286.43216080402</v>
      </c>
      <c r="AF181" s="14">
        <v>1135.7340720221607</v>
      </c>
      <c r="AG181" s="15">
        <v>0.21687491355398406</v>
      </c>
      <c r="AH181" s="15">
        <v>0.21779975172311924</v>
      </c>
      <c r="AI181" s="15">
        <v>0.22015555376783219</v>
      </c>
      <c r="AJ181" s="41">
        <f t="shared" si="4"/>
        <v>3013</v>
      </c>
      <c r="AK181" s="44">
        <f t="shared" si="5"/>
        <v>0</v>
      </c>
      <c r="AL181" s="10"/>
      <c r="AM181" s="10"/>
    </row>
    <row r="182" spans="1:41" s="16" customFormat="1" ht="19" customHeight="1">
      <c r="A182" s="9" t="s">
        <v>237</v>
      </c>
      <c r="B182" s="10" t="s">
        <v>238</v>
      </c>
      <c r="C182" s="10"/>
      <c r="D182" s="10"/>
      <c r="E182" s="21" t="s">
        <v>234</v>
      </c>
      <c r="F182" s="21" t="s">
        <v>239</v>
      </c>
      <c r="G182" s="12" t="s">
        <v>240</v>
      </c>
      <c r="H182" s="13">
        <v>21</v>
      </c>
      <c r="I182" s="13">
        <v>25</v>
      </c>
      <c r="J182" s="13">
        <v>211</v>
      </c>
      <c r="K182" s="13">
        <v>751</v>
      </c>
      <c r="L182" s="13">
        <v>129</v>
      </c>
      <c r="M182" s="13">
        <v>89</v>
      </c>
      <c r="N182" s="13">
        <v>723</v>
      </c>
      <c r="O182" s="13">
        <v>345</v>
      </c>
      <c r="P182" s="13">
        <v>26</v>
      </c>
      <c r="Q182" s="13">
        <v>489</v>
      </c>
      <c r="R182" s="13"/>
      <c r="S182" s="13">
        <v>600</v>
      </c>
      <c r="T182" s="13">
        <v>3216</v>
      </c>
      <c r="U182" s="13">
        <v>113</v>
      </c>
      <c r="V182" s="13">
        <v>306</v>
      </c>
      <c r="W182" s="13">
        <v>46</v>
      </c>
      <c r="X182" s="13">
        <v>332</v>
      </c>
      <c r="Y182" s="13">
        <v>58</v>
      </c>
      <c r="Z182" s="13">
        <v>362</v>
      </c>
      <c r="AA182" s="13"/>
      <c r="AB182" s="13"/>
      <c r="AC182" s="14">
        <v>2331.0810810810813</v>
      </c>
      <c r="AD182" s="14">
        <v>461.81172291296627</v>
      </c>
      <c r="AE182" s="14">
        <v>2457.286432160804</v>
      </c>
      <c r="AF182" s="14"/>
      <c r="AG182" s="15">
        <v>0.19288900512997773</v>
      </c>
      <c r="AH182" s="15">
        <v>0.19295603747401027</v>
      </c>
      <c r="AI182" s="15"/>
      <c r="AJ182" s="41">
        <f t="shared" si="4"/>
        <v>1814</v>
      </c>
      <c r="AK182" s="44">
        <f t="shared" si="5"/>
        <v>2.767412935323383E-2</v>
      </c>
      <c r="AL182" s="10"/>
      <c r="AM182" s="10"/>
    </row>
    <row r="183" spans="1:41" s="16" customFormat="1" ht="19" customHeight="1">
      <c r="A183" s="9" t="s">
        <v>241</v>
      </c>
      <c r="B183" s="10" t="s">
        <v>242</v>
      </c>
      <c r="C183" s="10"/>
      <c r="D183" s="10"/>
      <c r="E183" s="11" t="s">
        <v>1341</v>
      </c>
      <c r="F183" s="11" t="s">
        <v>239</v>
      </c>
      <c r="G183" s="12" t="s">
        <v>240</v>
      </c>
      <c r="H183" s="13">
        <v>14</v>
      </c>
      <c r="I183" s="13">
        <v>3.5</v>
      </c>
      <c r="J183" s="13">
        <v>390</v>
      </c>
      <c r="K183" s="13">
        <v>1081</v>
      </c>
      <c r="L183" s="13">
        <v>149</v>
      </c>
      <c r="M183" s="13">
        <v>231</v>
      </c>
      <c r="N183" s="13">
        <v>755</v>
      </c>
      <c r="O183" s="13">
        <v>202</v>
      </c>
      <c r="P183" s="13">
        <v>21</v>
      </c>
      <c r="Q183" s="13">
        <v>199</v>
      </c>
      <c r="R183" s="13"/>
      <c r="S183" s="13">
        <v>162</v>
      </c>
      <c r="T183" s="13">
        <v>864</v>
      </c>
      <c r="U183" s="13">
        <v>32</v>
      </c>
      <c r="V183" s="13">
        <v>78</v>
      </c>
      <c r="W183" s="13"/>
      <c r="X183" s="13">
        <v>51</v>
      </c>
      <c r="Y183" s="13">
        <v>6.6</v>
      </c>
      <c r="Z183" s="13">
        <v>633</v>
      </c>
      <c r="AA183" s="13"/>
      <c r="AB183" s="13"/>
      <c r="AC183" s="14">
        <v>1364.864864864865</v>
      </c>
      <c r="AD183" s="14">
        <v>373.00177619893429</v>
      </c>
      <c r="AE183" s="14">
        <v>1000</v>
      </c>
      <c r="AF183" s="14"/>
      <c r="AG183" s="15">
        <v>0.31545293072824154</v>
      </c>
      <c r="AH183" s="15">
        <v>0.31927585226074651</v>
      </c>
      <c r="AI183" s="15"/>
      <c r="AJ183" s="41">
        <f t="shared" si="4"/>
        <v>2375</v>
      </c>
      <c r="AK183" s="44">
        <f t="shared" si="5"/>
        <v>0.2673611111111111</v>
      </c>
      <c r="AL183" s="10"/>
      <c r="AM183" s="10"/>
    </row>
    <row r="184" spans="1:41" s="16" customFormat="1" ht="19" customHeight="1">
      <c r="A184" s="9" t="s">
        <v>243</v>
      </c>
      <c r="B184" s="10" t="s">
        <v>238</v>
      </c>
      <c r="C184" s="10"/>
      <c r="D184" s="10"/>
      <c r="E184" s="21" t="s">
        <v>234</v>
      </c>
      <c r="F184" s="21" t="s">
        <v>244</v>
      </c>
      <c r="G184" s="12" t="s">
        <v>240</v>
      </c>
      <c r="H184" s="13">
        <v>9.1</v>
      </c>
      <c r="I184" s="13">
        <v>20</v>
      </c>
      <c r="J184" s="13">
        <v>159</v>
      </c>
      <c r="K184" s="13">
        <v>548</v>
      </c>
      <c r="L184" s="13">
        <v>99</v>
      </c>
      <c r="M184" s="13">
        <v>48</v>
      </c>
      <c r="N184" s="13">
        <v>542</v>
      </c>
      <c r="O184" s="13">
        <v>230</v>
      </c>
      <c r="P184" s="13">
        <v>11</v>
      </c>
      <c r="Q184" s="13">
        <v>281</v>
      </c>
      <c r="R184" s="13"/>
      <c r="S184" s="13">
        <v>385</v>
      </c>
      <c r="T184" s="13">
        <v>2671</v>
      </c>
      <c r="U184" s="13">
        <v>88</v>
      </c>
      <c r="V184" s="13">
        <v>251</v>
      </c>
      <c r="W184" s="13">
        <v>39</v>
      </c>
      <c r="X184" s="13">
        <v>273</v>
      </c>
      <c r="Y184" s="13">
        <v>37</v>
      </c>
      <c r="Z184" s="13">
        <v>270</v>
      </c>
      <c r="AA184" s="13"/>
      <c r="AB184" s="13"/>
      <c r="AC184" s="14">
        <v>1554.0540540540542</v>
      </c>
      <c r="AD184" s="14">
        <v>195.38188277087036</v>
      </c>
      <c r="AE184" s="14">
        <v>1412.0603015075376</v>
      </c>
      <c r="AF184" s="14"/>
      <c r="AG184" s="15">
        <v>0.13174265004619323</v>
      </c>
      <c r="AH184" s="15">
        <v>0.13189386903841141</v>
      </c>
      <c r="AI184" s="15"/>
      <c r="AJ184" s="41">
        <f t="shared" si="4"/>
        <v>1348</v>
      </c>
      <c r="AK184" s="44">
        <f t="shared" si="5"/>
        <v>1.7970797454137027E-2</v>
      </c>
      <c r="AL184" s="10"/>
      <c r="AM184" s="10"/>
    </row>
    <row r="185" spans="1:41" s="16" customFormat="1" ht="19" customHeight="1">
      <c r="A185" s="9" t="s">
        <v>245</v>
      </c>
      <c r="B185" s="10" t="s">
        <v>238</v>
      </c>
      <c r="C185" s="10"/>
      <c r="D185" s="10"/>
      <c r="E185" s="21" t="s">
        <v>234</v>
      </c>
      <c r="F185" s="21" t="s">
        <v>244</v>
      </c>
      <c r="G185" s="12" t="s">
        <v>240</v>
      </c>
      <c r="H185" s="13">
        <v>43</v>
      </c>
      <c r="I185" s="13">
        <v>32</v>
      </c>
      <c r="J185" s="13">
        <v>260</v>
      </c>
      <c r="K185" s="13">
        <v>856</v>
      </c>
      <c r="L185" s="13">
        <v>163</v>
      </c>
      <c r="M185" s="13">
        <v>120</v>
      </c>
      <c r="N185" s="13">
        <v>861</v>
      </c>
      <c r="O185" s="13">
        <v>420</v>
      </c>
      <c r="P185" s="13">
        <v>32</v>
      </c>
      <c r="Q185" s="13">
        <v>577</v>
      </c>
      <c r="R185" s="13"/>
      <c r="S185" s="13">
        <v>713</v>
      </c>
      <c r="T185" s="13">
        <v>4616</v>
      </c>
      <c r="U185" s="13">
        <v>156</v>
      </c>
      <c r="V185" s="13">
        <v>453</v>
      </c>
      <c r="W185" s="13">
        <v>66</v>
      </c>
      <c r="X185" s="13">
        <v>474</v>
      </c>
      <c r="Y185" s="13">
        <v>77</v>
      </c>
      <c r="Z185" s="13">
        <v>1377</v>
      </c>
      <c r="AA185" s="13"/>
      <c r="AB185" s="13"/>
      <c r="AC185" s="14">
        <v>2837.8378378378379</v>
      </c>
      <c r="AD185" s="14">
        <v>568.38365896980463</v>
      </c>
      <c r="AE185" s="14">
        <v>2899.4974874371856</v>
      </c>
      <c r="AF185" s="14"/>
      <c r="AG185" s="15">
        <v>0.19813506680213386</v>
      </c>
      <c r="AH185" s="15">
        <v>0.19814651008439785</v>
      </c>
      <c r="AI185" s="15"/>
      <c r="AJ185" s="41">
        <f t="shared" si="4"/>
        <v>2140</v>
      </c>
      <c r="AK185" s="44">
        <f t="shared" si="5"/>
        <v>2.5996533795493933E-2</v>
      </c>
      <c r="AL185" s="10"/>
      <c r="AM185" s="10"/>
    </row>
    <row r="186" spans="1:41" s="16" customFormat="1" ht="19" customHeight="1">
      <c r="A186" s="9" t="s">
        <v>246</v>
      </c>
      <c r="B186" s="10" t="s">
        <v>242</v>
      </c>
      <c r="C186" s="10"/>
      <c r="D186" s="10"/>
      <c r="E186" s="11" t="s">
        <v>1341</v>
      </c>
      <c r="F186" s="11" t="s">
        <v>244</v>
      </c>
      <c r="G186" s="12" t="s">
        <v>240</v>
      </c>
      <c r="H186" s="13">
        <v>11</v>
      </c>
      <c r="I186" s="13">
        <v>3</v>
      </c>
      <c r="J186" s="13">
        <v>332</v>
      </c>
      <c r="K186" s="13">
        <v>923</v>
      </c>
      <c r="L186" s="13">
        <v>129</v>
      </c>
      <c r="M186" s="13">
        <v>229</v>
      </c>
      <c r="N186" s="13">
        <v>663</v>
      </c>
      <c r="O186" s="13">
        <v>170</v>
      </c>
      <c r="P186" s="13">
        <v>19</v>
      </c>
      <c r="Q186" s="13">
        <v>181</v>
      </c>
      <c r="R186" s="13"/>
      <c r="S186" s="13">
        <v>150</v>
      </c>
      <c r="T186" s="13">
        <v>774</v>
      </c>
      <c r="U186" s="13">
        <v>29</v>
      </c>
      <c r="V186" s="13">
        <v>71</v>
      </c>
      <c r="W186" s="13"/>
      <c r="X186" s="13">
        <v>50</v>
      </c>
      <c r="Y186" s="13">
        <v>6.1</v>
      </c>
      <c r="Z186" s="13">
        <v>563</v>
      </c>
      <c r="AA186" s="13"/>
      <c r="AB186" s="13"/>
      <c r="AC186" s="14">
        <v>1148.6486486486488</v>
      </c>
      <c r="AD186" s="14">
        <v>337.47779751332149</v>
      </c>
      <c r="AE186" s="14">
        <v>909.54773869346729</v>
      </c>
      <c r="AF186" s="14"/>
      <c r="AG186" s="15">
        <v>0.32793546776080851</v>
      </c>
      <c r="AH186" s="15">
        <v>0.33017094585867018</v>
      </c>
      <c r="AI186" s="15"/>
      <c r="AJ186" s="41">
        <f t="shared" si="4"/>
        <v>2047</v>
      </c>
      <c r="AK186" s="44">
        <f t="shared" si="5"/>
        <v>0.29586563307493541</v>
      </c>
      <c r="AL186" s="10"/>
      <c r="AM186" s="10"/>
    </row>
    <row r="187" spans="1:41" s="16" customFormat="1" ht="19" customHeight="1">
      <c r="A187" s="9" t="s">
        <v>247</v>
      </c>
      <c r="B187" s="10" t="s">
        <v>242</v>
      </c>
      <c r="C187" s="10"/>
      <c r="D187" s="10"/>
      <c r="E187" s="11" t="s">
        <v>1341</v>
      </c>
      <c r="F187" s="11" t="s">
        <v>244</v>
      </c>
      <c r="G187" s="12" t="s">
        <v>240</v>
      </c>
      <c r="H187" s="13">
        <v>15</v>
      </c>
      <c r="I187" s="13">
        <v>3.7</v>
      </c>
      <c r="J187" s="13">
        <v>475</v>
      </c>
      <c r="K187" s="13">
        <v>1250</v>
      </c>
      <c r="L187" s="13">
        <v>175</v>
      </c>
      <c r="M187" s="13">
        <v>245</v>
      </c>
      <c r="N187" s="13">
        <v>877</v>
      </c>
      <c r="O187" s="13">
        <v>218</v>
      </c>
      <c r="P187" s="13">
        <v>22</v>
      </c>
      <c r="Q187" s="13">
        <v>216</v>
      </c>
      <c r="R187" s="13"/>
      <c r="S187" s="13">
        <v>174</v>
      </c>
      <c r="T187" s="13">
        <v>877</v>
      </c>
      <c r="U187" s="13">
        <v>34</v>
      </c>
      <c r="V187" s="13">
        <v>83</v>
      </c>
      <c r="W187" s="13"/>
      <c r="X187" s="13">
        <v>55</v>
      </c>
      <c r="Y187" s="13">
        <v>6.9</v>
      </c>
      <c r="Z187" s="13">
        <v>691</v>
      </c>
      <c r="AA187" s="13"/>
      <c r="AB187" s="13"/>
      <c r="AC187" s="14">
        <v>1472.9729729729731</v>
      </c>
      <c r="AD187" s="14">
        <v>390.76376554174072</v>
      </c>
      <c r="AE187" s="14">
        <v>1085.427135678392</v>
      </c>
      <c r="AF187" s="14"/>
      <c r="AG187" s="15">
        <v>0.30547510080253076</v>
      </c>
      <c r="AH187" s="15">
        <v>0.30904132666349926</v>
      </c>
      <c r="AI187" s="15"/>
      <c r="AJ187" s="41">
        <f t="shared" si="4"/>
        <v>2777</v>
      </c>
      <c r="AK187" s="44">
        <f t="shared" si="5"/>
        <v>0.27936145952109465</v>
      </c>
      <c r="AL187" s="10"/>
      <c r="AM187" s="10"/>
    </row>
    <row r="188" spans="1:41" s="16" customFormat="1" ht="19" customHeight="1">
      <c r="A188" s="22" t="s">
        <v>248</v>
      </c>
      <c r="B188" s="23" t="s">
        <v>230</v>
      </c>
      <c r="C188" s="23"/>
      <c r="D188" s="23"/>
      <c r="E188" s="24" t="s">
        <v>45</v>
      </c>
      <c r="F188" s="24" t="s">
        <v>249</v>
      </c>
      <c r="G188" s="12" t="s">
        <v>250</v>
      </c>
      <c r="H188" s="13">
        <v>1.79</v>
      </c>
      <c r="I188" s="13">
        <v>31.85</v>
      </c>
      <c r="J188" s="13">
        <v>101.78</v>
      </c>
      <c r="K188" s="13">
        <v>374.63</v>
      </c>
      <c r="L188" s="13">
        <v>74.14</v>
      </c>
      <c r="M188" s="13">
        <v>180.96</v>
      </c>
      <c r="N188" s="13">
        <v>413.47</v>
      </c>
      <c r="O188" s="13">
        <v>172.66</v>
      </c>
      <c r="P188" s="13">
        <v>13.23</v>
      </c>
      <c r="Q188" s="13">
        <v>280.5</v>
      </c>
      <c r="R188" s="13">
        <v>49.14</v>
      </c>
      <c r="S188" s="13">
        <v>309.51</v>
      </c>
      <c r="T188" s="13">
        <v>1328.18</v>
      </c>
      <c r="U188" s="13">
        <v>46.17</v>
      </c>
      <c r="V188" s="13">
        <v>124.87</v>
      </c>
      <c r="W188" s="13">
        <v>13.78</v>
      </c>
      <c r="X188" s="13">
        <v>77.989999999999995</v>
      </c>
      <c r="Y188" s="13">
        <v>9.81</v>
      </c>
      <c r="Z188" s="13"/>
      <c r="AA188" s="13"/>
      <c r="AB188" s="13"/>
      <c r="AC188" s="14">
        <v>1166.6216216216217</v>
      </c>
      <c r="AD188" s="14">
        <v>234.99111900532861</v>
      </c>
      <c r="AE188" s="14">
        <v>1409.5477386934672</v>
      </c>
      <c r="AF188" s="14">
        <v>1361.218836565097</v>
      </c>
      <c r="AG188" s="15">
        <v>0.18243452672427335</v>
      </c>
      <c r="AH188" s="15">
        <v>0.18325108054704264</v>
      </c>
      <c r="AI188" s="15">
        <v>0.19133251731300965</v>
      </c>
      <c r="AJ188" s="41">
        <f t="shared" si="4"/>
        <v>964.02</v>
      </c>
      <c r="AK188" s="44">
        <f t="shared" si="5"/>
        <v>0.13624659308226295</v>
      </c>
      <c r="AL188" s="10"/>
      <c r="AM188" s="10"/>
      <c r="AN188" s="10"/>
      <c r="AO188" s="10"/>
    </row>
    <row r="189" spans="1:41" s="16" customFormat="1" ht="19" customHeight="1">
      <c r="A189" s="22" t="s">
        <v>251</v>
      </c>
      <c r="B189" s="23" t="s">
        <v>230</v>
      </c>
      <c r="C189" s="23"/>
      <c r="D189" s="23"/>
      <c r="E189" s="24" t="s">
        <v>45</v>
      </c>
      <c r="F189" s="24" t="s">
        <v>249</v>
      </c>
      <c r="G189" s="12" t="s">
        <v>250</v>
      </c>
      <c r="H189" s="13">
        <v>8.16</v>
      </c>
      <c r="I189" s="13">
        <v>30.88</v>
      </c>
      <c r="J189" s="13">
        <v>156.69999999999999</v>
      </c>
      <c r="K189" s="13">
        <v>602.84</v>
      </c>
      <c r="L189" s="13">
        <v>97.9</v>
      </c>
      <c r="M189" s="13">
        <v>184.48</v>
      </c>
      <c r="N189" s="13">
        <v>444.38</v>
      </c>
      <c r="O189" s="13">
        <v>200.05</v>
      </c>
      <c r="P189" s="13">
        <v>12.4</v>
      </c>
      <c r="Q189" s="13">
        <v>261.16000000000003</v>
      </c>
      <c r="R189" s="13">
        <v>53.75</v>
      </c>
      <c r="S189" s="13">
        <v>301.12</v>
      </c>
      <c r="T189" s="13">
        <v>1605.38</v>
      </c>
      <c r="U189" s="13">
        <v>58.87</v>
      </c>
      <c r="V189" s="13">
        <v>133.22999999999999</v>
      </c>
      <c r="W189" s="13">
        <v>15.8</v>
      </c>
      <c r="X189" s="13">
        <v>97.32</v>
      </c>
      <c r="Y189" s="13">
        <v>12.98</v>
      </c>
      <c r="Z189" s="13"/>
      <c r="AA189" s="13"/>
      <c r="AB189" s="13"/>
      <c r="AC189" s="14">
        <v>1351.6891891891894</v>
      </c>
      <c r="AD189" s="14">
        <v>220.24866785079931</v>
      </c>
      <c r="AE189" s="14">
        <v>1312.3618090452262</v>
      </c>
      <c r="AF189" s="14">
        <v>1488.9196675900278</v>
      </c>
      <c r="AG189" s="15">
        <v>0.16534868739132083</v>
      </c>
      <c r="AH189" s="15">
        <v>0.16536670705616613</v>
      </c>
      <c r="AI189" s="15">
        <v>0.15777504335430126</v>
      </c>
      <c r="AJ189" s="41">
        <f t="shared" si="4"/>
        <v>1301.82</v>
      </c>
      <c r="AK189" s="44">
        <f t="shared" si="5"/>
        <v>0.11491360300987927</v>
      </c>
      <c r="AL189" s="10"/>
      <c r="AM189" s="10"/>
      <c r="AN189" s="10"/>
      <c r="AO189" s="10"/>
    </row>
    <row r="190" spans="1:41" s="16" customFormat="1" ht="19" customHeight="1">
      <c r="A190" s="25" t="s">
        <v>252</v>
      </c>
      <c r="B190" s="23" t="s">
        <v>230</v>
      </c>
      <c r="C190" s="23"/>
      <c r="D190" s="23"/>
      <c r="E190" s="24" t="s">
        <v>45</v>
      </c>
      <c r="F190" s="24" t="s">
        <v>249</v>
      </c>
      <c r="G190" s="12" t="s">
        <v>250</v>
      </c>
      <c r="H190" s="13">
        <v>0.93</v>
      </c>
      <c r="I190" s="13">
        <v>26.26</v>
      </c>
      <c r="J190" s="13">
        <v>154.12</v>
      </c>
      <c r="K190" s="13">
        <v>494.64</v>
      </c>
      <c r="L190" s="13">
        <v>102.13</v>
      </c>
      <c r="M190" s="13">
        <v>163.72</v>
      </c>
      <c r="N190" s="13">
        <v>563.98</v>
      </c>
      <c r="O190" s="13">
        <v>254.77</v>
      </c>
      <c r="P190" s="13">
        <v>13.77</v>
      </c>
      <c r="Q190" s="13">
        <v>327.06</v>
      </c>
      <c r="R190" s="13">
        <v>60.78</v>
      </c>
      <c r="S190" s="13">
        <v>369.05</v>
      </c>
      <c r="T190" s="13">
        <v>1530.25</v>
      </c>
      <c r="U190" s="13">
        <v>63.44</v>
      </c>
      <c r="V190" s="13">
        <v>151.02000000000001</v>
      </c>
      <c r="W190" s="13">
        <v>18.850000000000001</v>
      </c>
      <c r="X190" s="13">
        <v>106.78</v>
      </c>
      <c r="Y190" s="13">
        <v>12.78</v>
      </c>
      <c r="Z190" s="13"/>
      <c r="AA190" s="13"/>
      <c r="AB190" s="13"/>
      <c r="AC190" s="14">
        <v>1721.418918918919</v>
      </c>
      <c r="AD190" s="14">
        <v>244.58259325044406</v>
      </c>
      <c r="AE190" s="14">
        <v>1643.5175879396984</v>
      </c>
      <c r="AF190" s="14">
        <v>1683.6565096952909</v>
      </c>
      <c r="AG190" s="15">
        <v>0.14537129764672885</v>
      </c>
      <c r="AH190" s="15">
        <v>0.14541027023928027</v>
      </c>
      <c r="AI190" s="15">
        <v>0.14313637028691151</v>
      </c>
      <c r="AJ190" s="41">
        <f t="shared" si="4"/>
        <v>1314.87</v>
      </c>
      <c r="AK190" s="44">
        <f t="shared" si="5"/>
        <v>0.10698905407613135</v>
      </c>
      <c r="AL190" s="10"/>
      <c r="AM190" s="10"/>
      <c r="AN190" s="10"/>
      <c r="AO190" s="10"/>
    </row>
    <row r="191" spans="1:41" s="16" customFormat="1" ht="19" customHeight="1">
      <c r="A191" s="25" t="s">
        <v>253</v>
      </c>
      <c r="B191" s="23" t="s">
        <v>230</v>
      </c>
      <c r="C191" s="23"/>
      <c r="D191" s="23"/>
      <c r="E191" s="24" t="s">
        <v>45</v>
      </c>
      <c r="F191" s="24" t="s">
        <v>249</v>
      </c>
      <c r="G191" s="12" t="s">
        <v>250</v>
      </c>
      <c r="H191" s="13">
        <v>3.34</v>
      </c>
      <c r="I191" s="13">
        <v>49</v>
      </c>
      <c r="J191" s="13">
        <v>134.88999999999999</v>
      </c>
      <c r="K191" s="13">
        <v>483.74</v>
      </c>
      <c r="L191" s="13">
        <v>90.58</v>
      </c>
      <c r="M191" s="13">
        <v>190.5</v>
      </c>
      <c r="N191" s="13">
        <v>479.52</v>
      </c>
      <c r="O191" s="13">
        <v>211.51</v>
      </c>
      <c r="P191" s="13">
        <v>11.44</v>
      </c>
      <c r="Q191" s="13">
        <v>296.8</v>
      </c>
      <c r="R191" s="13">
        <v>55.33</v>
      </c>
      <c r="S191" s="13">
        <v>346.69</v>
      </c>
      <c r="T191" s="13">
        <v>1553.5</v>
      </c>
      <c r="U191" s="13">
        <v>61.2</v>
      </c>
      <c r="V191" s="13">
        <v>147.83000000000001</v>
      </c>
      <c r="W191" s="13">
        <v>18.23</v>
      </c>
      <c r="X191" s="13">
        <v>104.48</v>
      </c>
      <c r="Y191" s="13">
        <v>13.2</v>
      </c>
      <c r="Z191" s="13"/>
      <c r="AA191" s="13"/>
      <c r="AB191" s="13"/>
      <c r="AC191" s="14">
        <v>1429.1216216216217</v>
      </c>
      <c r="AD191" s="14">
        <v>203.19715808170517</v>
      </c>
      <c r="AE191" s="14">
        <v>1491.4572864321608</v>
      </c>
      <c r="AF191" s="14">
        <v>1532.6869806094182</v>
      </c>
      <c r="AG191" s="15">
        <v>0.13914854861231046</v>
      </c>
      <c r="AH191" s="15">
        <v>0.13918025395124548</v>
      </c>
      <c r="AI191" s="15">
        <v>0.13890578951164076</v>
      </c>
      <c r="AJ191" s="41">
        <f t="shared" si="4"/>
        <v>1188.73</v>
      </c>
      <c r="AK191" s="44">
        <f t="shared" si="5"/>
        <v>0.12262632764724815</v>
      </c>
      <c r="AL191" s="10"/>
      <c r="AM191" s="10"/>
      <c r="AN191" s="10"/>
      <c r="AO191" s="10"/>
    </row>
    <row r="192" spans="1:41" s="16" customFormat="1" ht="19" customHeight="1">
      <c r="A192" s="26" t="s">
        <v>254</v>
      </c>
      <c r="B192" s="23" t="s">
        <v>230</v>
      </c>
      <c r="C192" s="23"/>
      <c r="D192" s="23"/>
      <c r="E192" s="24" t="s">
        <v>45</v>
      </c>
      <c r="F192" s="24" t="s">
        <v>249</v>
      </c>
      <c r="G192" s="12" t="s">
        <v>250</v>
      </c>
      <c r="H192" s="13">
        <v>0.23300000000000001</v>
      </c>
      <c r="I192" s="13">
        <v>33.35</v>
      </c>
      <c r="J192" s="13">
        <v>146.47</v>
      </c>
      <c r="K192" s="13">
        <v>569.95000000000005</v>
      </c>
      <c r="L192" s="13">
        <v>108.46</v>
      </c>
      <c r="M192" s="13">
        <v>175.81</v>
      </c>
      <c r="N192" s="13">
        <v>558.65</v>
      </c>
      <c r="O192" s="13">
        <v>238.47</v>
      </c>
      <c r="P192" s="13">
        <v>11.36</v>
      </c>
      <c r="Q192" s="13">
        <v>322.42</v>
      </c>
      <c r="R192" s="13">
        <v>59.01</v>
      </c>
      <c r="S192" s="13">
        <v>363.56</v>
      </c>
      <c r="T192" s="13">
        <v>1604.97</v>
      </c>
      <c r="U192" s="13">
        <v>65.86</v>
      </c>
      <c r="V192" s="13">
        <v>152.6</v>
      </c>
      <c r="W192" s="13">
        <v>18.89</v>
      </c>
      <c r="X192" s="13">
        <v>111.23</v>
      </c>
      <c r="Y192" s="13">
        <v>13.86</v>
      </c>
      <c r="Z192" s="13"/>
      <c r="AA192" s="13"/>
      <c r="AB192" s="13"/>
      <c r="AC192" s="14">
        <v>1611.2837837837837</v>
      </c>
      <c r="AD192" s="14">
        <v>201.77619893428064</v>
      </c>
      <c r="AE192" s="14">
        <v>1620.2010050251256</v>
      </c>
      <c r="AF192" s="14">
        <v>1634.6260387811633</v>
      </c>
      <c r="AG192" s="15">
        <v>0.1248814165135855</v>
      </c>
      <c r="AH192" s="15">
        <v>0.12488189198581076</v>
      </c>
      <c r="AI192" s="15">
        <v>0.12462804288326972</v>
      </c>
      <c r="AJ192" s="41">
        <f t="shared" si="4"/>
        <v>1383.5300000000002</v>
      </c>
      <c r="AK192" s="44">
        <f t="shared" si="5"/>
        <v>0.10954098830507736</v>
      </c>
      <c r="AL192" s="10"/>
      <c r="AM192" s="10"/>
      <c r="AN192" s="10"/>
      <c r="AO192" s="10"/>
    </row>
    <row r="193" spans="1:41" s="16" customFormat="1" ht="19" customHeight="1">
      <c r="A193" s="25" t="s">
        <v>255</v>
      </c>
      <c r="B193" s="23" t="s">
        <v>230</v>
      </c>
      <c r="C193" s="23"/>
      <c r="D193" s="23"/>
      <c r="E193" s="24" t="s">
        <v>45</v>
      </c>
      <c r="F193" s="24" t="s">
        <v>249</v>
      </c>
      <c r="G193" s="12" t="s">
        <v>250</v>
      </c>
      <c r="H193" s="13">
        <v>12.97</v>
      </c>
      <c r="I193" s="13">
        <v>82.56</v>
      </c>
      <c r="J193" s="13">
        <v>190.98</v>
      </c>
      <c r="K193" s="13">
        <v>718.9</v>
      </c>
      <c r="L193" s="13">
        <v>132.13999999999999</v>
      </c>
      <c r="M193" s="13">
        <v>173.57</v>
      </c>
      <c r="N193" s="13">
        <v>708.45</v>
      </c>
      <c r="O193" s="13">
        <v>300.95999999999998</v>
      </c>
      <c r="P193" s="13">
        <v>14.84</v>
      </c>
      <c r="Q193" s="13">
        <v>426.35</v>
      </c>
      <c r="R193" s="13">
        <v>80.540000000000006</v>
      </c>
      <c r="S193" s="13">
        <v>510.02</v>
      </c>
      <c r="T193" s="13">
        <v>2155.77</v>
      </c>
      <c r="U193" s="13">
        <v>88.29</v>
      </c>
      <c r="V193" s="13">
        <v>211.57</v>
      </c>
      <c r="W193" s="13">
        <v>27.26</v>
      </c>
      <c r="X193" s="13">
        <v>159.1</v>
      </c>
      <c r="Y193" s="13">
        <v>19.829999999999998</v>
      </c>
      <c r="Z193" s="13"/>
      <c r="AA193" s="13"/>
      <c r="AB193" s="13"/>
      <c r="AC193" s="14">
        <v>2033.5135135135135</v>
      </c>
      <c r="AD193" s="14">
        <v>263.58792184724689</v>
      </c>
      <c r="AE193" s="14">
        <v>2142.4623115577888</v>
      </c>
      <c r="AF193" s="14">
        <v>2231.0249307479226</v>
      </c>
      <c r="AG193" s="15">
        <v>0.12624015697827767</v>
      </c>
      <c r="AH193" s="15">
        <v>0.12628314210772432</v>
      </c>
      <c r="AI193" s="15">
        <v>0.12567801810561788</v>
      </c>
      <c r="AJ193" s="41">
        <f t="shared" si="4"/>
        <v>1750.47</v>
      </c>
      <c r="AK193" s="44">
        <f t="shared" si="5"/>
        <v>8.0514155035091864E-2</v>
      </c>
      <c r="AL193" s="10"/>
      <c r="AM193" s="10"/>
      <c r="AN193" s="10"/>
      <c r="AO193" s="10"/>
    </row>
    <row r="194" spans="1:41" s="16" customFormat="1" ht="19" customHeight="1">
      <c r="A194" s="25" t="s">
        <v>256</v>
      </c>
      <c r="B194" s="23" t="s">
        <v>230</v>
      </c>
      <c r="C194" s="23"/>
      <c r="D194" s="23"/>
      <c r="E194" s="24" t="s">
        <v>45</v>
      </c>
      <c r="F194" s="24" t="s">
        <v>249</v>
      </c>
      <c r="G194" s="12" t="s">
        <v>250</v>
      </c>
      <c r="H194" s="13">
        <v>14.89</v>
      </c>
      <c r="I194" s="13">
        <v>79.22</v>
      </c>
      <c r="J194" s="13">
        <v>239.66</v>
      </c>
      <c r="K194" s="13">
        <v>861.15</v>
      </c>
      <c r="L194" s="13">
        <v>156.68</v>
      </c>
      <c r="M194" s="13">
        <v>187.98</v>
      </c>
      <c r="N194" s="13">
        <v>818.09</v>
      </c>
      <c r="O194" s="13">
        <v>346.92</v>
      </c>
      <c r="P194" s="13">
        <v>15.77</v>
      </c>
      <c r="Q194" s="13">
        <v>481.74</v>
      </c>
      <c r="R194" s="13">
        <v>90.79</v>
      </c>
      <c r="S194" s="13">
        <v>568.22</v>
      </c>
      <c r="T194" s="13">
        <v>2494.73</v>
      </c>
      <c r="U194" s="13">
        <v>99.83</v>
      </c>
      <c r="V194" s="13">
        <v>247.03</v>
      </c>
      <c r="W194" s="13">
        <v>30.26</v>
      </c>
      <c r="X194" s="13">
        <v>181.99</v>
      </c>
      <c r="Y194" s="13">
        <v>22.92</v>
      </c>
      <c r="Z194" s="13"/>
      <c r="AA194" s="13"/>
      <c r="AB194" s="13"/>
      <c r="AC194" s="14">
        <v>2344.0540540540542</v>
      </c>
      <c r="AD194" s="14">
        <v>280.10657193605687</v>
      </c>
      <c r="AE194" s="14">
        <v>2420.8040201005024</v>
      </c>
      <c r="AF194" s="14">
        <v>2514.9584487534626</v>
      </c>
      <c r="AG194" s="15">
        <v>0.1175718426768701</v>
      </c>
      <c r="AH194" s="15">
        <v>0.11758709774998612</v>
      </c>
      <c r="AI194" s="15">
        <v>0.1167260920861205</v>
      </c>
      <c r="AJ194" s="41">
        <f t="shared" si="4"/>
        <v>2075.58</v>
      </c>
      <c r="AK194" s="44">
        <f t="shared" si="5"/>
        <v>7.5350839569813158E-2</v>
      </c>
      <c r="AL194" s="10"/>
      <c r="AM194" s="10"/>
      <c r="AN194" s="10"/>
      <c r="AO194" s="10"/>
    </row>
    <row r="195" spans="1:41" s="16" customFormat="1" ht="19" customHeight="1">
      <c r="A195" s="25" t="s">
        <v>257</v>
      </c>
      <c r="B195" s="23" t="s">
        <v>230</v>
      </c>
      <c r="C195" s="23"/>
      <c r="D195" s="23"/>
      <c r="E195" s="24" t="s">
        <v>45</v>
      </c>
      <c r="F195" s="24" t="s">
        <v>249</v>
      </c>
      <c r="G195" s="12" t="s">
        <v>250</v>
      </c>
      <c r="H195" s="13">
        <v>1.0760000000000001</v>
      </c>
      <c r="I195" s="13">
        <v>28.9</v>
      </c>
      <c r="J195" s="13">
        <v>170.87</v>
      </c>
      <c r="K195" s="13">
        <v>575.57000000000005</v>
      </c>
      <c r="L195" s="13">
        <v>101.25</v>
      </c>
      <c r="M195" s="13">
        <v>178.53</v>
      </c>
      <c r="N195" s="13">
        <v>550.54</v>
      </c>
      <c r="O195" s="13">
        <v>239.08</v>
      </c>
      <c r="P195" s="13">
        <v>9.2899999999999991</v>
      </c>
      <c r="Q195" s="13">
        <v>341.31</v>
      </c>
      <c r="R195" s="13">
        <v>63.28</v>
      </c>
      <c r="S195" s="13">
        <v>429.57</v>
      </c>
      <c r="T195" s="13">
        <v>1923.72</v>
      </c>
      <c r="U195" s="13">
        <v>74.45</v>
      </c>
      <c r="V195" s="13">
        <v>183.97</v>
      </c>
      <c r="W195" s="13">
        <v>23.99</v>
      </c>
      <c r="X195" s="13">
        <v>140.41</v>
      </c>
      <c r="Y195" s="13">
        <v>18.04</v>
      </c>
      <c r="Z195" s="13"/>
      <c r="AA195" s="13"/>
      <c r="AB195" s="13"/>
      <c r="AC195" s="14">
        <v>1615.4054054054056</v>
      </c>
      <c r="AD195" s="14">
        <v>165.00888099467139</v>
      </c>
      <c r="AE195" s="14">
        <v>1715.1256281407034</v>
      </c>
      <c r="AF195" s="14">
        <v>1752.9085872576177</v>
      </c>
      <c r="AG195" s="15">
        <v>9.9088631412019512E-2</v>
      </c>
      <c r="AH195" s="15">
        <v>9.9133076673570034E-2</v>
      </c>
      <c r="AI195" s="15">
        <v>9.9403087833385376E-2</v>
      </c>
      <c r="AJ195" s="41">
        <f t="shared" si="4"/>
        <v>1398.23</v>
      </c>
      <c r="AK195" s="44">
        <f t="shared" si="5"/>
        <v>9.2804566153078416E-2</v>
      </c>
      <c r="AL195" s="10"/>
      <c r="AM195" s="10"/>
      <c r="AN195" s="10"/>
      <c r="AO195" s="10"/>
    </row>
    <row r="196" spans="1:41" s="16" customFormat="1" ht="19" customHeight="1">
      <c r="A196" s="25" t="s">
        <v>258</v>
      </c>
      <c r="B196" s="23" t="s">
        <v>230</v>
      </c>
      <c r="C196" s="23"/>
      <c r="D196" s="23"/>
      <c r="E196" s="24" t="s">
        <v>45</v>
      </c>
      <c r="F196" s="24" t="s">
        <v>249</v>
      </c>
      <c r="G196" s="12" t="s">
        <v>250</v>
      </c>
      <c r="H196" s="13">
        <v>0.40500000000000003</v>
      </c>
      <c r="I196" s="13">
        <v>27.71</v>
      </c>
      <c r="J196" s="13">
        <v>90.03</v>
      </c>
      <c r="K196" s="13">
        <v>409.84</v>
      </c>
      <c r="L196" s="13">
        <v>81.34</v>
      </c>
      <c r="M196" s="13">
        <v>185.72</v>
      </c>
      <c r="N196" s="13">
        <v>468.91</v>
      </c>
      <c r="O196" s="13">
        <v>226.85</v>
      </c>
      <c r="P196" s="13">
        <v>10.32</v>
      </c>
      <c r="Q196" s="13">
        <v>329.52</v>
      </c>
      <c r="R196" s="13">
        <v>63.97</v>
      </c>
      <c r="S196" s="13">
        <v>417.92</v>
      </c>
      <c r="T196" s="13">
        <v>1934.83</v>
      </c>
      <c r="U196" s="13">
        <v>76.33</v>
      </c>
      <c r="V196" s="13">
        <v>185.75</v>
      </c>
      <c r="W196" s="13">
        <v>23.99</v>
      </c>
      <c r="X196" s="13">
        <v>138.21</v>
      </c>
      <c r="Y196" s="13">
        <v>18.239999999999998</v>
      </c>
      <c r="Z196" s="13"/>
      <c r="AA196" s="13"/>
      <c r="AB196" s="13"/>
      <c r="AC196" s="14">
        <v>1532.7702702702702</v>
      </c>
      <c r="AD196" s="14">
        <v>183.30373001776201</v>
      </c>
      <c r="AE196" s="14">
        <v>1655.8793969849244</v>
      </c>
      <c r="AF196" s="14">
        <v>1772.0221606648199</v>
      </c>
      <c r="AG196" s="15">
        <v>0.11497263678737762</v>
      </c>
      <c r="AH196" s="15">
        <v>0.11505842295014183</v>
      </c>
      <c r="AI196" s="15">
        <v>0.11394542021343376</v>
      </c>
      <c r="AJ196" s="41">
        <f t="shared" si="4"/>
        <v>1050.1200000000001</v>
      </c>
      <c r="AK196" s="44">
        <f t="shared" si="5"/>
        <v>9.5987761198658289E-2</v>
      </c>
      <c r="AL196" s="10"/>
      <c r="AM196" s="10"/>
      <c r="AN196" s="10"/>
      <c r="AO196" s="10"/>
    </row>
    <row r="197" spans="1:41" s="16" customFormat="1" ht="19" customHeight="1">
      <c r="A197" s="23" t="s">
        <v>259</v>
      </c>
      <c r="B197" s="23" t="s">
        <v>230</v>
      </c>
      <c r="C197" s="23"/>
      <c r="D197" s="23"/>
      <c r="E197" s="24" t="s">
        <v>45</v>
      </c>
      <c r="F197" s="24" t="s">
        <v>249</v>
      </c>
      <c r="G197" s="12" t="s">
        <v>250</v>
      </c>
      <c r="H197" s="13">
        <v>1.69</v>
      </c>
      <c r="I197" s="13">
        <v>35.81</v>
      </c>
      <c r="J197" s="13">
        <v>165.69</v>
      </c>
      <c r="K197" s="13">
        <v>593.20000000000005</v>
      </c>
      <c r="L197" s="13">
        <v>110.46</v>
      </c>
      <c r="M197" s="13">
        <v>187.76</v>
      </c>
      <c r="N197" s="13">
        <v>616.53</v>
      </c>
      <c r="O197" s="13">
        <v>260.79000000000002</v>
      </c>
      <c r="P197" s="13">
        <v>10.81</v>
      </c>
      <c r="Q197" s="13">
        <v>354.82</v>
      </c>
      <c r="R197" s="13">
        <v>68.86</v>
      </c>
      <c r="S197" s="13">
        <v>439.47</v>
      </c>
      <c r="T197" s="13">
        <v>1914.97</v>
      </c>
      <c r="U197" s="13">
        <v>78.72</v>
      </c>
      <c r="V197" s="13">
        <v>190.99</v>
      </c>
      <c r="W197" s="13">
        <v>24.73</v>
      </c>
      <c r="X197" s="13">
        <v>141.68</v>
      </c>
      <c r="Y197" s="13">
        <v>17.29</v>
      </c>
      <c r="Z197" s="13"/>
      <c r="AA197" s="13"/>
      <c r="AB197" s="13"/>
      <c r="AC197" s="14">
        <v>1762.0945945945948</v>
      </c>
      <c r="AD197" s="14">
        <v>192.00710479573715</v>
      </c>
      <c r="AE197" s="14">
        <v>1783.0150753768844</v>
      </c>
      <c r="AF197" s="14">
        <v>1907.4792243767313</v>
      </c>
      <c r="AG197" s="15">
        <v>0.10832223692379135</v>
      </c>
      <c r="AH197" s="15">
        <v>0.108324123102941</v>
      </c>
      <c r="AI197" s="15">
        <v>0.10612341444268679</v>
      </c>
      <c r="AJ197" s="41">
        <f t="shared" si="4"/>
        <v>1485.88</v>
      </c>
      <c r="AK197" s="44">
        <f t="shared" si="5"/>
        <v>9.8048533397390031E-2</v>
      </c>
      <c r="AL197" s="10"/>
      <c r="AM197" s="10"/>
      <c r="AN197" s="10"/>
      <c r="AO197" s="10"/>
    </row>
    <row r="198" spans="1:41" s="16" customFormat="1" ht="19" customHeight="1">
      <c r="A198" s="23" t="s">
        <v>260</v>
      </c>
      <c r="B198" s="23" t="s">
        <v>230</v>
      </c>
      <c r="C198" s="23"/>
      <c r="D198" s="23"/>
      <c r="E198" s="24" t="s">
        <v>45</v>
      </c>
      <c r="F198" s="24" t="s">
        <v>249</v>
      </c>
      <c r="G198" s="12" t="s">
        <v>250</v>
      </c>
      <c r="H198" s="13">
        <v>6.14</v>
      </c>
      <c r="I198" s="13">
        <v>63.91</v>
      </c>
      <c r="J198" s="13">
        <v>198.88</v>
      </c>
      <c r="K198" s="13">
        <v>702.19</v>
      </c>
      <c r="L198" s="13">
        <v>133.13</v>
      </c>
      <c r="M198" s="13">
        <v>197.49</v>
      </c>
      <c r="N198" s="13">
        <v>695.61</v>
      </c>
      <c r="O198" s="13">
        <v>301.32</v>
      </c>
      <c r="P198" s="13">
        <v>13.61</v>
      </c>
      <c r="Q198" s="13">
        <v>410.52</v>
      </c>
      <c r="R198" s="13">
        <v>78.56</v>
      </c>
      <c r="S198" s="13">
        <v>502.27</v>
      </c>
      <c r="T198" s="13">
        <v>2154.87</v>
      </c>
      <c r="U198" s="13">
        <v>86.69</v>
      </c>
      <c r="V198" s="13">
        <v>211.56</v>
      </c>
      <c r="W198" s="13">
        <v>26.97</v>
      </c>
      <c r="X198" s="13">
        <v>156.72</v>
      </c>
      <c r="Y198" s="13">
        <v>20.21</v>
      </c>
      <c r="Z198" s="13"/>
      <c r="AA198" s="13"/>
      <c r="AB198" s="13"/>
      <c r="AC198" s="14">
        <v>2035.9459459459461</v>
      </c>
      <c r="AD198" s="14">
        <v>241.74067495559504</v>
      </c>
      <c r="AE198" s="14">
        <v>2062.9145728643216</v>
      </c>
      <c r="AF198" s="14">
        <v>2176.1772853185598</v>
      </c>
      <c r="AG198" s="15">
        <v>0.11795506280158201</v>
      </c>
      <c r="AH198" s="15">
        <v>0.11795761604418466</v>
      </c>
      <c r="AI198" s="15">
        <v>0.11612903329628059</v>
      </c>
      <c r="AJ198" s="41">
        <f t="shared" ref="AJ198:AJ261" si="6">J198+K198+L198+N198</f>
        <v>1729.81</v>
      </c>
      <c r="AK198" s="44">
        <f t="shared" ref="AK198:AK261" si="7">M198/T198</f>
        <v>9.1648220078241388E-2</v>
      </c>
      <c r="AL198" s="10"/>
      <c r="AM198" s="10"/>
      <c r="AN198" s="10"/>
      <c r="AO198" s="10"/>
    </row>
    <row r="199" spans="1:41" s="16" customFormat="1" ht="19" customHeight="1">
      <c r="A199" s="23" t="s">
        <v>261</v>
      </c>
      <c r="B199" s="23" t="s">
        <v>230</v>
      </c>
      <c r="C199" s="23"/>
      <c r="D199" s="23"/>
      <c r="E199" s="24" t="s">
        <v>45</v>
      </c>
      <c r="F199" s="24" t="s">
        <v>249</v>
      </c>
      <c r="G199" s="12" t="s">
        <v>250</v>
      </c>
      <c r="H199" s="13">
        <v>2.19</v>
      </c>
      <c r="I199" s="13">
        <v>31</v>
      </c>
      <c r="J199" s="13">
        <v>181.68</v>
      </c>
      <c r="K199" s="13">
        <v>608.42999999999995</v>
      </c>
      <c r="L199" s="13">
        <v>109.39</v>
      </c>
      <c r="M199" s="13">
        <v>191.68</v>
      </c>
      <c r="N199" s="13">
        <v>572.27</v>
      </c>
      <c r="O199" s="13">
        <v>246.86</v>
      </c>
      <c r="P199" s="13">
        <v>10.62</v>
      </c>
      <c r="Q199" s="13">
        <v>338.8</v>
      </c>
      <c r="R199" s="13">
        <v>69.22</v>
      </c>
      <c r="S199" s="13">
        <v>429.97</v>
      </c>
      <c r="T199" s="13">
        <v>1944.85</v>
      </c>
      <c r="U199" s="13">
        <v>77.06</v>
      </c>
      <c r="V199" s="13">
        <v>191.45</v>
      </c>
      <c r="W199" s="13">
        <v>24.27</v>
      </c>
      <c r="X199" s="13">
        <v>141.1</v>
      </c>
      <c r="Y199" s="13">
        <v>17.489999999999998</v>
      </c>
      <c r="Z199" s="13"/>
      <c r="AA199" s="13"/>
      <c r="AB199" s="13"/>
      <c r="AC199" s="14">
        <v>1667.9729729729731</v>
      </c>
      <c r="AD199" s="14">
        <v>188.63232682060391</v>
      </c>
      <c r="AE199" s="14">
        <v>1702.5125628140704</v>
      </c>
      <c r="AF199" s="14">
        <v>1917.4515235457063</v>
      </c>
      <c r="AG199" s="15">
        <v>0.11193184175855321</v>
      </c>
      <c r="AH199" s="15">
        <v>0.11193771945668574</v>
      </c>
      <c r="AI199" s="15">
        <v>0.10795646410770306</v>
      </c>
      <c r="AJ199" s="41">
        <f t="shared" si="6"/>
        <v>1471.77</v>
      </c>
      <c r="AK199" s="44">
        <f t="shared" si="7"/>
        <v>9.8557729387870538E-2</v>
      </c>
      <c r="AL199" s="10"/>
      <c r="AM199" s="10"/>
      <c r="AN199" s="10"/>
      <c r="AO199" s="10"/>
    </row>
    <row r="200" spans="1:41" s="16" customFormat="1" ht="19" customHeight="1">
      <c r="A200" s="23" t="s">
        <v>262</v>
      </c>
      <c r="B200" s="23" t="s">
        <v>230</v>
      </c>
      <c r="C200" s="23"/>
      <c r="D200" s="23"/>
      <c r="E200" s="24" t="s">
        <v>45</v>
      </c>
      <c r="F200" s="24" t="s">
        <v>249</v>
      </c>
      <c r="G200" s="12" t="s">
        <v>250</v>
      </c>
      <c r="H200" s="13">
        <v>6.52</v>
      </c>
      <c r="I200" s="13">
        <v>54.32</v>
      </c>
      <c r="J200" s="13">
        <v>215.88</v>
      </c>
      <c r="K200" s="13">
        <v>735.44</v>
      </c>
      <c r="L200" s="13">
        <v>128.5</v>
      </c>
      <c r="M200" s="13">
        <v>192.82</v>
      </c>
      <c r="N200" s="13">
        <v>669.73</v>
      </c>
      <c r="O200" s="13">
        <v>291.85000000000002</v>
      </c>
      <c r="P200" s="13">
        <v>12.67</v>
      </c>
      <c r="Q200" s="13">
        <v>389.88</v>
      </c>
      <c r="R200" s="13">
        <v>75.12</v>
      </c>
      <c r="S200" s="13">
        <v>489.27</v>
      </c>
      <c r="T200" s="13">
        <v>2190</v>
      </c>
      <c r="U200" s="13">
        <v>88.56</v>
      </c>
      <c r="V200" s="13">
        <v>219.52</v>
      </c>
      <c r="W200" s="13">
        <v>27.26</v>
      </c>
      <c r="X200" s="13">
        <v>165.07</v>
      </c>
      <c r="Y200" s="13">
        <v>20.88</v>
      </c>
      <c r="Z200" s="13"/>
      <c r="AA200" s="13"/>
      <c r="AB200" s="13"/>
      <c r="AC200" s="14">
        <v>1971.9594594594598</v>
      </c>
      <c r="AD200" s="14">
        <v>225.04440497335702</v>
      </c>
      <c r="AE200" s="14">
        <v>1959.1959798994974</v>
      </c>
      <c r="AF200" s="14">
        <v>2080.8864265927978</v>
      </c>
      <c r="AG200" s="15">
        <v>0.11449275331125262</v>
      </c>
      <c r="AH200" s="15">
        <v>0.11449335677221226</v>
      </c>
      <c r="AI200" s="15">
        <v>0.1120951372531778</v>
      </c>
      <c r="AJ200" s="41">
        <f t="shared" si="6"/>
        <v>1749.5500000000002</v>
      </c>
      <c r="AK200" s="44">
        <f t="shared" si="7"/>
        <v>8.8045662100456612E-2</v>
      </c>
      <c r="AL200" s="10"/>
      <c r="AM200" s="10"/>
      <c r="AN200" s="10"/>
      <c r="AO200" s="10"/>
    </row>
    <row r="201" spans="1:41" s="16" customFormat="1" ht="19" customHeight="1">
      <c r="A201" s="23" t="s">
        <v>263</v>
      </c>
      <c r="B201" s="23" t="s">
        <v>230</v>
      </c>
      <c r="C201" s="23"/>
      <c r="D201" s="23"/>
      <c r="E201" s="24" t="s">
        <v>45</v>
      </c>
      <c r="F201" s="24" t="s">
        <v>249</v>
      </c>
      <c r="G201" s="12" t="s">
        <v>250</v>
      </c>
      <c r="H201" s="13">
        <v>4.76</v>
      </c>
      <c r="I201" s="13">
        <v>75.45</v>
      </c>
      <c r="J201" s="13">
        <v>204.85</v>
      </c>
      <c r="K201" s="13">
        <v>775.72</v>
      </c>
      <c r="L201" s="13">
        <v>134.03</v>
      </c>
      <c r="M201" s="13">
        <v>193.19</v>
      </c>
      <c r="N201" s="13">
        <v>695.48</v>
      </c>
      <c r="O201" s="13">
        <v>301.38</v>
      </c>
      <c r="P201" s="13">
        <v>12.06</v>
      </c>
      <c r="Q201" s="13">
        <v>421.27</v>
      </c>
      <c r="R201" s="13">
        <v>85.25</v>
      </c>
      <c r="S201" s="13">
        <v>539.62</v>
      </c>
      <c r="T201" s="13">
        <v>2548.06</v>
      </c>
      <c r="U201" s="13">
        <v>102.55</v>
      </c>
      <c r="V201" s="13">
        <v>249.52</v>
      </c>
      <c r="W201" s="13">
        <v>34.130000000000003</v>
      </c>
      <c r="X201" s="13">
        <v>208.35</v>
      </c>
      <c r="Y201" s="13">
        <v>26.03</v>
      </c>
      <c r="Z201" s="13"/>
      <c r="AA201" s="13"/>
      <c r="AB201" s="13"/>
      <c r="AC201" s="14">
        <v>2036.3513513513515</v>
      </c>
      <c r="AD201" s="14">
        <v>214.20959147424514</v>
      </c>
      <c r="AE201" s="14">
        <v>2116.934673366834</v>
      </c>
      <c r="AF201" s="14">
        <v>2361.4958448753464</v>
      </c>
      <c r="AG201" s="15">
        <v>0.10315186105622476</v>
      </c>
      <c r="AH201" s="15">
        <v>0.10317128226976408</v>
      </c>
      <c r="AI201" s="15">
        <v>0.1001247341439452</v>
      </c>
      <c r="AJ201" s="41">
        <f t="shared" si="6"/>
        <v>1810.0800000000002</v>
      </c>
      <c r="AK201" s="44">
        <f t="shared" si="7"/>
        <v>7.5818465813206906E-2</v>
      </c>
      <c r="AL201" s="10"/>
      <c r="AM201" s="10"/>
      <c r="AN201" s="10"/>
      <c r="AO201" s="10"/>
    </row>
    <row r="202" spans="1:41" s="16" customFormat="1" ht="19" customHeight="1">
      <c r="A202" s="26" t="s">
        <v>264</v>
      </c>
      <c r="B202" s="23" t="s">
        <v>230</v>
      </c>
      <c r="C202" s="23"/>
      <c r="D202" s="23"/>
      <c r="E202" s="24" t="s">
        <v>45</v>
      </c>
      <c r="F202" s="24" t="s">
        <v>249</v>
      </c>
      <c r="G202" s="12" t="s">
        <v>250</v>
      </c>
      <c r="H202" s="13">
        <v>5.65</v>
      </c>
      <c r="I202" s="13">
        <v>117.4</v>
      </c>
      <c r="J202" s="13">
        <v>279.52999999999997</v>
      </c>
      <c r="K202" s="13">
        <v>779.21</v>
      </c>
      <c r="L202" s="13">
        <v>113.36</v>
      </c>
      <c r="M202" s="13">
        <v>36.020000000000003</v>
      </c>
      <c r="N202" s="13">
        <v>451.26</v>
      </c>
      <c r="O202" s="13">
        <v>203.23</v>
      </c>
      <c r="P202" s="13">
        <v>11.74</v>
      </c>
      <c r="Q202" s="13">
        <v>291.08999999999997</v>
      </c>
      <c r="R202" s="13">
        <v>68.430000000000007</v>
      </c>
      <c r="S202" s="13">
        <v>485.94</v>
      </c>
      <c r="T202" s="13">
        <v>2986.05</v>
      </c>
      <c r="U202" s="13">
        <v>84.62</v>
      </c>
      <c r="V202" s="13">
        <v>221.39</v>
      </c>
      <c r="W202" s="13">
        <v>30.23</v>
      </c>
      <c r="X202" s="13">
        <v>185.4</v>
      </c>
      <c r="Y202" s="13">
        <v>22.95</v>
      </c>
      <c r="Z202" s="13"/>
      <c r="AA202" s="13"/>
      <c r="AB202" s="13"/>
      <c r="AC202" s="14">
        <v>1373.1756756756756</v>
      </c>
      <c r="AD202" s="14">
        <v>208.5257548845471</v>
      </c>
      <c r="AE202" s="14">
        <v>1462.7638190954772</v>
      </c>
      <c r="AF202" s="14">
        <v>1895.5678670360112</v>
      </c>
      <c r="AG202" s="15">
        <v>0.14705938209825889</v>
      </c>
      <c r="AH202" s="15">
        <v>0.14713281574455075</v>
      </c>
      <c r="AI202" s="15">
        <v>0.13638371678431618</v>
      </c>
      <c r="AJ202" s="41">
        <f t="shared" si="6"/>
        <v>1623.36</v>
      </c>
      <c r="AK202" s="44">
        <f t="shared" si="7"/>
        <v>1.2062758493662196E-2</v>
      </c>
      <c r="AL202" s="10"/>
      <c r="AM202" s="10"/>
      <c r="AN202" s="10"/>
      <c r="AO202" s="10"/>
    </row>
    <row r="203" spans="1:41" s="16" customFormat="1" ht="19" customHeight="1">
      <c r="A203" s="26" t="s">
        <v>265</v>
      </c>
      <c r="B203" s="23" t="s">
        <v>230</v>
      </c>
      <c r="C203" s="23"/>
      <c r="D203" s="23"/>
      <c r="E203" s="24" t="s">
        <v>45</v>
      </c>
      <c r="F203" s="24" t="s">
        <v>249</v>
      </c>
      <c r="G203" s="12" t="s">
        <v>250</v>
      </c>
      <c r="H203" s="13">
        <v>3.74</v>
      </c>
      <c r="I203" s="13">
        <v>90.78</v>
      </c>
      <c r="J203" s="13">
        <v>254.62</v>
      </c>
      <c r="K203" s="13">
        <v>788.18</v>
      </c>
      <c r="L203" s="13">
        <v>106.82</v>
      </c>
      <c r="M203" s="13">
        <v>34.630000000000003</v>
      </c>
      <c r="N203" s="13">
        <v>427.4</v>
      </c>
      <c r="O203" s="13">
        <v>193.04</v>
      </c>
      <c r="P203" s="13">
        <v>9.86</v>
      </c>
      <c r="Q203" s="13">
        <v>290.73</v>
      </c>
      <c r="R203" s="13">
        <v>74.09</v>
      </c>
      <c r="S203" s="13">
        <v>499.83</v>
      </c>
      <c r="T203" s="13">
        <v>2970.32</v>
      </c>
      <c r="U203" s="13">
        <v>88.95</v>
      </c>
      <c r="V203" s="13">
        <v>220.83</v>
      </c>
      <c r="W203" s="13">
        <v>30.39</v>
      </c>
      <c r="X203" s="13">
        <v>188.55</v>
      </c>
      <c r="Y203" s="13">
        <v>23.32</v>
      </c>
      <c r="Z203" s="13"/>
      <c r="AA203" s="13"/>
      <c r="AB203" s="13"/>
      <c r="AC203" s="14">
        <v>1304.3243243243244</v>
      </c>
      <c r="AD203" s="14">
        <v>175.13321492007105</v>
      </c>
      <c r="AE203" s="14">
        <v>1460.9547738693468</v>
      </c>
      <c r="AF203" s="14">
        <v>2052.3545706371192</v>
      </c>
      <c r="AG203" s="15">
        <v>0.12666585086074755</v>
      </c>
      <c r="AH203" s="15">
        <v>0.12686953187304006</v>
      </c>
      <c r="AI203" s="15">
        <v>0.11544115425025639</v>
      </c>
      <c r="AJ203" s="41">
        <f t="shared" si="6"/>
        <v>1577.02</v>
      </c>
      <c r="AK203" s="44">
        <f t="shared" si="7"/>
        <v>1.1658676506235019E-2</v>
      </c>
      <c r="AL203" s="10"/>
      <c r="AM203" s="10"/>
    </row>
    <row r="204" spans="1:41" s="16" customFormat="1" ht="19" customHeight="1">
      <c r="A204" s="26" t="s">
        <v>266</v>
      </c>
      <c r="B204" s="23" t="s">
        <v>230</v>
      </c>
      <c r="C204" s="23"/>
      <c r="D204" s="23"/>
      <c r="E204" s="24" t="s">
        <v>45</v>
      </c>
      <c r="F204" s="24" t="s">
        <v>249</v>
      </c>
      <c r="G204" s="12" t="s">
        <v>250</v>
      </c>
      <c r="H204" s="13">
        <v>4.05</v>
      </c>
      <c r="I204" s="13">
        <v>79.900000000000006</v>
      </c>
      <c r="J204" s="13">
        <v>261.92</v>
      </c>
      <c r="K204" s="13">
        <v>731.45</v>
      </c>
      <c r="L204" s="13">
        <v>107.31</v>
      </c>
      <c r="M204" s="13">
        <v>36.29</v>
      </c>
      <c r="N204" s="13">
        <v>430.96</v>
      </c>
      <c r="O204" s="13">
        <v>211.92</v>
      </c>
      <c r="P204" s="13">
        <v>8.59</v>
      </c>
      <c r="Q204" s="13">
        <v>334.42</v>
      </c>
      <c r="R204" s="13">
        <v>80.209999999999994</v>
      </c>
      <c r="S204" s="13">
        <v>530.57000000000005</v>
      </c>
      <c r="T204" s="13">
        <v>3101.99</v>
      </c>
      <c r="U204" s="13">
        <v>90.31</v>
      </c>
      <c r="V204" s="13">
        <v>231.45</v>
      </c>
      <c r="W204" s="13">
        <v>29.76</v>
      </c>
      <c r="X204" s="13">
        <v>183.04</v>
      </c>
      <c r="Y204" s="13">
        <v>21.9</v>
      </c>
      <c r="Z204" s="13"/>
      <c r="AA204" s="13"/>
      <c r="AB204" s="13"/>
      <c r="AC204" s="14">
        <v>1431.8918918918919</v>
      </c>
      <c r="AD204" s="14">
        <v>152.57548845470694</v>
      </c>
      <c r="AE204" s="14">
        <v>1680.502512562814</v>
      </c>
      <c r="AF204" s="14">
        <v>2221.8836565096949</v>
      </c>
      <c r="AG204" s="15">
        <v>9.8043800770447845E-2</v>
      </c>
      <c r="AH204" s="15">
        <v>9.8358086447417031E-2</v>
      </c>
      <c r="AI204" s="15">
        <v>9.2038778139712701E-2</v>
      </c>
      <c r="AJ204" s="41">
        <f t="shared" si="6"/>
        <v>1531.64</v>
      </c>
      <c r="AK204" s="44">
        <f t="shared" si="7"/>
        <v>1.1698941647136194E-2</v>
      </c>
      <c r="AL204" s="10"/>
      <c r="AM204" s="10"/>
    </row>
    <row r="205" spans="1:41" s="16" customFormat="1" ht="19" customHeight="1">
      <c r="A205" s="26" t="s">
        <v>267</v>
      </c>
      <c r="B205" s="23" t="s">
        <v>230</v>
      </c>
      <c r="C205" s="23"/>
      <c r="D205" s="23"/>
      <c r="E205" s="24" t="s">
        <v>45</v>
      </c>
      <c r="F205" s="24" t="s">
        <v>249</v>
      </c>
      <c r="G205" s="12" t="s">
        <v>250</v>
      </c>
      <c r="H205" s="13">
        <v>4.75</v>
      </c>
      <c r="I205" s="13">
        <v>85.78</v>
      </c>
      <c r="J205" s="13">
        <v>268.04000000000002</v>
      </c>
      <c r="K205" s="13">
        <v>740.9</v>
      </c>
      <c r="L205" s="13">
        <v>112.44</v>
      </c>
      <c r="M205" s="13">
        <v>33.11</v>
      </c>
      <c r="N205" s="13">
        <v>466.87</v>
      </c>
      <c r="O205" s="13">
        <v>219.64</v>
      </c>
      <c r="P205" s="13">
        <v>9.35</v>
      </c>
      <c r="Q205" s="13">
        <v>343.6</v>
      </c>
      <c r="R205" s="13">
        <v>80.02</v>
      </c>
      <c r="S205" s="13">
        <v>535.04999999999995</v>
      </c>
      <c r="T205" s="13">
        <v>3153.86</v>
      </c>
      <c r="U205" s="13">
        <v>94.43</v>
      </c>
      <c r="V205" s="13">
        <v>228.1</v>
      </c>
      <c r="W205" s="13">
        <v>31.58</v>
      </c>
      <c r="X205" s="13">
        <v>189.77</v>
      </c>
      <c r="Y205" s="13">
        <v>22.64</v>
      </c>
      <c r="Z205" s="13"/>
      <c r="AA205" s="13"/>
      <c r="AB205" s="13"/>
      <c r="AC205" s="14">
        <v>1484.0540540540539</v>
      </c>
      <c r="AD205" s="14">
        <v>166.0746003552398</v>
      </c>
      <c r="AE205" s="14">
        <v>1726.6331658291458</v>
      </c>
      <c r="AF205" s="14">
        <v>2216.6204986149583</v>
      </c>
      <c r="AG205" s="15">
        <v>0.10345112368889135</v>
      </c>
      <c r="AH205" s="15">
        <v>0.10374766160616065</v>
      </c>
      <c r="AI205" s="15">
        <v>9.7897805095163423E-2</v>
      </c>
      <c r="AJ205" s="41">
        <f t="shared" si="6"/>
        <v>1588.25</v>
      </c>
      <c r="AK205" s="44">
        <f t="shared" si="7"/>
        <v>1.0498246593063738E-2</v>
      </c>
      <c r="AL205" s="10"/>
      <c r="AM205" s="10"/>
    </row>
    <row r="206" spans="1:41" s="16" customFormat="1" ht="19" customHeight="1">
      <c r="A206" s="26" t="s">
        <v>268</v>
      </c>
      <c r="B206" s="23" t="s">
        <v>230</v>
      </c>
      <c r="C206" s="23"/>
      <c r="D206" s="23"/>
      <c r="E206" s="24" t="s">
        <v>45</v>
      </c>
      <c r="F206" s="24" t="s">
        <v>249</v>
      </c>
      <c r="G206" s="12" t="s">
        <v>250</v>
      </c>
      <c r="H206" s="13">
        <v>2.39</v>
      </c>
      <c r="I206" s="13">
        <v>73.94</v>
      </c>
      <c r="J206" s="13">
        <v>162.63999999999999</v>
      </c>
      <c r="K206" s="13">
        <v>567.64</v>
      </c>
      <c r="L206" s="13">
        <v>101.04</v>
      </c>
      <c r="M206" s="13">
        <v>38.72</v>
      </c>
      <c r="N206" s="13">
        <v>455.55</v>
      </c>
      <c r="O206" s="13">
        <v>231.58</v>
      </c>
      <c r="P206" s="13">
        <v>9.3699999999999992</v>
      </c>
      <c r="Q206" s="13">
        <v>353.06</v>
      </c>
      <c r="R206" s="13">
        <v>79.77</v>
      </c>
      <c r="S206" s="13">
        <v>525.67999999999995</v>
      </c>
      <c r="T206" s="13">
        <v>2796.92</v>
      </c>
      <c r="U206" s="13">
        <v>86.89</v>
      </c>
      <c r="V206" s="13">
        <v>202.51</v>
      </c>
      <c r="W206" s="13">
        <v>26.72</v>
      </c>
      <c r="X206" s="13">
        <v>146.9</v>
      </c>
      <c r="Y206" s="13">
        <v>17.46</v>
      </c>
      <c r="Z206" s="13"/>
      <c r="AA206" s="13"/>
      <c r="AB206" s="13"/>
      <c r="AC206" s="14">
        <v>1564.7297297297298</v>
      </c>
      <c r="AD206" s="14">
        <v>166.42984014209591</v>
      </c>
      <c r="AE206" s="14">
        <v>1774.1708542713568</v>
      </c>
      <c r="AF206" s="14">
        <v>2209.6952908587255</v>
      </c>
      <c r="AG206" s="15">
        <v>9.9691401977988175E-2</v>
      </c>
      <c r="AH206" s="15">
        <v>9.9888112957320543E-2</v>
      </c>
      <c r="AI206" s="15">
        <v>9.4804185237287564E-2</v>
      </c>
      <c r="AJ206" s="41">
        <f t="shared" si="6"/>
        <v>1286.8699999999999</v>
      </c>
      <c r="AK206" s="44">
        <f t="shared" si="7"/>
        <v>1.3843799608140382E-2</v>
      </c>
      <c r="AL206" s="10"/>
      <c r="AM206" s="10"/>
    </row>
    <row r="207" spans="1:41" s="16" customFormat="1" ht="19" customHeight="1">
      <c r="A207" s="26" t="s">
        <v>269</v>
      </c>
      <c r="B207" s="23" t="s">
        <v>230</v>
      </c>
      <c r="C207" s="23"/>
      <c r="D207" s="23"/>
      <c r="E207" s="24" t="s">
        <v>45</v>
      </c>
      <c r="F207" s="24" t="s">
        <v>249</v>
      </c>
      <c r="G207" s="12" t="s">
        <v>250</v>
      </c>
      <c r="H207" s="13">
        <v>3.19</v>
      </c>
      <c r="I207" s="13">
        <v>88.18</v>
      </c>
      <c r="J207" s="13">
        <v>261.87</v>
      </c>
      <c r="K207" s="13">
        <v>748.28</v>
      </c>
      <c r="L207" s="13">
        <v>119.06</v>
      </c>
      <c r="M207" s="13">
        <v>36.97</v>
      </c>
      <c r="N207" s="13">
        <v>502.07</v>
      </c>
      <c r="O207" s="13">
        <v>264.54000000000002</v>
      </c>
      <c r="P207" s="13">
        <v>8.8800000000000008</v>
      </c>
      <c r="Q207" s="13">
        <v>394.75</v>
      </c>
      <c r="R207" s="13">
        <v>90</v>
      </c>
      <c r="S207" s="13">
        <v>568.59</v>
      </c>
      <c r="T207" s="13">
        <v>3057.94</v>
      </c>
      <c r="U207" s="13">
        <v>90.25</v>
      </c>
      <c r="V207" s="13">
        <v>217.29</v>
      </c>
      <c r="W207" s="13">
        <v>29.16</v>
      </c>
      <c r="X207" s="13">
        <v>175.82</v>
      </c>
      <c r="Y207" s="13">
        <v>20.94</v>
      </c>
      <c r="Z207" s="13"/>
      <c r="AA207" s="13"/>
      <c r="AB207" s="13"/>
      <c r="AC207" s="14">
        <v>1787.4324324324327</v>
      </c>
      <c r="AD207" s="14">
        <v>157.7264653641208</v>
      </c>
      <c r="AE207" s="14">
        <v>1983.6683417085426</v>
      </c>
      <c r="AF207" s="14">
        <v>2493.0747922437672</v>
      </c>
      <c r="AG207" s="15">
        <v>8.3650093068674117E-2</v>
      </c>
      <c r="AH207" s="15">
        <v>8.3763578526088581E-2</v>
      </c>
      <c r="AI207" s="15">
        <v>7.897804507350964E-2</v>
      </c>
      <c r="AJ207" s="41">
        <f t="shared" si="6"/>
        <v>1631.28</v>
      </c>
      <c r="AK207" s="44">
        <f t="shared" si="7"/>
        <v>1.2089838257127346E-2</v>
      </c>
      <c r="AL207" s="10"/>
      <c r="AM207" s="10"/>
    </row>
    <row r="208" spans="1:41" s="16" customFormat="1" ht="19" customHeight="1">
      <c r="A208" s="26" t="s">
        <v>270</v>
      </c>
      <c r="B208" s="23" t="s">
        <v>230</v>
      </c>
      <c r="C208" s="23"/>
      <c r="D208" s="23"/>
      <c r="E208" s="24" t="s">
        <v>45</v>
      </c>
      <c r="F208" s="24" t="s">
        <v>249</v>
      </c>
      <c r="G208" s="12" t="s">
        <v>250</v>
      </c>
      <c r="H208" s="13">
        <v>1.5</v>
      </c>
      <c r="I208" s="13">
        <v>62.19</v>
      </c>
      <c r="J208" s="13">
        <v>273.51</v>
      </c>
      <c r="K208" s="13">
        <v>769.98</v>
      </c>
      <c r="L208" s="13">
        <v>117.32</v>
      </c>
      <c r="M208" s="13">
        <v>38.54</v>
      </c>
      <c r="N208" s="13">
        <v>481.86</v>
      </c>
      <c r="O208" s="13">
        <v>257.11</v>
      </c>
      <c r="P208" s="13">
        <v>9.0399999999999991</v>
      </c>
      <c r="Q208" s="13">
        <v>391.42</v>
      </c>
      <c r="R208" s="13">
        <v>90.54</v>
      </c>
      <c r="S208" s="13">
        <v>580.01</v>
      </c>
      <c r="T208" s="13">
        <v>3147.87</v>
      </c>
      <c r="U208" s="13">
        <v>95.13</v>
      </c>
      <c r="V208" s="13">
        <v>225.7</v>
      </c>
      <c r="W208" s="13">
        <v>31.32</v>
      </c>
      <c r="X208" s="13">
        <v>182.19</v>
      </c>
      <c r="Y208" s="13">
        <v>22.49</v>
      </c>
      <c r="Z208" s="13"/>
      <c r="AA208" s="13"/>
      <c r="AB208" s="13"/>
      <c r="AC208" s="14">
        <v>1737.2297297297298</v>
      </c>
      <c r="AD208" s="14">
        <v>160.56838365896979</v>
      </c>
      <c r="AE208" s="14">
        <v>1966.9346733668342</v>
      </c>
      <c r="AF208" s="14">
        <v>2508.0332409972302</v>
      </c>
      <c r="AG208" s="15">
        <v>8.6696143143506113E-2</v>
      </c>
      <c r="AH208" s="15">
        <v>8.6863323309485055E-2</v>
      </c>
      <c r="AI208" s="15">
        <v>8.1779434773280396E-2</v>
      </c>
      <c r="AJ208" s="41">
        <f t="shared" si="6"/>
        <v>1642.67</v>
      </c>
      <c r="AK208" s="44">
        <f t="shared" si="7"/>
        <v>1.224319936973255E-2</v>
      </c>
      <c r="AL208" s="10"/>
      <c r="AM208" s="10"/>
    </row>
    <row r="209" spans="1:39" s="16" customFormat="1" ht="19" customHeight="1">
      <c r="A209" s="26" t="s">
        <v>271</v>
      </c>
      <c r="B209" s="23" t="s">
        <v>230</v>
      </c>
      <c r="C209" s="23"/>
      <c r="D209" s="23"/>
      <c r="E209" s="24" t="s">
        <v>45</v>
      </c>
      <c r="F209" s="24" t="s">
        <v>249</v>
      </c>
      <c r="G209" s="12" t="s">
        <v>250</v>
      </c>
      <c r="H209" s="13">
        <v>4.1900000000000004</v>
      </c>
      <c r="I209" s="13">
        <v>81.96</v>
      </c>
      <c r="J209" s="13">
        <v>268.76</v>
      </c>
      <c r="K209" s="13">
        <v>730.66</v>
      </c>
      <c r="L209" s="13">
        <v>115.19</v>
      </c>
      <c r="M209" s="13">
        <v>34.79</v>
      </c>
      <c r="N209" s="13">
        <v>494.54</v>
      </c>
      <c r="O209" s="13">
        <v>227.57</v>
      </c>
      <c r="P209" s="13">
        <v>9.39</v>
      </c>
      <c r="Q209" s="13">
        <v>341.61</v>
      </c>
      <c r="R209" s="13">
        <v>81.03</v>
      </c>
      <c r="S209" s="13">
        <v>527.57000000000005</v>
      </c>
      <c r="T209" s="13">
        <v>3001.34</v>
      </c>
      <c r="U209" s="13">
        <v>89.5</v>
      </c>
      <c r="V209" s="13">
        <v>220.54</v>
      </c>
      <c r="W209" s="13">
        <v>30.24</v>
      </c>
      <c r="X209" s="13">
        <v>182.08</v>
      </c>
      <c r="Y209" s="13">
        <v>21.96</v>
      </c>
      <c r="Z209" s="13"/>
      <c r="AA209" s="13"/>
      <c r="AB209" s="13"/>
      <c r="AC209" s="14">
        <v>1537.6351351351352</v>
      </c>
      <c r="AD209" s="14">
        <v>166.78507992895206</v>
      </c>
      <c r="AE209" s="14">
        <v>1716.6331658291458</v>
      </c>
      <c r="AF209" s="14">
        <v>2244.5983379501386</v>
      </c>
      <c r="AG209" s="15">
        <v>0.10250235352723162</v>
      </c>
      <c r="AH209" s="15">
        <v>0.10265776406264618</v>
      </c>
      <c r="AI209" s="15">
        <v>9.5618543191552594E-2</v>
      </c>
      <c r="AJ209" s="41">
        <f t="shared" si="6"/>
        <v>1609.1499999999999</v>
      </c>
      <c r="AK209" s="44">
        <f t="shared" si="7"/>
        <v>1.1591489134853097E-2</v>
      </c>
      <c r="AL209" s="10"/>
      <c r="AM209" s="10"/>
    </row>
    <row r="210" spans="1:39" s="16" customFormat="1" ht="19" customHeight="1">
      <c r="A210" s="26" t="s">
        <v>272</v>
      </c>
      <c r="B210" s="23" t="s">
        <v>230</v>
      </c>
      <c r="C210" s="23"/>
      <c r="D210" s="23"/>
      <c r="E210" s="24" t="s">
        <v>45</v>
      </c>
      <c r="F210" s="24" t="s">
        <v>249</v>
      </c>
      <c r="G210" s="12" t="s">
        <v>250</v>
      </c>
      <c r="H210" s="13">
        <v>6.22</v>
      </c>
      <c r="I210" s="13">
        <v>115.1</v>
      </c>
      <c r="J210" s="13">
        <v>276.79000000000002</v>
      </c>
      <c r="K210" s="13">
        <v>741.89</v>
      </c>
      <c r="L210" s="13">
        <v>112.65</v>
      </c>
      <c r="M210" s="13">
        <v>35.700000000000003</v>
      </c>
      <c r="N210" s="13">
        <v>464.94</v>
      </c>
      <c r="O210" s="13">
        <v>193.54</v>
      </c>
      <c r="P210" s="13">
        <v>14.45</v>
      </c>
      <c r="Q210" s="13">
        <v>283.74</v>
      </c>
      <c r="R210" s="13">
        <v>67.33</v>
      </c>
      <c r="S210" s="13">
        <v>463.55</v>
      </c>
      <c r="T210" s="13">
        <v>2916.46</v>
      </c>
      <c r="U210" s="13">
        <v>83.2</v>
      </c>
      <c r="V210" s="13">
        <v>215.01</v>
      </c>
      <c r="W210" s="13">
        <v>30.69</v>
      </c>
      <c r="X210" s="13">
        <v>185.67</v>
      </c>
      <c r="Y210" s="13">
        <v>22.91</v>
      </c>
      <c r="Z210" s="13"/>
      <c r="AA210" s="13"/>
      <c r="AB210" s="13"/>
      <c r="AC210" s="14">
        <v>1307.7027027027027</v>
      </c>
      <c r="AD210" s="14">
        <v>256.66074600355239</v>
      </c>
      <c r="AE210" s="14">
        <v>1425.8291457286432</v>
      </c>
      <c r="AF210" s="14">
        <v>1865.0969529085871</v>
      </c>
      <c r="AG210" s="15">
        <v>0.18778690736735976</v>
      </c>
      <c r="AH210" s="15">
        <v>0.18796249344433441</v>
      </c>
      <c r="AI210" s="15">
        <v>0.17436245190631527</v>
      </c>
      <c r="AJ210" s="41">
        <f t="shared" si="6"/>
        <v>1596.2700000000002</v>
      </c>
      <c r="AK210" s="44">
        <f t="shared" si="7"/>
        <v>1.2240867352886719E-2</v>
      </c>
      <c r="AL210" s="10"/>
      <c r="AM210" s="10"/>
    </row>
    <row r="211" spans="1:39" s="16" customFormat="1" ht="19" customHeight="1">
      <c r="A211" s="26" t="s">
        <v>273</v>
      </c>
      <c r="B211" s="23" t="s">
        <v>230</v>
      </c>
      <c r="C211" s="23"/>
      <c r="D211" s="23"/>
      <c r="E211" s="24" t="s">
        <v>45</v>
      </c>
      <c r="F211" s="24" t="s">
        <v>249</v>
      </c>
      <c r="G211" s="12" t="s">
        <v>250</v>
      </c>
      <c r="H211" s="13">
        <v>2.62</v>
      </c>
      <c r="I211" s="13">
        <v>66.81</v>
      </c>
      <c r="J211" s="13">
        <v>290.35000000000002</v>
      </c>
      <c r="K211" s="13">
        <v>799.86</v>
      </c>
      <c r="L211" s="13">
        <v>125.24</v>
      </c>
      <c r="M211" s="13">
        <v>33.229999999999997</v>
      </c>
      <c r="N211" s="13">
        <v>514.66999999999996</v>
      </c>
      <c r="O211" s="13">
        <v>250.1</v>
      </c>
      <c r="P211" s="13">
        <v>9.8000000000000007</v>
      </c>
      <c r="Q211" s="13">
        <v>371.58</v>
      </c>
      <c r="R211" s="13">
        <v>82.6</v>
      </c>
      <c r="S211" s="13">
        <v>529.38</v>
      </c>
      <c r="T211" s="13">
        <v>2869.82</v>
      </c>
      <c r="U211" s="13">
        <v>84.02</v>
      </c>
      <c r="V211" s="13">
        <v>203.7</v>
      </c>
      <c r="W211" s="13">
        <v>26.8</v>
      </c>
      <c r="X211" s="13">
        <v>163</v>
      </c>
      <c r="Y211" s="13">
        <v>18.559999999999999</v>
      </c>
      <c r="Z211" s="13"/>
      <c r="AA211" s="13"/>
      <c r="AB211" s="13"/>
      <c r="AC211" s="14">
        <v>1689.864864864865</v>
      </c>
      <c r="AD211" s="14">
        <v>174.0674955595027</v>
      </c>
      <c r="AE211" s="14">
        <v>1867.2361809045224</v>
      </c>
      <c r="AF211" s="14">
        <v>2288.0886426592797</v>
      </c>
      <c r="AG211" s="15">
        <v>9.7870425000452899E-2</v>
      </c>
      <c r="AH211" s="15">
        <v>9.7992325827973015E-2</v>
      </c>
      <c r="AI211" s="15">
        <v>9.3109089937088982E-2</v>
      </c>
      <c r="AJ211" s="41">
        <f t="shared" si="6"/>
        <v>1730.12</v>
      </c>
      <c r="AK211" s="44">
        <f t="shared" si="7"/>
        <v>1.1579123429344E-2</v>
      </c>
      <c r="AL211" s="10"/>
      <c r="AM211" s="10"/>
    </row>
    <row r="212" spans="1:39" s="16" customFormat="1" ht="19" customHeight="1">
      <c r="A212" s="27" t="s">
        <v>274</v>
      </c>
      <c r="B212" s="23" t="s">
        <v>230</v>
      </c>
      <c r="C212" s="23"/>
      <c r="D212" s="23"/>
      <c r="E212" s="24" t="s">
        <v>45</v>
      </c>
      <c r="F212" s="24" t="s">
        <v>249</v>
      </c>
      <c r="G212" s="12" t="s">
        <v>250</v>
      </c>
      <c r="H212" s="13">
        <v>2.77</v>
      </c>
      <c r="I212" s="13">
        <v>68.8</v>
      </c>
      <c r="J212" s="13">
        <v>261.79000000000002</v>
      </c>
      <c r="K212" s="13">
        <v>714.9</v>
      </c>
      <c r="L212" s="13">
        <v>113.6</v>
      </c>
      <c r="M212" s="13">
        <v>31.74</v>
      </c>
      <c r="N212" s="13">
        <v>484.12</v>
      </c>
      <c r="O212" s="13">
        <v>214.88</v>
      </c>
      <c r="P212" s="13">
        <v>10.48</v>
      </c>
      <c r="Q212" s="13">
        <v>333.39</v>
      </c>
      <c r="R212" s="13">
        <v>77.39</v>
      </c>
      <c r="S212" s="13">
        <v>519.63</v>
      </c>
      <c r="T212" s="13">
        <v>2989.37</v>
      </c>
      <c r="U212" s="13">
        <v>88.76</v>
      </c>
      <c r="V212" s="13">
        <v>220.55</v>
      </c>
      <c r="W212" s="13">
        <v>30.09</v>
      </c>
      <c r="X212" s="13">
        <v>176.85</v>
      </c>
      <c r="Y212" s="13">
        <v>22.4</v>
      </c>
      <c r="Z212" s="13"/>
      <c r="AA212" s="13"/>
      <c r="AB212" s="13"/>
      <c r="AC212" s="14">
        <v>1451.8918918918919</v>
      </c>
      <c r="AD212" s="14">
        <v>186.14564831261103</v>
      </c>
      <c r="AE212" s="14">
        <v>1675.326633165829</v>
      </c>
      <c r="AF212" s="14">
        <v>2143.7673130193907</v>
      </c>
      <c r="AG212" s="15">
        <v>0.11904869891315013</v>
      </c>
      <c r="AH212" s="15">
        <v>0.11935373152039475</v>
      </c>
      <c r="AI212" s="15">
        <v>0.112591123616316</v>
      </c>
      <c r="AJ212" s="41">
        <f t="shared" si="6"/>
        <v>1574.4099999999999</v>
      </c>
      <c r="AK212" s="44">
        <f t="shared" si="7"/>
        <v>1.0617621773149526E-2</v>
      </c>
      <c r="AL212" s="10"/>
      <c r="AM212" s="10"/>
    </row>
    <row r="213" spans="1:39" s="16" customFormat="1" ht="19" customHeight="1">
      <c r="A213" s="27" t="s">
        <v>275</v>
      </c>
      <c r="B213" s="23" t="s">
        <v>230</v>
      </c>
      <c r="C213" s="23"/>
      <c r="D213" s="23"/>
      <c r="E213" s="24" t="s">
        <v>45</v>
      </c>
      <c r="F213" s="24" t="s">
        <v>249</v>
      </c>
      <c r="G213" s="12" t="s">
        <v>250</v>
      </c>
      <c r="H213" s="13">
        <v>3.39</v>
      </c>
      <c r="I213" s="13">
        <v>78.81</v>
      </c>
      <c r="J213" s="13">
        <v>296.5</v>
      </c>
      <c r="K213" s="13">
        <v>765.57</v>
      </c>
      <c r="L213" s="13">
        <v>119.72</v>
      </c>
      <c r="M213" s="13">
        <v>39.520000000000003</v>
      </c>
      <c r="N213" s="13">
        <v>483.98</v>
      </c>
      <c r="O213" s="13">
        <v>226.7</v>
      </c>
      <c r="P213" s="13">
        <v>10.48</v>
      </c>
      <c r="Q213" s="13">
        <v>351.7</v>
      </c>
      <c r="R213" s="13">
        <v>83.89</v>
      </c>
      <c r="S213" s="13">
        <v>560.12</v>
      </c>
      <c r="T213" s="13">
        <v>3208.17</v>
      </c>
      <c r="U213" s="13">
        <v>95.93</v>
      </c>
      <c r="V213" s="13">
        <v>241.16</v>
      </c>
      <c r="W213" s="13">
        <v>32.369999999999997</v>
      </c>
      <c r="X213" s="13">
        <v>192.51</v>
      </c>
      <c r="Y213" s="13">
        <v>24.18</v>
      </c>
      <c r="Z213" s="13"/>
      <c r="AA213" s="13"/>
      <c r="AB213" s="13"/>
      <c r="AC213" s="14">
        <v>1531.7567567567567</v>
      </c>
      <c r="AD213" s="14">
        <v>186.14564831261103</v>
      </c>
      <c r="AE213" s="14">
        <v>1767.3366834170852</v>
      </c>
      <c r="AF213" s="14">
        <v>2323.8227146814406</v>
      </c>
      <c r="AG213" s="15">
        <v>0.11284654508167086</v>
      </c>
      <c r="AH213" s="15">
        <v>0.1131353538386029</v>
      </c>
      <c r="AI213" s="15">
        <v>0.10576095265870845</v>
      </c>
      <c r="AJ213" s="41">
        <f t="shared" si="6"/>
        <v>1665.7700000000002</v>
      </c>
      <c r="AK213" s="44">
        <f t="shared" si="7"/>
        <v>1.2318549204063377E-2</v>
      </c>
      <c r="AL213" s="10"/>
      <c r="AM213" s="10"/>
    </row>
    <row r="214" spans="1:39" s="16" customFormat="1" ht="19" customHeight="1">
      <c r="A214" s="23" t="s">
        <v>276</v>
      </c>
      <c r="B214" s="23" t="s">
        <v>230</v>
      </c>
      <c r="C214" s="23"/>
      <c r="D214" s="23"/>
      <c r="E214" s="24" t="s">
        <v>45</v>
      </c>
      <c r="F214" s="24" t="s">
        <v>249</v>
      </c>
      <c r="G214" s="12" t="s">
        <v>250</v>
      </c>
      <c r="H214" s="13">
        <v>1.65</v>
      </c>
      <c r="I214" s="13">
        <v>63.33</v>
      </c>
      <c r="J214" s="13">
        <v>209.81</v>
      </c>
      <c r="K214" s="13">
        <v>730.79</v>
      </c>
      <c r="L214" s="13">
        <v>125.85</v>
      </c>
      <c r="M214" s="13">
        <v>93.81</v>
      </c>
      <c r="N214" s="13">
        <v>611.32000000000005</v>
      </c>
      <c r="O214" s="13">
        <v>281.12</v>
      </c>
      <c r="P214" s="13">
        <v>4.6100000000000003</v>
      </c>
      <c r="Q214" s="13">
        <v>374.84</v>
      </c>
      <c r="R214" s="13">
        <v>74.66</v>
      </c>
      <c r="S214" s="13">
        <v>443.84</v>
      </c>
      <c r="T214" s="13">
        <v>2178.9899999999998</v>
      </c>
      <c r="U214" s="13">
        <v>74.41</v>
      </c>
      <c r="V214" s="13">
        <v>178.76</v>
      </c>
      <c r="W214" s="13">
        <v>24.51</v>
      </c>
      <c r="X214" s="13">
        <v>147.4</v>
      </c>
      <c r="Y214" s="13">
        <v>18.47</v>
      </c>
      <c r="Z214" s="13"/>
      <c r="AA214" s="13"/>
      <c r="AB214" s="13"/>
      <c r="AC214" s="14">
        <v>1899.4594594594596</v>
      </c>
      <c r="AD214" s="14">
        <v>81.882770870337495</v>
      </c>
      <c r="AE214" s="14">
        <v>1883.6180904522612</v>
      </c>
      <c r="AF214" s="14">
        <v>2068.1440443213296</v>
      </c>
      <c r="AG214" s="15">
        <v>4.3288972953910633E-2</v>
      </c>
      <c r="AH214" s="15">
        <v>4.3289352485501427E-2</v>
      </c>
      <c r="AI214" s="15">
        <v>4.1903045046873123E-2</v>
      </c>
      <c r="AJ214" s="41">
        <f t="shared" si="6"/>
        <v>1677.77</v>
      </c>
      <c r="AK214" s="44">
        <f t="shared" si="7"/>
        <v>4.3052056227885403E-2</v>
      </c>
      <c r="AL214" s="10"/>
      <c r="AM214" s="10"/>
    </row>
    <row r="215" spans="1:39" s="16" customFormat="1" ht="19" customHeight="1">
      <c r="A215" s="23" t="s">
        <v>277</v>
      </c>
      <c r="B215" s="23" t="s">
        <v>230</v>
      </c>
      <c r="C215" s="23"/>
      <c r="D215" s="23"/>
      <c r="E215" s="24" t="s">
        <v>45</v>
      </c>
      <c r="F215" s="24" t="s">
        <v>249</v>
      </c>
      <c r="G215" s="12" t="s">
        <v>250</v>
      </c>
      <c r="H215" s="13">
        <v>2.2400000000000002</v>
      </c>
      <c r="I215" s="13">
        <v>32.57</v>
      </c>
      <c r="J215" s="13">
        <v>197.45</v>
      </c>
      <c r="K215" s="13">
        <v>695.51</v>
      </c>
      <c r="L215" s="13">
        <v>122.03</v>
      </c>
      <c r="M215" s="13">
        <v>95.08</v>
      </c>
      <c r="N215" s="13">
        <v>625.42999999999995</v>
      </c>
      <c r="O215" s="13">
        <v>274.2</v>
      </c>
      <c r="P215" s="13">
        <v>5.12</v>
      </c>
      <c r="Q215" s="13">
        <v>371.34</v>
      </c>
      <c r="R215" s="13">
        <v>68.39</v>
      </c>
      <c r="S215" s="13">
        <v>402.06</v>
      </c>
      <c r="T215" s="13">
        <v>1837.59</v>
      </c>
      <c r="U215" s="13">
        <v>63.89</v>
      </c>
      <c r="V215" s="13">
        <v>153.11000000000001</v>
      </c>
      <c r="W215" s="13">
        <v>19.12</v>
      </c>
      <c r="X215" s="13">
        <v>112.87</v>
      </c>
      <c r="Y215" s="13">
        <v>13.67</v>
      </c>
      <c r="Z215" s="13"/>
      <c r="AA215" s="13"/>
      <c r="AB215" s="13"/>
      <c r="AC215" s="14">
        <v>1852.7027027027027</v>
      </c>
      <c r="AD215" s="14">
        <v>90.941385435168741</v>
      </c>
      <c r="AE215" s="14">
        <v>1866.0301507537686</v>
      </c>
      <c r="AF215" s="14">
        <v>1894.4598337950138</v>
      </c>
      <c r="AG215" s="15">
        <v>4.8909878186404784E-2</v>
      </c>
      <c r="AH215" s="15">
        <v>4.8910192291372237E-2</v>
      </c>
      <c r="AI215" s="15">
        <v>4.8722467636606273E-2</v>
      </c>
      <c r="AJ215" s="41">
        <f t="shared" si="6"/>
        <v>1640.42</v>
      </c>
      <c r="AK215" s="44">
        <f t="shared" si="7"/>
        <v>5.174168340054093E-2</v>
      </c>
      <c r="AL215" s="10"/>
      <c r="AM215" s="10"/>
    </row>
    <row r="216" spans="1:39" s="16" customFormat="1" ht="19" customHeight="1">
      <c r="A216" s="23" t="s">
        <v>278</v>
      </c>
      <c r="B216" s="23" t="s">
        <v>230</v>
      </c>
      <c r="C216" s="23"/>
      <c r="D216" s="23"/>
      <c r="E216" s="24" t="s">
        <v>45</v>
      </c>
      <c r="F216" s="24" t="s">
        <v>249</v>
      </c>
      <c r="G216" s="12" t="s">
        <v>250</v>
      </c>
      <c r="H216" s="13">
        <v>4.88</v>
      </c>
      <c r="I216" s="13">
        <v>40.74</v>
      </c>
      <c r="J216" s="13">
        <v>160.4</v>
      </c>
      <c r="K216" s="13">
        <v>609.73</v>
      </c>
      <c r="L216" s="13">
        <v>113.12</v>
      </c>
      <c r="M216" s="13">
        <v>92.49</v>
      </c>
      <c r="N216" s="13">
        <v>609.26</v>
      </c>
      <c r="O216" s="13">
        <v>278.86</v>
      </c>
      <c r="P216" s="13">
        <v>5.67</v>
      </c>
      <c r="Q216" s="13">
        <v>388.28</v>
      </c>
      <c r="R216" s="13">
        <v>72.430000000000007</v>
      </c>
      <c r="S216" s="13">
        <v>424.76</v>
      </c>
      <c r="T216" s="13">
        <v>2021.03</v>
      </c>
      <c r="U216" s="13">
        <v>70.819999999999993</v>
      </c>
      <c r="V216" s="13">
        <v>165.43</v>
      </c>
      <c r="W216" s="13">
        <v>20.440000000000001</v>
      </c>
      <c r="X216" s="13">
        <v>118.71</v>
      </c>
      <c r="Y216" s="13">
        <v>13.65</v>
      </c>
      <c r="Z216" s="13"/>
      <c r="AA216" s="13"/>
      <c r="AB216" s="13"/>
      <c r="AC216" s="14">
        <v>1884.1891891891894</v>
      </c>
      <c r="AD216" s="14">
        <v>100.71047957371226</v>
      </c>
      <c r="AE216" s="14">
        <v>1951.1557788944722</v>
      </c>
      <c r="AF216" s="14">
        <v>2006.3711911357343</v>
      </c>
      <c r="AG216" s="15">
        <v>5.2517038447278175E-2</v>
      </c>
      <c r="AH216" s="15">
        <v>5.2525045580371355E-2</v>
      </c>
      <c r="AI216" s="15">
        <v>5.2342512429449775E-2</v>
      </c>
      <c r="AJ216" s="41">
        <f t="shared" si="6"/>
        <v>1492.51</v>
      </c>
      <c r="AK216" s="44">
        <f t="shared" si="7"/>
        <v>4.5763793709148307E-2</v>
      </c>
      <c r="AL216" s="10"/>
      <c r="AM216" s="10"/>
    </row>
    <row r="217" spans="1:39" s="16" customFormat="1" ht="19" customHeight="1">
      <c r="A217" s="23" t="s">
        <v>279</v>
      </c>
      <c r="B217" s="23" t="s">
        <v>230</v>
      </c>
      <c r="C217" s="23"/>
      <c r="D217" s="23"/>
      <c r="E217" s="24" t="s">
        <v>45</v>
      </c>
      <c r="F217" s="24" t="s">
        <v>249</v>
      </c>
      <c r="G217" s="12" t="s">
        <v>250</v>
      </c>
      <c r="H217" s="13">
        <v>8.2200000000000006</v>
      </c>
      <c r="I217" s="13">
        <v>35.869999999999997</v>
      </c>
      <c r="J217" s="13">
        <v>225.43</v>
      </c>
      <c r="K217" s="13">
        <v>785.23</v>
      </c>
      <c r="L217" s="13">
        <v>139.79</v>
      </c>
      <c r="M217" s="13">
        <v>98.09</v>
      </c>
      <c r="N217" s="13">
        <v>727.98</v>
      </c>
      <c r="O217" s="13">
        <v>322.32</v>
      </c>
      <c r="P217" s="13">
        <v>6.29</v>
      </c>
      <c r="Q217" s="13">
        <v>430.99</v>
      </c>
      <c r="R217" s="13">
        <v>82.15</v>
      </c>
      <c r="S217" s="13">
        <v>502.82</v>
      </c>
      <c r="T217" s="13">
        <v>2424.9899999999998</v>
      </c>
      <c r="U217" s="13">
        <v>82.45</v>
      </c>
      <c r="V217" s="13">
        <v>199.73</v>
      </c>
      <c r="W217" s="13">
        <v>26.06</v>
      </c>
      <c r="X217" s="13">
        <v>162.28</v>
      </c>
      <c r="Y217" s="13">
        <v>20.65</v>
      </c>
      <c r="Z217" s="13"/>
      <c r="AA217" s="13"/>
      <c r="AB217" s="13"/>
      <c r="AC217" s="14">
        <v>2177.8378378378379</v>
      </c>
      <c r="AD217" s="14">
        <v>111.72291296625222</v>
      </c>
      <c r="AE217" s="14">
        <v>2165.7788944723616</v>
      </c>
      <c r="AF217" s="14">
        <v>2275.6232686980611</v>
      </c>
      <c r="AG217" s="15">
        <v>5.1442343950466908E-2</v>
      </c>
      <c r="AH217" s="15">
        <v>5.1442542198451E-2</v>
      </c>
      <c r="AI217" s="15">
        <v>5.0554338996757063E-2</v>
      </c>
      <c r="AJ217" s="41">
        <f t="shared" si="6"/>
        <v>1878.43</v>
      </c>
      <c r="AK217" s="44">
        <f t="shared" si="7"/>
        <v>4.0449651338768412E-2</v>
      </c>
      <c r="AL217" s="10"/>
      <c r="AM217" s="10"/>
    </row>
    <row r="218" spans="1:39" s="16" customFormat="1" ht="19" customHeight="1">
      <c r="A218" s="23" t="s">
        <v>280</v>
      </c>
      <c r="B218" s="23" t="s">
        <v>230</v>
      </c>
      <c r="C218" s="23"/>
      <c r="D218" s="23"/>
      <c r="E218" s="24" t="s">
        <v>45</v>
      </c>
      <c r="F218" s="24" t="s">
        <v>249</v>
      </c>
      <c r="G218" s="12" t="s">
        <v>250</v>
      </c>
      <c r="H218" s="13">
        <v>14.39</v>
      </c>
      <c r="I218" s="13">
        <v>39.57</v>
      </c>
      <c r="J218" s="13">
        <v>242.21</v>
      </c>
      <c r="K218" s="13">
        <v>866.27</v>
      </c>
      <c r="L218" s="13">
        <v>154.05000000000001</v>
      </c>
      <c r="M218" s="13">
        <v>100.92</v>
      </c>
      <c r="N218" s="13">
        <v>765.29</v>
      </c>
      <c r="O218" s="13">
        <v>340.51</v>
      </c>
      <c r="P218" s="13">
        <v>7</v>
      </c>
      <c r="Q218" s="13">
        <v>463.37</v>
      </c>
      <c r="R218" s="13">
        <v>90.56</v>
      </c>
      <c r="S218" s="13">
        <v>547.88</v>
      </c>
      <c r="T218" s="13">
        <v>2671.32</v>
      </c>
      <c r="U218" s="13">
        <v>93.32</v>
      </c>
      <c r="V218" s="13">
        <v>226.3</v>
      </c>
      <c r="W218" s="13">
        <v>29.2</v>
      </c>
      <c r="X218" s="13">
        <v>184.39</v>
      </c>
      <c r="Y218" s="13">
        <v>22.25</v>
      </c>
      <c r="Z218" s="13"/>
      <c r="AA218" s="13"/>
      <c r="AB218" s="13"/>
      <c r="AC218" s="14">
        <v>2300.7432432432433</v>
      </c>
      <c r="AD218" s="14">
        <v>124.33392539964477</v>
      </c>
      <c r="AE218" s="14">
        <v>2328.4924623115576</v>
      </c>
      <c r="AF218" s="14">
        <v>2508.5872576177285</v>
      </c>
      <c r="AG218" s="15">
        <v>5.3716826408494012E-2</v>
      </c>
      <c r="AH218" s="15">
        <v>5.3717791514454015E-2</v>
      </c>
      <c r="AI218" s="15">
        <v>5.2505057448846246E-2</v>
      </c>
      <c r="AJ218" s="41">
        <f t="shared" si="6"/>
        <v>2027.82</v>
      </c>
      <c r="AK218" s="44">
        <f t="shared" si="7"/>
        <v>3.7779075513229413E-2</v>
      </c>
      <c r="AL218" s="10"/>
      <c r="AM218" s="10"/>
    </row>
    <row r="219" spans="1:39" s="16" customFormat="1" ht="19" customHeight="1">
      <c r="A219" s="23" t="s">
        <v>281</v>
      </c>
      <c r="B219" s="23" t="s">
        <v>230</v>
      </c>
      <c r="C219" s="23"/>
      <c r="D219" s="23"/>
      <c r="E219" s="24" t="s">
        <v>45</v>
      </c>
      <c r="F219" s="24" t="s">
        <v>249</v>
      </c>
      <c r="G219" s="12" t="s">
        <v>250</v>
      </c>
      <c r="H219" s="13">
        <v>14.54</v>
      </c>
      <c r="I219" s="13">
        <v>63.06</v>
      </c>
      <c r="J219" s="13">
        <v>276.16000000000003</v>
      </c>
      <c r="K219" s="13">
        <v>955.94</v>
      </c>
      <c r="L219" s="13">
        <v>168.62</v>
      </c>
      <c r="M219" s="13">
        <v>95.12</v>
      </c>
      <c r="N219" s="13">
        <v>857.1</v>
      </c>
      <c r="O219" s="13">
        <v>382.12</v>
      </c>
      <c r="P219" s="13">
        <v>6.52</v>
      </c>
      <c r="Q219" s="13">
        <v>527.22</v>
      </c>
      <c r="R219" s="13">
        <v>103.1</v>
      </c>
      <c r="S219" s="13">
        <v>624.1</v>
      </c>
      <c r="T219" s="13">
        <v>3086.73</v>
      </c>
      <c r="U219" s="13">
        <v>106.62</v>
      </c>
      <c r="V219" s="13">
        <v>263.19</v>
      </c>
      <c r="W219" s="13">
        <v>34.85</v>
      </c>
      <c r="X219" s="13">
        <v>214.45</v>
      </c>
      <c r="Y219" s="13">
        <v>25.95</v>
      </c>
      <c r="Z219" s="13"/>
      <c r="AA219" s="13"/>
      <c r="AB219" s="13"/>
      <c r="AC219" s="14">
        <v>2581.8918918918921</v>
      </c>
      <c r="AD219" s="14">
        <v>115.80817051509769</v>
      </c>
      <c r="AE219" s="14">
        <v>2649.3467336683416</v>
      </c>
      <c r="AF219" s="14">
        <v>2855.9556786703602</v>
      </c>
      <c r="AG219" s="15">
        <v>4.4275621436670874E-2</v>
      </c>
      <c r="AH219" s="15">
        <v>4.4279302777485069E-2</v>
      </c>
      <c r="AI219" s="15">
        <v>4.3370724562488056E-2</v>
      </c>
      <c r="AJ219" s="41">
        <f t="shared" si="6"/>
        <v>2257.8200000000002</v>
      </c>
      <c r="AK219" s="44">
        <f t="shared" si="7"/>
        <v>3.08157823975534E-2</v>
      </c>
      <c r="AL219" s="10"/>
      <c r="AM219" s="10"/>
    </row>
    <row r="220" spans="1:39" s="16" customFormat="1" ht="19" customHeight="1">
      <c r="A220" s="23" t="s">
        <v>282</v>
      </c>
      <c r="B220" s="23" t="s">
        <v>230</v>
      </c>
      <c r="C220" s="23"/>
      <c r="D220" s="23"/>
      <c r="E220" s="24" t="s">
        <v>45</v>
      </c>
      <c r="F220" s="24" t="s">
        <v>249</v>
      </c>
      <c r="G220" s="12" t="s">
        <v>250</v>
      </c>
      <c r="H220" s="13">
        <v>5.56</v>
      </c>
      <c r="I220" s="13">
        <v>66.7</v>
      </c>
      <c r="J220" s="13">
        <v>211.24</v>
      </c>
      <c r="K220" s="13">
        <v>806.83</v>
      </c>
      <c r="L220" s="13">
        <v>149.9</v>
      </c>
      <c r="M220" s="13">
        <v>98.25</v>
      </c>
      <c r="N220" s="13">
        <v>781.91</v>
      </c>
      <c r="O220" s="13">
        <v>337.29</v>
      </c>
      <c r="P220" s="13">
        <v>6.74</v>
      </c>
      <c r="Q220" s="13">
        <v>440.47</v>
      </c>
      <c r="R220" s="13">
        <v>86.46</v>
      </c>
      <c r="S220" s="13">
        <v>515.94000000000005</v>
      </c>
      <c r="T220" s="13">
        <v>2558.4699999999998</v>
      </c>
      <c r="U220" s="13">
        <v>85.64</v>
      </c>
      <c r="V220" s="13">
        <v>204.87</v>
      </c>
      <c r="W220" s="13">
        <v>27.21</v>
      </c>
      <c r="X220" s="13">
        <v>170.63</v>
      </c>
      <c r="Y220" s="13">
        <v>20.54</v>
      </c>
      <c r="Z220" s="13"/>
      <c r="AA220" s="13"/>
      <c r="AB220" s="13"/>
      <c r="AC220" s="14">
        <v>2278.9864864864867</v>
      </c>
      <c r="AD220" s="14">
        <v>119.7158081705151</v>
      </c>
      <c r="AE220" s="14">
        <v>2213.4170854271356</v>
      </c>
      <c r="AF220" s="14">
        <v>2395.0138504155125</v>
      </c>
      <c r="AG220" s="15">
        <v>5.3296996253397566E-2</v>
      </c>
      <c r="AH220" s="15">
        <v>5.3302674144241668E-2</v>
      </c>
      <c r="AI220" s="15">
        <v>5.166792164149446E-2</v>
      </c>
      <c r="AJ220" s="41">
        <f t="shared" si="6"/>
        <v>1949.88</v>
      </c>
      <c r="AK220" s="44">
        <f t="shared" si="7"/>
        <v>3.8401857360062852E-2</v>
      </c>
      <c r="AL220" s="10"/>
      <c r="AM220" s="10"/>
    </row>
    <row r="221" spans="1:39" s="16" customFormat="1" ht="19" customHeight="1">
      <c r="A221" s="23" t="s">
        <v>283</v>
      </c>
      <c r="B221" s="23" t="s">
        <v>230</v>
      </c>
      <c r="C221" s="23"/>
      <c r="D221" s="23"/>
      <c r="E221" s="24" t="s">
        <v>45</v>
      </c>
      <c r="F221" s="24" t="s">
        <v>249</v>
      </c>
      <c r="G221" s="12" t="s">
        <v>250</v>
      </c>
      <c r="H221" s="13">
        <v>33.630000000000003</v>
      </c>
      <c r="I221" s="13">
        <v>82.53</v>
      </c>
      <c r="J221" s="13">
        <v>277.39</v>
      </c>
      <c r="K221" s="13">
        <v>1055.43</v>
      </c>
      <c r="L221" s="13">
        <v>190.44</v>
      </c>
      <c r="M221" s="13">
        <v>65.459999999999994</v>
      </c>
      <c r="N221" s="13">
        <v>992.4</v>
      </c>
      <c r="O221" s="13">
        <v>425.99</v>
      </c>
      <c r="P221" s="13">
        <v>9.11</v>
      </c>
      <c r="Q221" s="13">
        <v>560.03</v>
      </c>
      <c r="R221" s="13">
        <v>112.44</v>
      </c>
      <c r="S221" s="13">
        <v>749.45</v>
      </c>
      <c r="T221" s="13">
        <v>3960.84</v>
      </c>
      <c r="U221" s="13">
        <v>143.88</v>
      </c>
      <c r="V221" s="13">
        <v>378.05</v>
      </c>
      <c r="W221" s="13">
        <v>51.13</v>
      </c>
      <c r="X221" s="13">
        <v>314.3</v>
      </c>
      <c r="Y221" s="13">
        <v>39.15</v>
      </c>
      <c r="Z221" s="13"/>
      <c r="AA221" s="13"/>
      <c r="AB221" s="13"/>
      <c r="AC221" s="14">
        <v>2878.3108108108108</v>
      </c>
      <c r="AD221" s="14">
        <v>161.81172291296625</v>
      </c>
      <c r="AE221" s="14">
        <v>2814.221105527638</v>
      </c>
      <c r="AF221" s="14">
        <v>3114.6814404432134</v>
      </c>
      <c r="AG221" s="15">
        <v>5.6850528127401989E-2</v>
      </c>
      <c r="AH221" s="15">
        <v>5.6854131518468548E-2</v>
      </c>
      <c r="AI221" s="15">
        <v>5.4757924446588099E-2</v>
      </c>
      <c r="AJ221" s="41">
        <f t="shared" si="6"/>
        <v>2515.6600000000003</v>
      </c>
      <c r="AK221" s="44">
        <f t="shared" si="7"/>
        <v>1.6526797346017509E-2</v>
      </c>
      <c r="AL221" s="10"/>
      <c r="AM221" s="10"/>
    </row>
    <row r="222" spans="1:39" s="16" customFormat="1" ht="19" customHeight="1">
      <c r="A222" s="23" t="s">
        <v>284</v>
      </c>
      <c r="B222" s="23" t="s">
        <v>230</v>
      </c>
      <c r="C222" s="23"/>
      <c r="D222" s="23"/>
      <c r="E222" s="24" t="s">
        <v>45</v>
      </c>
      <c r="F222" s="24" t="s">
        <v>249</v>
      </c>
      <c r="G222" s="12" t="s">
        <v>250</v>
      </c>
      <c r="H222" s="13">
        <v>54.14</v>
      </c>
      <c r="I222" s="13">
        <v>184.1</v>
      </c>
      <c r="J222" s="13">
        <v>315.83999999999997</v>
      </c>
      <c r="K222" s="13">
        <v>1256.1400000000001</v>
      </c>
      <c r="L222" s="13">
        <v>224.11</v>
      </c>
      <c r="M222" s="13">
        <v>82.82</v>
      </c>
      <c r="N222" s="13">
        <v>1182.58</v>
      </c>
      <c r="O222" s="13">
        <v>504</v>
      </c>
      <c r="P222" s="13">
        <v>15.29</v>
      </c>
      <c r="Q222" s="13">
        <v>664.69</v>
      </c>
      <c r="R222" s="13">
        <v>131.43</v>
      </c>
      <c r="S222" s="13">
        <v>876.89</v>
      </c>
      <c r="T222" s="13">
        <v>4716.8900000000003</v>
      </c>
      <c r="U222" s="13">
        <v>171.85</v>
      </c>
      <c r="V222" s="13">
        <v>454.68</v>
      </c>
      <c r="W222" s="13">
        <v>60.73</v>
      </c>
      <c r="X222" s="13">
        <v>369.23</v>
      </c>
      <c r="Y222" s="13">
        <v>46.05</v>
      </c>
      <c r="Z222" s="13"/>
      <c r="AA222" s="13"/>
      <c r="AB222" s="13"/>
      <c r="AC222" s="14">
        <v>3405.4054054054054</v>
      </c>
      <c r="AD222" s="14">
        <v>271.58081705150977</v>
      </c>
      <c r="AE222" s="14">
        <v>3340.1507537688444</v>
      </c>
      <c r="AF222" s="14">
        <v>3640.7202216066485</v>
      </c>
      <c r="AG222" s="15">
        <v>8.0521401243438775E-2</v>
      </c>
      <c r="AH222" s="15">
        <v>8.0525169142303815E-2</v>
      </c>
      <c r="AI222" s="15">
        <v>7.7993326083993272E-2</v>
      </c>
      <c r="AJ222" s="41">
        <f t="shared" si="6"/>
        <v>2978.67</v>
      </c>
      <c r="AK222" s="44">
        <f t="shared" si="7"/>
        <v>1.7558179224022606E-2</v>
      </c>
      <c r="AL222" s="10"/>
      <c r="AM222" s="10"/>
    </row>
    <row r="223" spans="1:39" s="16" customFormat="1" ht="19" customHeight="1">
      <c r="A223" s="23" t="s">
        <v>285</v>
      </c>
      <c r="B223" s="23" t="s">
        <v>230</v>
      </c>
      <c r="C223" s="23"/>
      <c r="D223" s="23"/>
      <c r="E223" s="24" t="s">
        <v>45</v>
      </c>
      <c r="F223" s="24" t="s">
        <v>249</v>
      </c>
      <c r="G223" s="12" t="s">
        <v>250</v>
      </c>
      <c r="H223" s="13">
        <v>10.08</v>
      </c>
      <c r="I223" s="13">
        <v>83.8</v>
      </c>
      <c r="J223" s="13">
        <v>201.59</v>
      </c>
      <c r="K223" s="13">
        <v>774.54</v>
      </c>
      <c r="L223" s="13">
        <v>130.91</v>
      </c>
      <c r="M223" s="13">
        <v>69.150000000000006</v>
      </c>
      <c r="N223" s="13">
        <v>676.23</v>
      </c>
      <c r="O223" s="13">
        <v>281.73</v>
      </c>
      <c r="P223" s="13">
        <v>9.84</v>
      </c>
      <c r="Q223" s="13">
        <v>363.4</v>
      </c>
      <c r="R223" s="13">
        <v>70.87</v>
      </c>
      <c r="S223" s="13">
        <v>468.46</v>
      </c>
      <c r="T223" s="13">
        <v>2481.6</v>
      </c>
      <c r="U223" s="13">
        <v>91.37</v>
      </c>
      <c r="V223" s="13">
        <v>234.06</v>
      </c>
      <c r="W223" s="13">
        <v>30.5</v>
      </c>
      <c r="X223" s="13">
        <v>189.86</v>
      </c>
      <c r="Y223" s="13">
        <v>22.77</v>
      </c>
      <c r="Z223" s="13"/>
      <c r="AA223" s="13"/>
      <c r="AB223" s="13"/>
      <c r="AC223" s="14">
        <v>1903.5810810810813</v>
      </c>
      <c r="AD223" s="14">
        <v>174.77797513321494</v>
      </c>
      <c r="AE223" s="14">
        <v>1826.1306532663314</v>
      </c>
      <c r="AF223" s="14">
        <v>1963.1578947368423</v>
      </c>
      <c r="AG223" s="15">
        <v>9.3721975091887802E-2</v>
      </c>
      <c r="AH223" s="15">
        <v>9.3742188941458179E-2</v>
      </c>
      <c r="AI223" s="15">
        <v>9.0877012251805694E-2</v>
      </c>
      <c r="AJ223" s="41">
        <f t="shared" si="6"/>
        <v>1783.27</v>
      </c>
      <c r="AK223" s="44">
        <f t="shared" si="7"/>
        <v>2.786508704061896E-2</v>
      </c>
      <c r="AL223" s="10"/>
      <c r="AM223" s="10"/>
    </row>
    <row r="224" spans="1:39" s="16" customFormat="1" ht="19" customHeight="1">
      <c r="A224" s="23" t="s">
        <v>286</v>
      </c>
      <c r="B224" s="23" t="s">
        <v>230</v>
      </c>
      <c r="C224" s="23"/>
      <c r="D224" s="23"/>
      <c r="E224" s="24" t="s">
        <v>45</v>
      </c>
      <c r="F224" s="24" t="s">
        <v>249</v>
      </c>
      <c r="G224" s="12" t="s">
        <v>250</v>
      </c>
      <c r="H224" s="13">
        <v>2.36</v>
      </c>
      <c r="I224" s="13">
        <v>46.33</v>
      </c>
      <c r="J224" s="13">
        <v>213.6</v>
      </c>
      <c r="K224" s="13">
        <v>744.74</v>
      </c>
      <c r="L224" s="13">
        <v>127.1</v>
      </c>
      <c r="M224" s="13">
        <v>62.27</v>
      </c>
      <c r="N224" s="13">
        <v>600.1</v>
      </c>
      <c r="O224" s="13">
        <v>247.05</v>
      </c>
      <c r="P224" s="13">
        <v>7.37</v>
      </c>
      <c r="Q224" s="13">
        <v>315.8</v>
      </c>
      <c r="R224" s="13">
        <v>62.28</v>
      </c>
      <c r="S224" s="13">
        <v>409.61</v>
      </c>
      <c r="T224" s="13">
        <v>2239.27</v>
      </c>
      <c r="U224" s="13">
        <v>78.8</v>
      </c>
      <c r="V224" s="13">
        <v>210.37</v>
      </c>
      <c r="W224" s="13">
        <v>28.93</v>
      </c>
      <c r="X224" s="13">
        <v>176.06</v>
      </c>
      <c r="Y224" s="13">
        <v>22.09</v>
      </c>
      <c r="Z224" s="13"/>
      <c r="AA224" s="13"/>
      <c r="AB224" s="13"/>
      <c r="AC224" s="14">
        <v>1669.2567567567569</v>
      </c>
      <c r="AD224" s="14">
        <v>130.90586145648314</v>
      </c>
      <c r="AE224" s="14">
        <v>1586.9346733668342</v>
      </c>
      <c r="AF224" s="14">
        <v>1725.207756232687</v>
      </c>
      <c r="AG224" s="15">
        <v>8.040427859704459E-2</v>
      </c>
      <c r="AH224" s="15">
        <v>8.0429986713722215E-2</v>
      </c>
      <c r="AI224" s="15">
        <v>7.7564535751889999E-2</v>
      </c>
      <c r="AJ224" s="41">
        <f t="shared" si="6"/>
        <v>1685.54</v>
      </c>
      <c r="AK224" s="44">
        <f t="shared" si="7"/>
        <v>2.7808169626708706E-2</v>
      </c>
      <c r="AL224" s="10"/>
      <c r="AM224" s="10"/>
    </row>
    <row r="225" spans="1:39" s="16" customFormat="1" ht="19" customHeight="1">
      <c r="A225" s="23" t="s">
        <v>287</v>
      </c>
      <c r="B225" s="23" t="s">
        <v>230</v>
      </c>
      <c r="C225" s="23"/>
      <c r="D225" s="23"/>
      <c r="E225" s="24" t="s">
        <v>45</v>
      </c>
      <c r="F225" s="24" t="s">
        <v>249</v>
      </c>
      <c r="G225" s="12" t="s">
        <v>250</v>
      </c>
      <c r="H225" s="13">
        <v>57.85</v>
      </c>
      <c r="I225" s="13">
        <v>81.27</v>
      </c>
      <c r="J225" s="13">
        <v>345.36</v>
      </c>
      <c r="K225" s="13">
        <v>1581.47</v>
      </c>
      <c r="L225" s="13">
        <v>214.48</v>
      </c>
      <c r="M225" s="13">
        <v>79.89</v>
      </c>
      <c r="N225" s="13">
        <v>1159.53</v>
      </c>
      <c r="O225" s="13">
        <v>493.81</v>
      </c>
      <c r="P225" s="13">
        <v>11.71</v>
      </c>
      <c r="Q225" s="13">
        <v>609.05999999999995</v>
      </c>
      <c r="R225" s="13">
        <v>125.07</v>
      </c>
      <c r="S225" s="13">
        <v>935.22</v>
      </c>
      <c r="T225" s="13">
        <v>4561.04</v>
      </c>
      <c r="U225" s="13">
        <v>160.76</v>
      </c>
      <c r="V225" s="13">
        <v>451.25</v>
      </c>
      <c r="W225" s="13">
        <v>54.76</v>
      </c>
      <c r="X225" s="13">
        <v>352.73</v>
      </c>
      <c r="Y225" s="13">
        <v>39.479999999999997</v>
      </c>
      <c r="Z225" s="13"/>
      <c r="AA225" s="13"/>
      <c r="AB225" s="13"/>
      <c r="AC225" s="14">
        <v>3336.5540540540542</v>
      </c>
      <c r="AD225" s="14">
        <v>207.99289520426291</v>
      </c>
      <c r="AE225" s="14">
        <v>3060.6030150753763</v>
      </c>
      <c r="AF225" s="14">
        <v>3464.5429362880886</v>
      </c>
      <c r="AG225" s="15">
        <v>6.5026665112841442E-2</v>
      </c>
      <c r="AH225" s="15">
        <v>6.5087249138892828E-2</v>
      </c>
      <c r="AI225" s="15">
        <v>6.1560349180195512E-2</v>
      </c>
      <c r="AJ225" s="41">
        <f t="shared" si="6"/>
        <v>3300.84</v>
      </c>
      <c r="AK225" s="44">
        <f t="shared" si="7"/>
        <v>1.7515742023748969E-2</v>
      </c>
      <c r="AL225" s="10"/>
      <c r="AM225" s="10"/>
    </row>
    <row r="226" spans="1:39" s="16" customFormat="1" ht="19" customHeight="1">
      <c r="A226" s="23" t="s">
        <v>288</v>
      </c>
      <c r="B226" s="23" t="s">
        <v>230</v>
      </c>
      <c r="C226" s="23"/>
      <c r="D226" s="23"/>
      <c r="E226" s="24" t="s">
        <v>45</v>
      </c>
      <c r="F226" s="24" t="s">
        <v>249</v>
      </c>
      <c r="G226" s="12" t="s">
        <v>250</v>
      </c>
      <c r="H226" s="13">
        <v>68.58</v>
      </c>
      <c r="I226" s="13">
        <v>150.26</v>
      </c>
      <c r="J226" s="13">
        <v>304.23</v>
      </c>
      <c r="K226" s="13">
        <v>1205.58</v>
      </c>
      <c r="L226" s="13">
        <v>216.81</v>
      </c>
      <c r="M226" s="13">
        <v>75.28</v>
      </c>
      <c r="N226" s="13">
        <v>1102.81</v>
      </c>
      <c r="O226" s="13">
        <v>480.6</v>
      </c>
      <c r="P226" s="13">
        <v>13.4</v>
      </c>
      <c r="Q226" s="13">
        <v>636.42999999999995</v>
      </c>
      <c r="R226" s="13">
        <v>129.88999999999999</v>
      </c>
      <c r="S226" s="13">
        <v>850.7</v>
      </c>
      <c r="T226" s="13">
        <v>4400.21</v>
      </c>
      <c r="U226" s="13">
        <v>163.77000000000001</v>
      </c>
      <c r="V226" s="13">
        <v>435.2</v>
      </c>
      <c r="W226" s="13">
        <v>59.63</v>
      </c>
      <c r="X226" s="13">
        <v>366.05</v>
      </c>
      <c r="Y226" s="13">
        <v>45.24</v>
      </c>
      <c r="Z226" s="13"/>
      <c r="AA226" s="13"/>
      <c r="AB226" s="13"/>
      <c r="AC226" s="14">
        <v>3247.2972972972975</v>
      </c>
      <c r="AD226" s="14">
        <v>238.01065719360571</v>
      </c>
      <c r="AE226" s="14">
        <v>3198.1407035175876</v>
      </c>
      <c r="AF226" s="14">
        <v>3598.0609418282543</v>
      </c>
      <c r="AG226" s="15">
        <v>7.3853990113166693E-2</v>
      </c>
      <c r="AH226" s="15">
        <v>7.3856138050501563E-2</v>
      </c>
      <c r="AI226" s="15">
        <v>7.0831352000893077E-2</v>
      </c>
      <c r="AJ226" s="41">
        <f t="shared" si="6"/>
        <v>2829.43</v>
      </c>
      <c r="AK226" s="44">
        <f t="shared" si="7"/>
        <v>1.7108274377813787E-2</v>
      </c>
      <c r="AL226" s="10"/>
      <c r="AM226" s="10"/>
    </row>
    <row r="227" spans="1:39" s="16" customFormat="1" ht="19" customHeight="1">
      <c r="A227" s="23" t="s">
        <v>289</v>
      </c>
      <c r="B227" s="23" t="s">
        <v>230</v>
      </c>
      <c r="C227" s="23"/>
      <c r="D227" s="23"/>
      <c r="E227" s="24" t="s">
        <v>45</v>
      </c>
      <c r="F227" s="24" t="s">
        <v>249</v>
      </c>
      <c r="G227" s="12" t="s">
        <v>250</v>
      </c>
      <c r="H227" s="13">
        <v>5.98</v>
      </c>
      <c r="I227" s="13">
        <v>68.66</v>
      </c>
      <c r="J227" s="13">
        <v>98.13</v>
      </c>
      <c r="K227" s="13">
        <v>435.18</v>
      </c>
      <c r="L227" s="13">
        <v>79.569999999999993</v>
      </c>
      <c r="M227" s="13">
        <v>83.98</v>
      </c>
      <c r="N227" s="13">
        <v>457.91</v>
      </c>
      <c r="O227" s="13">
        <v>195.42</v>
      </c>
      <c r="P227" s="13">
        <v>8.8699999999999992</v>
      </c>
      <c r="Q227" s="13">
        <v>273.82</v>
      </c>
      <c r="R227" s="13">
        <v>56.55</v>
      </c>
      <c r="S227" s="13">
        <v>372.03</v>
      </c>
      <c r="T227" s="13">
        <v>2229.3000000000002</v>
      </c>
      <c r="U227" s="13">
        <v>79.02</v>
      </c>
      <c r="V227" s="13">
        <v>218.68</v>
      </c>
      <c r="W227" s="13">
        <v>29.85</v>
      </c>
      <c r="X227" s="13">
        <v>174.63</v>
      </c>
      <c r="Y227" s="13">
        <v>22.56</v>
      </c>
      <c r="Z227" s="13"/>
      <c r="AA227" s="13"/>
      <c r="AB227" s="13"/>
      <c r="AC227" s="14">
        <v>1320.4054054054054</v>
      </c>
      <c r="AD227" s="14">
        <v>157.54884547069273</v>
      </c>
      <c r="AE227" s="14">
        <v>1375.9798994974874</v>
      </c>
      <c r="AF227" s="14">
        <v>1566.4819944598337</v>
      </c>
      <c r="AG227" s="15">
        <v>0.11685929691444202</v>
      </c>
      <c r="AH227" s="15">
        <v>0.11688412588994443</v>
      </c>
      <c r="AI227" s="15">
        <v>0.11271158588433752</v>
      </c>
      <c r="AJ227" s="41">
        <f t="shared" si="6"/>
        <v>1070.79</v>
      </c>
      <c r="AK227" s="44">
        <f t="shared" si="7"/>
        <v>3.7671017808280624E-2</v>
      </c>
      <c r="AL227" s="10"/>
      <c r="AM227" s="10"/>
    </row>
    <row r="228" spans="1:39" s="16" customFormat="1" ht="19" customHeight="1">
      <c r="A228" s="23" t="s">
        <v>290</v>
      </c>
      <c r="B228" s="23" t="s">
        <v>230</v>
      </c>
      <c r="C228" s="23"/>
      <c r="D228" s="23"/>
      <c r="E228" s="24" t="s">
        <v>45</v>
      </c>
      <c r="F228" s="24" t="s">
        <v>249</v>
      </c>
      <c r="G228" s="12" t="s">
        <v>250</v>
      </c>
      <c r="H228" s="13">
        <v>14.37</v>
      </c>
      <c r="I228" s="13">
        <v>84.55</v>
      </c>
      <c r="J228" s="13">
        <v>465.44</v>
      </c>
      <c r="K228" s="13">
        <v>1484.77</v>
      </c>
      <c r="L228" s="13">
        <v>247.33</v>
      </c>
      <c r="M228" s="13">
        <v>37.17</v>
      </c>
      <c r="N228" s="13">
        <v>1223.53</v>
      </c>
      <c r="O228" s="13">
        <v>521.16</v>
      </c>
      <c r="P228" s="13">
        <v>3.16</v>
      </c>
      <c r="Q228" s="13">
        <v>675.38</v>
      </c>
      <c r="R228" s="13">
        <v>137.31</v>
      </c>
      <c r="S228" s="13">
        <v>855.52</v>
      </c>
      <c r="T228" s="13">
        <v>4432.7700000000004</v>
      </c>
      <c r="U228" s="13">
        <v>157.86000000000001</v>
      </c>
      <c r="V228" s="13">
        <v>409.47</v>
      </c>
      <c r="W228" s="13">
        <v>60.09</v>
      </c>
      <c r="X228" s="13">
        <v>406.14</v>
      </c>
      <c r="Y228" s="13">
        <v>50.68</v>
      </c>
      <c r="Z228" s="13"/>
      <c r="AA228" s="13"/>
      <c r="AB228" s="13"/>
      <c r="AC228" s="14">
        <v>3521.3513513513512</v>
      </c>
      <c r="AD228" s="14">
        <v>56.127886323268214</v>
      </c>
      <c r="AE228" s="14">
        <v>3393.869346733668</v>
      </c>
      <c r="AF228" s="14">
        <v>3803.601108033241</v>
      </c>
      <c r="AG228" s="15">
        <v>1.6233143893386166E-2</v>
      </c>
      <c r="AH228" s="15">
        <v>1.6235903003502517E-2</v>
      </c>
      <c r="AI228" s="15">
        <v>1.5534864147498235E-2</v>
      </c>
      <c r="AJ228" s="41">
        <f t="shared" si="6"/>
        <v>3421.0699999999997</v>
      </c>
      <c r="AK228" s="44">
        <f t="shared" si="7"/>
        <v>8.3852760237955043E-3</v>
      </c>
      <c r="AL228" s="10"/>
      <c r="AM228" s="10"/>
    </row>
    <row r="229" spans="1:39" s="16" customFormat="1" ht="19" customHeight="1">
      <c r="A229" s="23" t="s">
        <v>291</v>
      </c>
      <c r="B229" s="23" t="s">
        <v>230</v>
      </c>
      <c r="C229" s="23"/>
      <c r="D229" s="23"/>
      <c r="E229" s="24" t="s">
        <v>45</v>
      </c>
      <c r="F229" s="24" t="s">
        <v>249</v>
      </c>
      <c r="G229" s="12" t="s">
        <v>250</v>
      </c>
      <c r="H229" s="13">
        <v>10.94</v>
      </c>
      <c r="I229" s="13">
        <v>29.91</v>
      </c>
      <c r="J229" s="13">
        <v>462.75</v>
      </c>
      <c r="K229" s="13">
        <v>1492.29</v>
      </c>
      <c r="L229" s="13">
        <v>248.17</v>
      </c>
      <c r="M229" s="13">
        <v>36.049999999999997</v>
      </c>
      <c r="N229" s="13">
        <v>1229.49</v>
      </c>
      <c r="O229" s="13">
        <v>516.83000000000004</v>
      </c>
      <c r="P229" s="13">
        <v>2.81</v>
      </c>
      <c r="Q229" s="13">
        <v>682</v>
      </c>
      <c r="R229" s="13">
        <v>137.71</v>
      </c>
      <c r="S229" s="13">
        <v>880.83</v>
      </c>
      <c r="T229" s="13">
        <v>4479.96</v>
      </c>
      <c r="U229" s="13">
        <v>159.24</v>
      </c>
      <c r="V229" s="13">
        <v>408.68</v>
      </c>
      <c r="W229" s="13">
        <v>60.15</v>
      </c>
      <c r="X229" s="13">
        <v>409.93</v>
      </c>
      <c r="Y229" s="13">
        <v>53</v>
      </c>
      <c r="Z229" s="13"/>
      <c r="AA229" s="13"/>
      <c r="AB229" s="13"/>
      <c r="AC229" s="14">
        <v>3492.094594594595</v>
      </c>
      <c r="AD229" s="14">
        <v>49.911190053285971</v>
      </c>
      <c r="AE229" s="14">
        <v>3427.1356783919596</v>
      </c>
      <c r="AF229" s="14">
        <v>3814.6814404432134</v>
      </c>
      <c r="AG229" s="15">
        <v>1.4426804162926854E-2</v>
      </c>
      <c r="AH229" s="15">
        <v>1.4427439978004603E-2</v>
      </c>
      <c r="AI229" s="15">
        <v>1.387781733924523E-2</v>
      </c>
      <c r="AJ229" s="41">
        <f t="shared" si="6"/>
        <v>3432.7</v>
      </c>
      <c r="AK229" s="44">
        <f t="shared" si="7"/>
        <v>8.046946847739711E-3</v>
      </c>
      <c r="AL229" s="10"/>
      <c r="AM229" s="10"/>
    </row>
    <row r="230" spans="1:39" s="16" customFormat="1" ht="19" customHeight="1">
      <c r="A230" s="23" t="s">
        <v>292</v>
      </c>
      <c r="B230" s="23" t="s">
        <v>230</v>
      </c>
      <c r="C230" s="23"/>
      <c r="D230" s="23"/>
      <c r="E230" s="24" t="s">
        <v>45</v>
      </c>
      <c r="F230" s="24" t="s">
        <v>249</v>
      </c>
      <c r="G230" s="12" t="s">
        <v>250</v>
      </c>
      <c r="H230" s="13">
        <v>6.33</v>
      </c>
      <c r="I230" s="13">
        <v>39.24</v>
      </c>
      <c r="J230" s="13">
        <v>424.91</v>
      </c>
      <c r="K230" s="13">
        <v>1379.79</v>
      </c>
      <c r="L230" s="13">
        <v>229.57</v>
      </c>
      <c r="M230" s="13">
        <v>41.08</v>
      </c>
      <c r="N230" s="13">
        <v>1147.27</v>
      </c>
      <c r="O230" s="13">
        <v>466.22</v>
      </c>
      <c r="P230" s="13">
        <v>2.82</v>
      </c>
      <c r="Q230" s="13">
        <v>596.11</v>
      </c>
      <c r="R230" s="13">
        <v>116.85</v>
      </c>
      <c r="S230" s="13">
        <v>738.86</v>
      </c>
      <c r="T230" s="13">
        <v>3864.51</v>
      </c>
      <c r="U230" s="13">
        <v>135.91</v>
      </c>
      <c r="V230" s="13">
        <v>344.42</v>
      </c>
      <c r="W230" s="13">
        <v>51.57</v>
      </c>
      <c r="X230" s="13">
        <v>354.1</v>
      </c>
      <c r="Y230" s="13">
        <v>46.94</v>
      </c>
      <c r="Z230" s="13"/>
      <c r="AA230" s="13"/>
      <c r="AB230" s="13"/>
      <c r="AC230" s="14">
        <v>3150.1351351351354</v>
      </c>
      <c r="AD230" s="14">
        <v>50.088809946714029</v>
      </c>
      <c r="AE230" s="14">
        <v>2995.5276381909548</v>
      </c>
      <c r="AF230" s="14">
        <v>3236.8421052631579</v>
      </c>
      <c r="AG230" s="15">
        <v>1.6300539679500018E-2</v>
      </c>
      <c r="AH230" s="15">
        <v>1.6305700298978747E-2</v>
      </c>
      <c r="AI230" s="15">
        <v>1.5757261863938048E-2</v>
      </c>
      <c r="AJ230" s="41">
        <f t="shared" si="6"/>
        <v>3181.54</v>
      </c>
      <c r="AK230" s="44">
        <f t="shared" si="7"/>
        <v>1.0630066942510175E-2</v>
      </c>
      <c r="AL230" s="10"/>
      <c r="AM230" s="10"/>
    </row>
    <row r="231" spans="1:39" s="16" customFormat="1" ht="19" customHeight="1">
      <c r="A231" s="23" t="s">
        <v>293</v>
      </c>
      <c r="B231" s="23" t="s">
        <v>230</v>
      </c>
      <c r="C231" s="23"/>
      <c r="D231" s="23"/>
      <c r="E231" s="24" t="s">
        <v>45</v>
      </c>
      <c r="F231" s="24" t="s">
        <v>249</v>
      </c>
      <c r="G231" s="12" t="s">
        <v>250</v>
      </c>
      <c r="H231" s="13">
        <v>37.4</v>
      </c>
      <c r="I231" s="13">
        <v>106.58</v>
      </c>
      <c r="J231" s="13">
        <v>581.54999999999995</v>
      </c>
      <c r="K231" s="13">
        <v>1909.46</v>
      </c>
      <c r="L231" s="13">
        <v>324.10000000000002</v>
      </c>
      <c r="M231" s="13">
        <v>38.99</v>
      </c>
      <c r="N231" s="13">
        <v>1588.81</v>
      </c>
      <c r="O231" s="13">
        <v>697.76</v>
      </c>
      <c r="P231" s="13">
        <v>4.25</v>
      </c>
      <c r="Q231" s="13">
        <v>897.64</v>
      </c>
      <c r="R231" s="13">
        <v>183.91</v>
      </c>
      <c r="S231" s="13">
        <v>1164.3800000000001</v>
      </c>
      <c r="T231" s="13">
        <v>5816.63</v>
      </c>
      <c r="U231" s="13">
        <v>209.44</v>
      </c>
      <c r="V231" s="13">
        <v>542.16999999999996</v>
      </c>
      <c r="W231" s="13">
        <v>80.88</v>
      </c>
      <c r="X231" s="13">
        <v>542.9</v>
      </c>
      <c r="Y231" s="13">
        <v>69.08</v>
      </c>
      <c r="Z231" s="13"/>
      <c r="AA231" s="13"/>
      <c r="AB231" s="13"/>
      <c r="AC231" s="14">
        <v>4714.594594594595</v>
      </c>
      <c r="AD231" s="14">
        <v>75.488454706927186</v>
      </c>
      <c r="AE231" s="14">
        <v>4510.7537688442208</v>
      </c>
      <c r="AF231" s="14">
        <v>5094.4598337950138</v>
      </c>
      <c r="AG231" s="15">
        <v>1.6365442633277064E-2</v>
      </c>
      <c r="AH231" s="15">
        <v>1.6369439076158829E-2</v>
      </c>
      <c r="AI231" s="15">
        <v>1.5603364436525682E-2</v>
      </c>
      <c r="AJ231" s="41">
        <f t="shared" si="6"/>
        <v>4403.92</v>
      </c>
      <c r="AK231" s="44">
        <f t="shared" si="7"/>
        <v>6.7031941175560422E-3</v>
      </c>
      <c r="AL231" s="10"/>
      <c r="AM231" s="10"/>
    </row>
    <row r="232" spans="1:39" s="16" customFormat="1" ht="19" customHeight="1">
      <c r="A232" s="23" t="s">
        <v>294</v>
      </c>
      <c r="B232" s="23" t="s">
        <v>230</v>
      </c>
      <c r="C232" s="23"/>
      <c r="D232" s="23"/>
      <c r="E232" s="24" t="s">
        <v>45</v>
      </c>
      <c r="F232" s="24" t="s">
        <v>249</v>
      </c>
      <c r="G232" s="12" t="s">
        <v>250</v>
      </c>
      <c r="H232" s="13">
        <v>12.78</v>
      </c>
      <c r="I232" s="13">
        <v>81.52</v>
      </c>
      <c r="J232" s="13">
        <v>429.7</v>
      </c>
      <c r="K232" s="13">
        <v>1386.39</v>
      </c>
      <c r="L232" s="13">
        <v>232.57</v>
      </c>
      <c r="M232" s="13">
        <v>39.909999999999997</v>
      </c>
      <c r="N232" s="13">
        <v>1144.99</v>
      </c>
      <c r="O232" s="13">
        <v>475.68</v>
      </c>
      <c r="P232" s="13">
        <v>3.29</v>
      </c>
      <c r="Q232" s="13">
        <v>618.59</v>
      </c>
      <c r="R232" s="13">
        <v>126.7</v>
      </c>
      <c r="S232" s="13">
        <v>821.59</v>
      </c>
      <c r="T232" s="13">
        <v>4179.72</v>
      </c>
      <c r="U232" s="13">
        <v>148.38</v>
      </c>
      <c r="V232" s="13">
        <v>387.5</v>
      </c>
      <c r="W232" s="13">
        <v>55.59</v>
      </c>
      <c r="X232" s="13">
        <v>383.47</v>
      </c>
      <c r="Y232" s="13">
        <v>50.44</v>
      </c>
      <c r="Z232" s="13"/>
      <c r="AA232" s="13"/>
      <c r="AB232" s="13"/>
      <c r="AC232" s="14">
        <v>3214.0540540540542</v>
      </c>
      <c r="AD232" s="14">
        <v>58.43694493783304</v>
      </c>
      <c r="AE232" s="14">
        <v>3108.4924623115576</v>
      </c>
      <c r="AF232" s="14">
        <v>3509.6952908587259</v>
      </c>
      <c r="AG232" s="15">
        <v>1.8485255833728318E-2</v>
      </c>
      <c r="AH232" s="15">
        <v>1.8487832831677219E-2</v>
      </c>
      <c r="AI232" s="15">
        <v>1.7656132587934383E-2</v>
      </c>
      <c r="AJ232" s="41">
        <f t="shared" si="6"/>
        <v>3193.6500000000005</v>
      </c>
      <c r="AK232" s="44">
        <f t="shared" si="7"/>
        <v>9.5484865014881359E-3</v>
      </c>
      <c r="AL232" s="10"/>
      <c r="AM232" s="10"/>
    </row>
    <row r="233" spans="1:39" s="16" customFormat="1" ht="19" customHeight="1">
      <c r="A233" s="23" t="s">
        <v>295</v>
      </c>
      <c r="B233" s="23" t="s">
        <v>230</v>
      </c>
      <c r="C233" s="23"/>
      <c r="D233" s="23"/>
      <c r="E233" s="24" t="s">
        <v>45</v>
      </c>
      <c r="F233" s="24" t="s">
        <v>249</v>
      </c>
      <c r="G233" s="12" t="s">
        <v>250</v>
      </c>
      <c r="H233" s="13">
        <v>18.04</v>
      </c>
      <c r="I233" s="13">
        <v>66.47</v>
      </c>
      <c r="J233" s="13">
        <v>494.84</v>
      </c>
      <c r="K233" s="13">
        <v>1595.71</v>
      </c>
      <c r="L233" s="13">
        <v>269.61</v>
      </c>
      <c r="M233" s="13">
        <v>47.71</v>
      </c>
      <c r="N233" s="13">
        <v>1329.31</v>
      </c>
      <c r="O233" s="13">
        <v>568.94000000000005</v>
      </c>
      <c r="P233" s="13">
        <v>3.28</v>
      </c>
      <c r="Q233" s="13">
        <v>730.15</v>
      </c>
      <c r="R233" s="13">
        <v>144.38999999999999</v>
      </c>
      <c r="S233" s="13">
        <v>939.69</v>
      </c>
      <c r="T233" s="13">
        <v>4725.3500000000004</v>
      </c>
      <c r="U233" s="13">
        <v>169.39</v>
      </c>
      <c r="V233" s="13">
        <v>430.65</v>
      </c>
      <c r="W233" s="13">
        <v>62.45</v>
      </c>
      <c r="X233" s="13">
        <v>415.49</v>
      </c>
      <c r="Y233" s="13">
        <v>52.46</v>
      </c>
      <c r="Z233" s="13"/>
      <c r="AA233" s="13"/>
      <c r="AB233" s="13"/>
      <c r="AC233" s="14">
        <v>3844.1891891891896</v>
      </c>
      <c r="AD233" s="14">
        <v>58.259325044404974</v>
      </c>
      <c r="AE233" s="14">
        <v>3669.0954773869344</v>
      </c>
      <c r="AF233" s="14">
        <v>3999.7229916897504</v>
      </c>
      <c r="AG233" s="15">
        <v>1.5508350243557139E-2</v>
      </c>
      <c r="AH233" s="15">
        <v>1.5512563267814812E-2</v>
      </c>
      <c r="AI233" s="15">
        <v>1.4956121193415838E-2</v>
      </c>
      <c r="AJ233" s="41">
        <f t="shared" si="6"/>
        <v>3689.4700000000003</v>
      </c>
      <c r="AK233" s="44">
        <f t="shared" si="7"/>
        <v>1.0096606600569269E-2</v>
      </c>
      <c r="AL233" s="10"/>
      <c r="AM233" s="10"/>
    </row>
    <row r="234" spans="1:39" s="16" customFormat="1" ht="19" customHeight="1">
      <c r="A234" s="23" t="s">
        <v>296</v>
      </c>
      <c r="B234" s="23" t="s">
        <v>230</v>
      </c>
      <c r="C234" s="23"/>
      <c r="D234" s="23"/>
      <c r="E234" s="24" t="s">
        <v>45</v>
      </c>
      <c r="F234" s="24" t="s">
        <v>249</v>
      </c>
      <c r="G234" s="12" t="s">
        <v>250</v>
      </c>
      <c r="H234" s="13">
        <v>27.15</v>
      </c>
      <c r="I234" s="13">
        <v>49.07</v>
      </c>
      <c r="J234" s="13">
        <v>683.55</v>
      </c>
      <c r="K234" s="13">
        <v>2117.2199999999998</v>
      </c>
      <c r="L234" s="13">
        <v>353.75</v>
      </c>
      <c r="M234" s="13">
        <v>129.05000000000001</v>
      </c>
      <c r="N234" s="13">
        <v>1845.21</v>
      </c>
      <c r="O234" s="13">
        <v>660.94</v>
      </c>
      <c r="P234" s="13">
        <v>9.99</v>
      </c>
      <c r="Q234" s="13">
        <v>816.79</v>
      </c>
      <c r="R234" s="13">
        <v>139.56</v>
      </c>
      <c r="S234" s="13">
        <v>871</v>
      </c>
      <c r="T234" s="13">
        <v>4483.04</v>
      </c>
      <c r="U234" s="13">
        <v>161.55000000000001</v>
      </c>
      <c r="V234" s="13">
        <v>391.16</v>
      </c>
      <c r="W234" s="13">
        <v>45.16</v>
      </c>
      <c r="X234" s="13">
        <v>235.92</v>
      </c>
      <c r="Y234" s="13">
        <v>27.73</v>
      </c>
      <c r="Z234" s="13"/>
      <c r="AA234" s="13"/>
      <c r="AB234" s="13"/>
      <c r="AC234" s="14">
        <v>4465.8108108108117</v>
      </c>
      <c r="AD234" s="14">
        <v>177.44227353463589</v>
      </c>
      <c r="AE234" s="14">
        <v>4104.4723618090447</v>
      </c>
      <c r="AF234" s="14">
        <v>3865.9279778393352</v>
      </c>
      <c r="AG234" s="15">
        <v>4.1408730600996799E-2</v>
      </c>
      <c r="AH234" s="15">
        <v>4.1445584157832824E-2</v>
      </c>
      <c r="AI234" s="15">
        <v>4.1690678225679241E-2</v>
      </c>
      <c r="AJ234" s="41">
        <f t="shared" si="6"/>
        <v>4999.7299999999996</v>
      </c>
      <c r="AK234" s="44">
        <f t="shared" si="7"/>
        <v>2.8786270031050363E-2</v>
      </c>
      <c r="AL234" s="10"/>
      <c r="AM234" s="10"/>
    </row>
    <row r="235" spans="1:39" s="16" customFormat="1" ht="19" customHeight="1">
      <c r="A235" s="23" t="s">
        <v>297</v>
      </c>
      <c r="B235" s="23" t="s">
        <v>230</v>
      </c>
      <c r="C235" s="23"/>
      <c r="D235" s="23"/>
      <c r="E235" s="24" t="s">
        <v>45</v>
      </c>
      <c r="F235" s="24" t="s">
        <v>249</v>
      </c>
      <c r="G235" s="12" t="s">
        <v>250</v>
      </c>
      <c r="H235" s="13">
        <v>16.420000000000002</v>
      </c>
      <c r="I235" s="13">
        <v>38.799999999999997</v>
      </c>
      <c r="J235" s="13">
        <v>359.68</v>
      </c>
      <c r="K235" s="13">
        <v>1262.8900000000001</v>
      </c>
      <c r="L235" s="13">
        <v>211.01</v>
      </c>
      <c r="M235" s="13">
        <v>49.61</v>
      </c>
      <c r="N235" s="13">
        <v>1014.88</v>
      </c>
      <c r="O235" s="13">
        <v>451.51</v>
      </c>
      <c r="P235" s="13">
        <v>3.65</v>
      </c>
      <c r="Q235" s="13">
        <v>578.61</v>
      </c>
      <c r="R235" s="13">
        <v>118.73</v>
      </c>
      <c r="S235" s="13">
        <v>772.78</v>
      </c>
      <c r="T235" s="13">
        <v>3789.83</v>
      </c>
      <c r="U235" s="13">
        <v>136.68</v>
      </c>
      <c r="V235" s="13">
        <v>325.64</v>
      </c>
      <c r="W235" s="13">
        <v>42.79</v>
      </c>
      <c r="X235" s="13">
        <v>260.55</v>
      </c>
      <c r="Y235" s="13">
        <v>29.96</v>
      </c>
      <c r="Z235" s="13"/>
      <c r="AA235" s="13"/>
      <c r="AB235" s="13"/>
      <c r="AC235" s="14">
        <v>3050.7432432432433</v>
      </c>
      <c r="AD235" s="14">
        <v>64.831261101243342</v>
      </c>
      <c r="AE235" s="14">
        <v>2907.5879396984924</v>
      </c>
      <c r="AF235" s="14">
        <v>3288.919667590028</v>
      </c>
      <c r="AG235" s="15">
        <v>2.1761550041679616E-2</v>
      </c>
      <c r="AH235" s="15">
        <v>2.1767833713715042E-2</v>
      </c>
      <c r="AI235" s="15">
        <v>2.0725082878200036E-2</v>
      </c>
      <c r="AJ235" s="41">
        <f t="shared" si="6"/>
        <v>2848.46</v>
      </c>
      <c r="AK235" s="44">
        <f t="shared" si="7"/>
        <v>1.3090296926247351E-2</v>
      </c>
      <c r="AL235" s="10"/>
      <c r="AM235" s="10"/>
    </row>
    <row r="236" spans="1:39" s="16" customFormat="1" ht="19" customHeight="1">
      <c r="A236" s="23" t="s">
        <v>298</v>
      </c>
      <c r="B236" s="23" t="s">
        <v>230</v>
      </c>
      <c r="C236" s="23"/>
      <c r="D236" s="23"/>
      <c r="E236" s="24" t="s">
        <v>45</v>
      </c>
      <c r="F236" s="24" t="s">
        <v>249</v>
      </c>
      <c r="G236" s="12" t="s">
        <v>250</v>
      </c>
      <c r="H236" s="13">
        <v>11.99</v>
      </c>
      <c r="I236" s="13">
        <v>44.41</v>
      </c>
      <c r="J236" s="13">
        <v>282.10000000000002</v>
      </c>
      <c r="K236" s="13">
        <v>1071.93</v>
      </c>
      <c r="L236" s="13">
        <v>175.63</v>
      </c>
      <c r="M236" s="13">
        <v>52.9</v>
      </c>
      <c r="N236" s="13">
        <v>891.68</v>
      </c>
      <c r="O236" s="13">
        <v>394.87</v>
      </c>
      <c r="P236" s="13">
        <v>3.85</v>
      </c>
      <c r="Q236" s="13">
        <v>497.83</v>
      </c>
      <c r="R236" s="13">
        <v>104.64</v>
      </c>
      <c r="S236" s="13">
        <v>655.39</v>
      </c>
      <c r="T236" s="13">
        <v>3211.22</v>
      </c>
      <c r="U236" s="13">
        <v>110.37</v>
      </c>
      <c r="V236" s="13">
        <v>271.05</v>
      </c>
      <c r="W236" s="13">
        <v>35.619999999999997</v>
      </c>
      <c r="X236" s="13">
        <v>216.1</v>
      </c>
      <c r="Y236" s="13">
        <v>25.83</v>
      </c>
      <c r="Z236" s="13"/>
      <c r="AA236" s="13"/>
      <c r="AB236" s="13"/>
      <c r="AC236" s="14">
        <v>2668.0405405405409</v>
      </c>
      <c r="AD236" s="14">
        <v>68.383658969804628</v>
      </c>
      <c r="AE236" s="14">
        <v>2501.6582914572864</v>
      </c>
      <c r="AF236" s="14">
        <v>2898.6149584487534</v>
      </c>
      <c r="AG236" s="15">
        <v>2.6455567796926305E-2</v>
      </c>
      <c r="AH236" s="15">
        <v>2.6469280028324896E-2</v>
      </c>
      <c r="AI236" s="15">
        <v>2.4932196577025428E-2</v>
      </c>
      <c r="AJ236" s="41">
        <f t="shared" si="6"/>
        <v>2421.34</v>
      </c>
      <c r="AK236" s="44">
        <f t="shared" si="7"/>
        <v>1.6473489826296549E-2</v>
      </c>
      <c r="AL236" s="10"/>
      <c r="AM236" s="10"/>
    </row>
    <row r="237" spans="1:39" s="16" customFormat="1" ht="19" customHeight="1">
      <c r="A237" s="23" t="s">
        <v>299</v>
      </c>
      <c r="B237" s="23" t="s">
        <v>230</v>
      </c>
      <c r="C237" s="23"/>
      <c r="D237" s="23"/>
      <c r="E237" s="24" t="s">
        <v>45</v>
      </c>
      <c r="F237" s="24" t="s">
        <v>249</v>
      </c>
      <c r="G237" s="12" t="s">
        <v>250</v>
      </c>
      <c r="H237" s="13">
        <v>16.82</v>
      </c>
      <c r="I237" s="13">
        <v>34.64</v>
      </c>
      <c r="J237" s="13">
        <v>364.6</v>
      </c>
      <c r="K237" s="13">
        <v>1279.8499999999999</v>
      </c>
      <c r="L237" s="13">
        <v>215.98</v>
      </c>
      <c r="M237" s="13">
        <v>46.97</v>
      </c>
      <c r="N237" s="13">
        <v>1038.6600000000001</v>
      </c>
      <c r="O237" s="13">
        <v>463.09</v>
      </c>
      <c r="P237" s="13">
        <v>3.02</v>
      </c>
      <c r="Q237" s="13">
        <v>591.91</v>
      </c>
      <c r="R237" s="13">
        <v>121.14</v>
      </c>
      <c r="S237" s="13">
        <v>785.04</v>
      </c>
      <c r="T237" s="13">
        <v>3837.22</v>
      </c>
      <c r="U237" s="13">
        <v>135.97</v>
      </c>
      <c r="V237" s="13">
        <v>331.14</v>
      </c>
      <c r="W237" s="13">
        <v>42.96</v>
      </c>
      <c r="X237" s="13">
        <v>260.14</v>
      </c>
      <c r="Y237" s="13">
        <v>30.35</v>
      </c>
      <c r="Z237" s="13"/>
      <c r="AA237" s="13"/>
      <c r="AB237" s="13"/>
      <c r="AC237" s="14">
        <v>3128.9864864864867</v>
      </c>
      <c r="AD237" s="14">
        <v>53.641207815275315</v>
      </c>
      <c r="AE237" s="14">
        <v>2974.4221105527636</v>
      </c>
      <c r="AF237" s="14">
        <v>3355.678670360111</v>
      </c>
      <c r="AG237" s="15">
        <v>1.7577459205761366E-2</v>
      </c>
      <c r="AH237" s="15">
        <v>1.7583098295094416E-2</v>
      </c>
      <c r="AI237" s="15">
        <v>1.6748244833233592E-2</v>
      </c>
      <c r="AJ237" s="41">
        <f t="shared" si="6"/>
        <v>2899.09</v>
      </c>
      <c r="AK237" s="44">
        <f t="shared" si="7"/>
        <v>1.2240632541266856E-2</v>
      </c>
      <c r="AL237" s="10"/>
      <c r="AM237" s="10"/>
    </row>
    <row r="238" spans="1:39" s="16" customFormat="1" ht="19" customHeight="1">
      <c r="A238" s="23" t="s">
        <v>300</v>
      </c>
      <c r="B238" s="23" t="s">
        <v>230</v>
      </c>
      <c r="C238" s="23"/>
      <c r="D238" s="23"/>
      <c r="E238" s="24" t="s">
        <v>45</v>
      </c>
      <c r="F238" s="24" t="s">
        <v>249</v>
      </c>
      <c r="G238" s="12" t="s">
        <v>250</v>
      </c>
      <c r="H238" s="13">
        <v>11.21</v>
      </c>
      <c r="I238" s="13">
        <v>43.61</v>
      </c>
      <c r="J238" s="13">
        <v>368.94</v>
      </c>
      <c r="K238" s="13">
        <v>1445.3</v>
      </c>
      <c r="L238" s="13">
        <v>233.23</v>
      </c>
      <c r="M238" s="13">
        <v>48.37</v>
      </c>
      <c r="N238" s="13">
        <v>1181.83</v>
      </c>
      <c r="O238" s="13">
        <v>455.69</v>
      </c>
      <c r="P238" s="13">
        <v>2.94</v>
      </c>
      <c r="Q238" s="13">
        <v>568.41</v>
      </c>
      <c r="R238" s="13">
        <v>106.32</v>
      </c>
      <c r="S238" s="13">
        <v>671.03</v>
      </c>
      <c r="T238" s="13">
        <v>3497.07</v>
      </c>
      <c r="U238" s="13">
        <v>121.2</v>
      </c>
      <c r="V238" s="13">
        <v>292.89999999999998</v>
      </c>
      <c r="W238" s="13">
        <v>36.369999999999997</v>
      </c>
      <c r="X238" s="13">
        <v>212.88</v>
      </c>
      <c r="Y238" s="13">
        <v>24.29</v>
      </c>
      <c r="Z238" s="13"/>
      <c r="AA238" s="13"/>
      <c r="AB238" s="13"/>
      <c r="AC238" s="14">
        <v>3078.9864864864867</v>
      </c>
      <c r="AD238" s="14">
        <v>52.220248667850804</v>
      </c>
      <c r="AE238" s="14">
        <v>2856.3316582914572</v>
      </c>
      <c r="AF238" s="14">
        <v>2945.1523545706368</v>
      </c>
      <c r="AG238" s="15">
        <v>1.7596444670382367E-2</v>
      </c>
      <c r="AH238" s="15">
        <v>1.7608839193810989E-2</v>
      </c>
      <c r="AI238" s="15">
        <v>1.7213314036983035E-2</v>
      </c>
      <c r="AJ238" s="41">
        <f t="shared" si="6"/>
        <v>3229.3</v>
      </c>
      <c r="AK238" s="44">
        <f t="shared" si="7"/>
        <v>1.3831579007569192E-2</v>
      </c>
      <c r="AL238" s="10"/>
      <c r="AM238" s="10"/>
    </row>
    <row r="239" spans="1:39" s="16" customFormat="1" ht="19" customHeight="1">
      <c r="A239" s="23" t="s">
        <v>301</v>
      </c>
      <c r="B239" s="23" t="s">
        <v>230</v>
      </c>
      <c r="C239" s="23"/>
      <c r="D239" s="23"/>
      <c r="E239" s="24" t="s">
        <v>45</v>
      </c>
      <c r="F239" s="24" t="s">
        <v>249</v>
      </c>
      <c r="G239" s="12" t="s">
        <v>250</v>
      </c>
      <c r="H239" s="13">
        <v>5.66</v>
      </c>
      <c r="I239" s="13">
        <v>43.24</v>
      </c>
      <c r="J239" s="13">
        <v>304.14</v>
      </c>
      <c r="K239" s="13">
        <v>1033.02</v>
      </c>
      <c r="L239" s="13">
        <v>170.66</v>
      </c>
      <c r="M239" s="13">
        <v>41.01</v>
      </c>
      <c r="N239" s="13">
        <v>812.05</v>
      </c>
      <c r="O239" s="13">
        <v>348.27</v>
      </c>
      <c r="P239" s="13">
        <v>2.95</v>
      </c>
      <c r="Q239" s="13">
        <v>436.26</v>
      </c>
      <c r="R239" s="13">
        <v>92.31</v>
      </c>
      <c r="S239" s="13">
        <v>604.69000000000005</v>
      </c>
      <c r="T239" s="13">
        <v>3011.85</v>
      </c>
      <c r="U239" s="13">
        <v>102.6</v>
      </c>
      <c r="V239" s="13">
        <v>259.91000000000003</v>
      </c>
      <c r="W239" s="13">
        <v>36.85</v>
      </c>
      <c r="X239" s="13">
        <v>244.14</v>
      </c>
      <c r="Y239" s="13">
        <v>29.43</v>
      </c>
      <c r="Z239" s="13"/>
      <c r="AA239" s="13"/>
      <c r="AB239" s="13"/>
      <c r="AC239" s="14">
        <v>2353.1756756756758</v>
      </c>
      <c r="AD239" s="14">
        <v>52.397868561278869</v>
      </c>
      <c r="AE239" s="14">
        <v>2192.2613065326632</v>
      </c>
      <c r="AF239" s="14">
        <v>2557.0637119113576</v>
      </c>
      <c r="AG239" s="15">
        <v>2.3055151250088203E-2</v>
      </c>
      <c r="AH239" s="15">
        <v>2.306961179959665E-2</v>
      </c>
      <c r="AI239" s="15">
        <v>2.1658591228964845E-2</v>
      </c>
      <c r="AJ239" s="41">
        <f t="shared" si="6"/>
        <v>2319.87</v>
      </c>
      <c r="AK239" s="44">
        <f t="shared" si="7"/>
        <v>1.3616215947009312E-2</v>
      </c>
      <c r="AL239" s="10"/>
      <c r="AM239" s="10"/>
    </row>
    <row r="240" spans="1:39" s="16" customFormat="1" ht="19" customHeight="1">
      <c r="A240" s="23" t="s">
        <v>302</v>
      </c>
      <c r="B240" s="23" t="s">
        <v>230</v>
      </c>
      <c r="C240" s="23"/>
      <c r="D240" s="23"/>
      <c r="E240" s="24" t="s">
        <v>45</v>
      </c>
      <c r="F240" s="24" t="s">
        <v>249</v>
      </c>
      <c r="G240" s="12" t="s">
        <v>250</v>
      </c>
      <c r="H240" s="13">
        <v>9.23</v>
      </c>
      <c r="I240" s="13">
        <v>20.95</v>
      </c>
      <c r="J240" s="13">
        <v>434.95</v>
      </c>
      <c r="K240" s="13">
        <v>1519.25</v>
      </c>
      <c r="L240" s="13">
        <v>225.83</v>
      </c>
      <c r="M240" s="13">
        <v>93.37</v>
      </c>
      <c r="N240" s="13">
        <v>1103.57</v>
      </c>
      <c r="O240" s="13">
        <v>438.86</v>
      </c>
      <c r="P240" s="13">
        <v>2.97</v>
      </c>
      <c r="Q240" s="13">
        <v>599.72</v>
      </c>
      <c r="R240" s="13">
        <v>102.97</v>
      </c>
      <c r="S240" s="13">
        <v>605.77</v>
      </c>
      <c r="T240" s="13">
        <v>3130.04</v>
      </c>
      <c r="U240" s="13">
        <v>116.33</v>
      </c>
      <c r="V240" s="13">
        <v>252.85</v>
      </c>
      <c r="W240" s="13">
        <v>25.28</v>
      </c>
      <c r="X240" s="13">
        <v>131.44</v>
      </c>
      <c r="Y240" s="13">
        <v>14.05</v>
      </c>
      <c r="Z240" s="13"/>
      <c r="AA240" s="13"/>
      <c r="AB240" s="13"/>
      <c r="AC240" s="14">
        <v>2965.2702702702704</v>
      </c>
      <c r="AD240" s="14">
        <v>52.753108348135001</v>
      </c>
      <c r="AE240" s="14">
        <v>3013.6683417085428</v>
      </c>
      <c r="AF240" s="14">
        <v>2852.3545706371192</v>
      </c>
      <c r="AG240" s="15">
        <v>1.7646312087046374E-2</v>
      </c>
      <c r="AH240" s="15">
        <v>1.7646890253949939E-2</v>
      </c>
      <c r="AI240" s="15">
        <v>1.8022043306270802E-2</v>
      </c>
      <c r="AJ240" s="41">
        <f t="shared" si="6"/>
        <v>3283.6000000000004</v>
      </c>
      <c r="AK240" s="44">
        <f t="shared" si="7"/>
        <v>2.9830289708757719E-2</v>
      </c>
      <c r="AL240" s="10"/>
      <c r="AM240" s="10"/>
    </row>
    <row r="241" spans="1:39" s="16" customFormat="1" ht="19" customHeight="1">
      <c r="A241" s="9" t="s">
        <v>303</v>
      </c>
      <c r="B241" s="10" t="s">
        <v>304</v>
      </c>
      <c r="C241" s="10"/>
      <c r="D241" s="10"/>
      <c r="E241" s="28" t="s">
        <v>1341</v>
      </c>
      <c r="F241" s="28" t="s">
        <v>249</v>
      </c>
      <c r="G241" s="12" t="s">
        <v>250</v>
      </c>
      <c r="H241" s="13">
        <v>4.74</v>
      </c>
      <c r="I241" s="13">
        <v>28.15</v>
      </c>
      <c r="J241" s="13">
        <v>304.60000000000002</v>
      </c>
      <c r="K241" s="13">
        <v>1070.57</v>
      </c>
      <c r="L241" s="13">
        <v>180.97</v>
      </c>
      <c r="M241" s="13">
        <v>589.21</v>
      </c>
      <c r="N241" s="13">
        <v>973.45</v>
      </c>
      <c r="O241" s="13">
        <v>279.83999999999997</v>
      </c>
      <c r="P241" s="13">
        <v>25.2</v>
      </c>
      <c r="Q241" s="13">
        <v>229.94</v>
      </c>
      <c r="R241" s="13">
        <v>25.05</v>
      </c>
      <c r="S241" s="13">
        <v>125.14</v>
      </c>
      <c r="T241" s="13">
        <v>657.33</v>
      </c>
      <c r="U241" s="13">
        <v>21.27</v>
      </c>
      <c r="V241" s="13">
        <v>57.04</v>
      </c>
      <c r="W241" s="13">
        <v>8.3000000000000007</v>
      </c>
      <c r="X241" s="13">
        <v>48.97</v>
      </c>
      <c r="Y241" s="13">
        <v>5.56</v>
      </c>
      <c r="Z241" s="13"/>
      <c r="AA241" s="13"/>
      <c r="AB241" s="13"/>
      <c r="AC241" s="14">
        <v>1890.8108108108108</v>
      </c>
      <c r="AD241" s="14">
        <v>447.60213143872113</v>
      </c>
      <c r="AE241" s="14">
        <v>1155.4773869346734</v>
      </c>
      <c r="AF241" s="14">
        <v>693.90581717451528</v>
      </c>
      <c r="AG241" s="15">
        <v>0.29386722620005895</v>
      </c>
      <c r="AH241" s="15">
        <v>0.30282197127982802</v>
      </c>
      <c r="AI241" s="15">
        <v>0.33064344632386516</v>
      </c>
      <c r="AJ241" s="41">
        <f t="shared" si="6"/>
        <v>2529.59</v>
      </c>
      <c r="AK241" s="44">
        <f t="shared" si="7"/>
        <v>0.89636864284301643</v>
      </c>
      <c r="AL241" s="10"/>
      <c r="AM241" s="10"/>
    </row>
    <row r="242" spans="1:39" s="16" customFormat="1" ht="19" customHeight="1">
      <c r="A242" s="9" t="s">
        <v>305</v>
      </c>
      <c r="B242" s="10" t="s">
        <v>304</v>
      </c>
      <c r="C242" s="10"/>
      <c r="D242" s="10"/>
      <c r="E242" s="28" t="s">
        <v>1341</v>
      </c>
      <c r="F242" s="28" t="s">
        <v>249</v>
      </c>
      <c r="G242" s="12" t="s">
        <v>250</v>
      </c>
      <c r="H242" s="13">
        <v>66.63</v>
      </c>
      <c r="I242" s="13">
        <v>42.37</v>
      </c>
      <c r="J242" s="13">
        <v>485.63</v>
      </c>
      <c r="K242" s="13">
        <v>1505.89</v>
      </c>
      <c r="L242" s="13">
        <v>216.79</v>
      </c>
      <c r="M242" s="13">
        <v>513.74</v>
      </c>
      <c r="N242" s="13">
        <v>937.91</v>
      </c>
      <c r="O242" s="13">
        <v>181.58</v>
      </c>
      <c r="P242" s="13">
        <v>24.08</v>
      </c>
      <c r="Q242" s="13">
        <v>157.1</v>
      </c>
      <c r="R242" s="13">
        <v>19.77</v>
      </c>
      <c r="S242" s="13">
        <v>118.84</v>
      </c>
      <c r="T242" s="13">
        <v>746.62</v>
      </c>
      <c r="U242" s="13">
        <v>24.49</v>
      </c>
      <c r="V242" s="13">
        <v>71.23</v>
      </c>
      <c r="W242" s="13">
        <v>9.61</v>
      </c>
      <c r="X242" s="13">
        <v>67.7</v>
      </c>
      <c r="Y242" s="13">
        <v>10.47</v>
      </c>
      <c r="Z242" s="13"/>
      <c r="AA242" s="13"/>
      <c r="AB242" s="13"/>
      <c r="AC242" s="14">
        <v>1226.8918918918921</v>
      </c>
      <c r="AD242" s="14">
        <v>427.708703374778</v>
      </c>
      <c r="AE242" s="14">
        <v>789.4472361809045</v>
      </c>
      <c r="AF242" s="14">
        <v>547.64542936288092</v>
      </c>
      <c r="AG242" s="15">
        <v>0.42424282445342332</v>
      </c>
      <c r="AH242" s="15">
        <v>0.43459365883959794</v>
      </c>
      <c r="AI242" s="15">
        <v>0.45615320922530123</v>
      </c>
      <c r="AJ242" s="41">
        <f t="shared" si="6"/>
        <v>3146.22</v>
      </c>
      <c r="AK242" s="44">
        <f t="shared" si="7"/>
        <v>0.68808764833516378</v>
      </c>
      <c r="AL242" s="10"/>
      <c r="AM242" s="10"/>
    </row>
    <row r="243" spans="1:39" s="16" customFormat="1" ht="19" customHeight="1">
      <c r="A243" s="9" t="s">
        <v>306</v>
      </c>
      <c r="B243" s="10" t="s">
        <v>304</v>
      </c>
      <c r="C243" s="10"/>
      <c r="D243" s="10"/>
      <c r="E243" s="28" t="s">
        <v>1341</v>
      </c>
      <c r="F243" s="28" t="s">
        <v>249</v>
      </c>
      <c r="G243" s="12" t="s">
        <v>250</v>
      </c>
      <c r="H243" s="13">
        <v>45.84</v>
      </c>
      <c r="I243" s="13">
        <v>19.68</v>
      </c>
      <c r="J243" s="13">
        <v>536.04</v>
      </c>
      <c r="K243" s="13">
        <v>1439.58</v>
      </c>
      <c r="L243" s="13">
        <v>180.15</v>
      </c>
      <c r="M243" s="13">
        <v>500.24</v>
      </c>
      <c r="N243" s="13">
        <v>732.43</v>
      </c>
      <c r="O243" s="13">
        <v>135.63999999999999</v>
      </c>
      <c r="P243" s="13">
        <v>25.83</v>
      </c>
      <c r="Q243" s="13">
        <v>109.21</v>
      </c>
      <c r="R243" s="13">
        <v>13.31</v>
      </c>
      <c r="S243" s="13">
        <v>75.41</v>
      </c>
      <c r="T243" s="13">
        <v>447.92</v>
      </c>
      <c r="U243" s="13">
        <v>14.88</v>
      </c>
      <c r="V243" s="13">
        <v>40.31</v>
      </c>
      <c r="W243" s="13">
        <v>5.94</v>
      </c>
      <c r="X243" s="13">
        <v>41.25</v>
      </c>
      <c r="Y243" s="13">
        <v>6.25</v>
      </c>
      <c r="Z243" s="13"/>
      <c r="AA243" s="13"/>
      <c r="AB243" s="13"/>
      <c r="AC243" s="14">
        <v>916.48648648648646</v>
      </c>
      <c r="AD243" s="14">
        <v>458.79218472468915</v>
      </c>
      <c r="AE243" s="14">
        <v>548.7939698492462</v>
      </c>
      <c r="AF243" s="14">
        <v>368.69806094182826</v>
      </c>
      <c r="AG243" s="15">
        <v>0.62621757185242677</v>
      </c>
      <c r="AH243" s="15">
        <v>0.64691662645259917</v>
      </c>
      <c r="AI243" s="15">
        <v>0.67812280526250679</v>
      </c>
      <c r="AJ243" s="41">
        <f t="shared" si="6"/>
        <v>2888.2</v>
      </c>
      <c r="AK243" s="44">
        <f t="shared" si="7"/>
        <v>1.1168065726022505</v>
      </c>
      <c r="AL243" s="10"/>
      <c r="AM243" s="10"/>
    </row>
    <row r="244" spans="1:39" s="16" customFormat="1" ht="19" customHeight="1">
      <c r="A244" s="9" t="s">
        <v>307</v>
      </c>
      <c r="B244" s="10" t="s">
        <v>304</v>
      </c>
      <c r="C244" s="10"/>
      <c r="D244" s="10"/>
      <c r="E244" s="28" t="s">
        <v>1341</v>
      </c>
      <c r="F244" s="28" t="s">
        <v>249</v>
      </c>
      <c r="G244" s="12" t="s">
        <v>250</v>
      </c>
      <c r="H244" s="13">
        <v>50.3</v>
      </c>
      <c r="I244" s="13">
        <v>26.84</v>
      </c>
      <c r="J244" s="13">
        <v>753.75</v>
      </c>
      <c r="K244" s="13">
        <v>1744.03</v>
      </c>
      <c r="L244" s="13">
        <v>177.16</v>
      </c>
      <c r="M244" s="13">
        <v>526.19000000000005</v>
      </c>
      <c r="N244" s="13">
        <v>620.79999999999995</v>
      </c>
      <c r="O244" s="13">
        <v>101.27</v>
      </c>
      <c r="P244" s="13">
        <v>18.510000000000002</v>
      </c>
      <c r="Q244" s="13">
        <v>82.5</v>
      </c>
      <c r="R244" s="13">
        <v>9.7200000000000006</v>
      </c>
      <c r="S244" s="13">
        <v>55.45</v>
      </c>
      <c r="T244" s="13">
        <v>333.15</v>
      </c>
      <c r="U244" s="13">
        <v>11.22</v>
      </c>
      <c r="V244" s="13">
        <v>30.44</v>
      </c>
      <c r="W244" s="13">
        <v>4.6900000000000004</v>
      </c>
      <c r="X244" s="13">
        <v>27.74</v>
      </c>
      <c r="Y244" s="13">
        <v>4.8600000000000003</v>
      </c>
      <c r="Z244" s="13"/>
      <c r="AA244" s="13"/>
      <c r="AB244" s="13"/>
      <c r="AC244" s="14">
        <v>684.25675675675677</v>
      </c>
      <c r="AD244" s="14">
        <v>328.77442273534643</v>
      </c>
      <c r="AE244" s="14">
        <v>414.57286432160799</v>
      </c>
      <c r="AF244" s="14">
        <v>269.25207756232686</v>
      </c>
      <c r="AG244" s="15">
        <v>0.59840837274243697</v>
      </c>
      <c r="AH244" s="15">
        <v>0.61728829296955956</v>
      </c>
      <c r="AI244" s="15">
        <v>0.65569057351223026</v>
      </c>
      <c r="AJ244" s="41">
        <f t="shared" si="6"/>
        <v>3295.74</v>
      </c>
      <c r="AK244" s="44">
        <f t="shared" si="7"/>
        <v>1.5794386912802043</v>
      </c>
      <c r="AL244" s="10"/>
      <c r="AM244" s="10"/>
    </row>
    <row r="245" spans="1:39" s="16" customFormat="1" ht="19" customHeight="1">
      <c r="A245" s="9" t="s">
        <v>308</v>
      </c>
      <c r="B245" s="10" t="s">
        <v>304</v>
      </c>
      <c r="C245" s="10"/>
      <c r="D245" s="10"/>
      <c r="E245" s="28" t="s">
        <v>1341</v>
      </c>
      <c r="F245" s="28" t="s">
        <v>249</v>
      </c>
      <c r="G245" s="12" t="s">
        <v>250</v>
      </c>
      <c r="H245" s="13">
        <v>44.91</v>
      </c>
      <c r="I245" s="13">
        <v>22</v>
      </c>
      <c r="J245" s="13">
        <v>401.66</v>
      </c>
      <c r="K245" s="13">
        <v>1235.1300000000001</v>
      </c>
      <c r="L245" s="13">
        <v>173.33</v>
      </c>
      <c r="M245" s="13">
        <v>504.51</v>
      </c>
      <c r="N245" s="13">
        <v>773.31</v>
      </c>
      <c r="O245" s="13">
        <v>154.96</v>
      </c>
      <c r="P245" s="13">
        <v>17.88</v>
      </c>
      <c r="Q245" s="13">
        <v>140.05000000000001</v>
      </c>
      <c r="R245" s="13">
        <v>17.350000000000001</v>
      </c>
      <c r="S245" s="13">
        <v>96.35</v>
      </c>
      <c r="T245" s="13">
        <v>611.94000000000005</v>
      </c>
      <c r="U245" s="13">
        <v>21.05</v>
      </c>
      <c r="V245" s="13">
        <v>56.7</v>
      </c>
      <c r="W245" s="13">
        <v>7.56</v>
      </c>
      <c r="X245" s="13">
        <v>49.02</v>
      </c>
      <c r="Y245" s="13">
        <v>7.38</v>
      </c>
      <c r="Z245" s="13"/>
      <c r="AA245" s="13"/>
      <c r="AB245" s="13"/>
      <c r="AC245" s="14">
        <v>1047.0270270270271</v>
      </c>
      <c r="AD245" s="14">
        <v>317.58436944937836</v>
      </c>
      <c r="AE245" s="14">
        <v>703.7688442211055</v>
      </c>
      <c r="AF245" s="14">
        <v>480.60941828254852</v>
      </c>
      <c r="AG245" s="15">
        <v>0.36278857480166915</v>
      </c>
      <c r="AH245" s="15">
        <v>0.36996884612226882</v>
      </c>
      <c r="AI245" s="15">
        <v>0.39320868276598886</v>
      </c>
      <c r="AJ245" s="41">
        <f t="shared" si="6"/>
        <v>2583.4300000000003</v>
      </c>
      <c r="AK245" s="44">
        <f t="shared" si="7"/>
        <v>0.82444357289930381</v>
      </c>
      <c r="AL245" s="10"/>
      <c r="AM245" s="10"/>
    </row>
    <row r="246" spans="1:39" s="16" customFormat="1" ht="19" customHeight="1">
      <c r="A246" s="9" t="s">
        <v>309</v>
      </c>
      <c r="B246" s="10" t="s">
        <v>304</v>
      </c>
      <c r="C246" s="10"/>
      <c r="D246" s="10"/>
      <c r="E246" s="28" t="s">
        <v>1341</v>
      </c>
      <c r="F246" s="28" t="s">
        <v>249</v>
      </c>
      <c r="G246" s="12" t="s">
        <v>250</v>
      </c>
      <c r="H246" s="13">
        <v>44.91</v>
      </c>
      <c r="I246" s="13">
        <v>15.79</v>
      </c>
      <c r="J246" s="13">
        <v>513.79999999999995</v>
      </c>
      <c r="K246" s="13">
        <v>1532.86</v>
      </c>
      <c r="L246" s="13">
        <v>195.04</v>
      </c>
      <c r="M246" s="13">
        <v>513.08000000000004</v>
      </c>
      <c r="N246" s="13">
        <v>818.42</v>
      </c>
      <c r="O246" s="13">
        <v>162.13</v>
      </c>
      <c r="P246" s="13">
        <v>18.89</v>
      </c>
      <c r="Q246" s="13">
        <v>139.13</v>
      </c>
      <c r="R246" s="13">
        <v>17.57</v>
      </c>
      <c r="S246" s="13">
        <v>101.85</v>
      </c>
      <c r="T246" s="13">
        <v>608.87</v>
      </c>
      <c r="U246" s="13">
        <v>20.81</v>
      </c>
      <c r="V246" s="13">
        <v>55.96</v>
      </c>
      <c r="W246" s="13">
        <v>7.78</v>
      </c>
      <c r="X246" s="13">
        <v>49.56</v>
      </c>
      <c r="Y246" s="13">
        <v>7.34</v>
      </c>
      <c r="Z246" s="13"/>
      <c r="AA246" s="13"/>
      <c r="AB246" s="13"/>
      <c r="AC246" s="14">
        <v>1095.4729729729729</v>
      </c>
      <c r="AD246" s="14">
        <v>335.5239786856128</v>
      </c>
      <c r="AE246" s="14">
        <v>699.14572864321599</v>
      </c>
      <c r="AF246" s="14">
        <v>486.70360110803324</v>
      </c>
      <c r="AG246" s="15">
        <v>0.37392230269688848</v>
      </c>
      <c r="AH246" s="15">
        <v>0.38338831751024477</v>
      </c>
      <c r="AI246" s="15">
        <v>0.40139097054509582</v>
      </c>
      <c r="AJ246" s="41">
        <f t="shared" si="6"/>
        <v>3060.12</v>
      </c>
      <c r="AK246" s="44">
        <f t="shared" si="7"/>
        <v>0.84267577643832026</v>
      </c>
      <c r="AL246" s="10"/>
      <c r="AM246" s="10"/>
    </row>
    <row r="247" spans="1:39" s="16" customFormat="1" ht="19" customHeight="1">
      <c r="A247" s="9" t="s">
        <v>310</v>
      </c>
      <c r="B247" s="10" t="s">
        <v>304</v>
      </c>
      <c r="C247" s="10"/>
      <c r="D247" s="10"/>
      <c r="E247" s="28" t="s">
        <v>1341</v>
      </c>
      <c r="F247" s="28" t="s">
        <v>249</v>
      </c>
      <c r="G247" s="12" t="s">
        <v>250</v>
      </c>
      <c r="H247" s="13">
        <v>219.56</v>
      </c>
      <c r="I247" s="13">
        <v>48.27</v>
      </c>
      <c r="J247" s="13">
        <v>2094.88</v>
      </c>
      <c r="K247" s="13">
        <v>2672.38</v>
      </c>
      <c r="L247" s="13">
        <v>271.66000000000003</v>
      </c>
      <c r="M247" s="13">
        <v>364.25</v>
      </c>
      <c r="N247" s="13">
        <v>918.47</v>
      </c>
      <c r="O247" s="13">
        <v>93.57</v>
      </c>
      <c r="P247" s="13">
        <v>23.64</v>
      </c>
      <c r="Q247" s="13">
        <v>84.44</v>
      </c>
      <c r="R247" s="13">
        <v>6.49</v>
      </c>
      <c r="S247" s="13">
        <v>50.45</v>
      </c>
      <c r="T247" s="13">
        <v>281.79000000000002</v>
      </c>
      <c r="U247" s="13">
        <v>10.41</v>
      </c>
      <c r="V247" s="13">
        <v>28.08</v>
      </c>
      <c r="W247" s="13">
        <v>4.5199999999999996</v>
      </c>
      <c r="X247" s="13">
        <v>28.25</v>
      </c>
      <c r="Y247" s="13">
        <v>5.6</v>
      </c>
      <c r="Z247" s="13"/>
      <c r="AA247" s="13"/>
      <c r="AB247" s="13"/>
      <c r="AC247" s="14">
        <v>632.22972972972968</v>
      </c>
      <c r="AD247" s="14">
        <v>419.89342806394319</v>
      </c>
      <c r="AE247" s="14">
        <v>424.321608040201</v>
      </c>
      <c r="AF247" s="14">
        <v>179.77839335180056</v>
      </c>
      <c r="AG247" s="15">
        <v>0.79483771976516493</v>
      </c>
      <c r="AH247" s="15">
        <v>0.8106885631231765</v>
      </c>
      <c r="AI247" s="15">
        <v>1.0099734794321009</v>
      </c>
      <c r="AJ247" s="41">
        <f t="shared" si="6"/>
        <v>5957.39</v>
      </c>
      <c r="AK247" s="44">
        <f t="shared" si="7"/>
        <v>1.2926292629262925</v>
      </c>
      <c r="AL247" s="10"/>
      <c r="AM247" s="10"/>
    </row>
    <row r="248" spans="1:39" s="16" customFormat="1" ht="19" customHeight="1">
      <c r="A248" s="9" t="s">
        <v>311</v>
      </c>
      <c r="B248" s="10" t="s">
        <v>304</v>
      </c>
      <c r="C248" s="10"/>
      <c r="D248" s="10"/>
      <c r="E248" s="28" t="s">
        <v>1341</v>
      </c>
      <c r="F248" s="28" t="s">
        <v>249</v>
      </c>
      <c r="G248" s="12" t="s">
        <v>250</v>
      </c>
      <c r="H248" s="13">
        <v>278.95</v>
      </c>
      <c r="I248" s="13">
        <v>118.44</v>
      </c>
      <c r="J248" s="13">
        <v>2146.11</v>
      </c>
      <c r="K248" s="13">
        <v>3219.08</v>
      </c>
      <c r="L248" s="13">
        <v>309.29000000000002</v>
      </c>
      <c r="M248" s="13">
        <v>336.85</v>
      </c>
      <c r="N248" s="13">
        <v>1085.96</v>
      </c>
      <c r="O248" s="13">
        <v>133.78</v>
      </c>
      <c r="P248" s="13">
        <v>24.42</v>
      </c>
      <c r="Q248" s="13">
        <v>100.7</v>
      </c>
      <c r="R248" s="13">
        <v>11.7</v>
      </c>
      <c r="S248" s="13">
        <v>67.67</v>
      </c>
      <c r="T248" s="13">
        <v>385.59</v>
      </c>
      <c r="U248" s="13">
        <v>13.57</v>
      </c>
      <c r="V248" s="13">
        <v>36.99</v>
      </c>
      <c r="W248" s="13">
        <v>5.55</v>
      </c>
      <c r="X248" s="13">
        <v>39.229999999999997</v>
      </c>
      <c r="Y248" s="13">
        <v>7.13</v>
      </c>
      <c r="Z248" s="13"/>
      <c r="AA248" s="13"/>
      <c r="AB248" s="13"/>
      <c r="AC248" s="14">
        <v>903.91891891891896</v>
      </c>
      <c r="AD248" s="14">
        <v>433.74777975133219</v>
      </c>
      <c r="AE248" s="14">
        <v>506.03015075376885</v>
      </c>
      <c r="AF248" s="14">
        <v>324.0997229916897</v>
      </c>
      <c r="AG248" s="15">
        <v>0.61526730160831189</v>
      </c>
      <c r="AH248" s="15">
        <v>0.6413340961987759</v>
      </c>
      <c r="AI248" s="15">
        <v>0.6754471822383995</v>
      </c>
      <c r="AJ248" s="41">
        <f t="shared" si="6"/>
        <v>6760.4400000000005</v>
      </c>
      <c r="AK248" s="44">
        <f t="shared" si="7"/>
        <v>0.87359630695816815</v>
      </c>
      <c r="AL248" s="10"/>
      <c r="AM248" s="10"/>
    </row>
    <row r="249" spans="1:39" s="16" customFormat="1" ht="19" customHeight="1">
      <c r="A249" s="9" t="s">
        <v>312</v>
      </c>
      <c r="B249" s="10" t="s">
        <v>304</v>
      </c>
      <c r="C249" s="10"/>
      <c r="D249" s="10"/>
      <c r="E249" s="28" t="s">
        <v>1341</v>
      </c>
      <c r="F249" s="28" t="s">
        <v>249</v>
      </c>
      <c r="G249" s="12" t="s">
        <v>250</v>
      </c>
      <c r="H249" s="13">
        <v>103.27</v>
      </c>
      <c r="I249" s="13">
        <v>39.409999999999997</v>
      </c>
      <c r="J249" s="13">
        <v>1054.95</v>
      </c>
      <c r="K249" s="13">
        <v>1460.39</v>
      </c>
      <c r="L249" s="13">
        <v>129.19999999999999</v>
      </c>
      <c r="M249" s="13">
        <v>356.05</v>
      </c>
      <c r="N249" s="13">
        <v>414.94</v>
      </c>
      <c r="O249" s="13">
        <v>48.7</v>
      </c>
      <c r="P249" s="13">
        <v>13.17</v>
      </c>
      <c r="Q249" s="13">
        <v>39.479999999999997</v>
      </c>
      <c r="R249" s="13">
        <v>4.55</v>
      </c>
      <c r="S249" s="13">
        <v>27.34</v>
      </c>
      <c r="T249" s="13">
        <v>162.41</v>
      </c>
      <c r="U249" s="13">
        <v>5.44</v>
      </c>
      <c r="V249" s="13">
        <v>15.97</v>
      </c>
      <c r="W249" s="13">
        <v>2.29</v>
      </c>
      <c r="X249" s="13">
        <v>17.29</v>
      </c>
      <c r="Y249" s="13">
        <v>3.28</v>
      </c>
      <c r="Z249" s="13"/>
      <c r="AA249" s="13"/>
      <c r="AB249" s="13"/>
      <c r="AC249" s="14">
        <v>329.05405405405406</v>
      </c>
      <c r="AD249" s="14">
        <v>233.92539964476023</v>
      </c>
      <c r="AE249" s="14">
        <v>198.39195979899495</v>
      </c>
      <c r="AF249" s="14">
        <v>126.03878116343489</v>
      </c>
      <c r="AG249" s="15">
        <v>0.88701172632213265</v>
      </c>
      <c r="AH249" s="15">
        <v>0.91554927572822908</v>
      </c>
      <c r="AI249" s="15">
        <v>0.97888382327045753</v>
      </c>
      <c r="AJ249" s="41">
        <f t="shared" si="6"/>
        <v>3059.48</v>
      </c>
      <c r="AK249" s="44">
        <f t="shared" si="7"/>
        <v>2.1922911150791209</v>
      </c>
      <c r="AL249" s="10"/>
      <c r="AM249" s="10"/>
    </row>
    <row r="250" spans="1:39" s="16" customFormat="1" ht="19" customHeight="1">
      <c r="A250" s="9" t="s">
        <v>313</v>
      </c>
      <c r="B250" s="10" t="s">
        <v>304</v>
      </c>
      <c r="C250" s="10"/>
      <c r="D250" s="10"/>
      <c r="E250" s="28" t="s">
        <v>1341</v>
      </c>
      <c r="F250" s="28" t="s">
        <v>249</v>
      </c>
      <c r="G250" s="12" t="s">
        <v>250</v>
      </c>
      <c r="H250" s="13">
        <v>205.61</v>
      </c>
      <c r="I250" s="13">
        <v>53.13</v>
      </c>
      <c r="J250" s="13">
        <v>1932.73</v>
      </c>
      <c r="K250" s="13">
        <v>2913.24</v>
      </c>
      <c r="L250" s="13">
        <v>276.72000000000003</v>
      </c>
      <c r="M250" s="13">
        <v>387.18</v>
      </c>
      <c r="N250" s="13">
        <v>881</v>
      </c>
      <c r="O250" s="13">
        <v>102.95</v>
      </c>
      <c r="P250" s="13">
        <v>21.89</v>
      </c>
      <c r="Q250" s="13">
        <v>72.41</v>
      </c>
      <c r="R250" s="13">
        <v>7.96</v>
      </c>
      <c r="S250" s="13">
        <v>44.57</v>
      </c>
      <c r="T250" s="13">
        <v>265.73</v>
      </c>
      <c r="U250" s="13">
        <v>9.33</v>
      </c>
      <c r="V250" s="13">
        <v>27.25</v>
      </c>
      <c r="W250" s="13">
        <v>3.74</v>
      </c>
      <c r="X250" s="13">
        <v>27.26</v>
      </c>
      <c r="Y250" s="13">
        <v>5.0199999999999996</v>
      </c>
      <c r="Z250" s="13"/>
      <c r="AA250" s="13"/>
      <c r="AB250" s="13"/>
      <c r="AC250" s="14">
        <v>695.60810810810813</v>
      </c>
      <c r="AD250" s="14">
        <v>388.80994671403204</v>
      </c>
      <c r="AE250" s="14">
        <v>363.86934673366829</v>
      </c>
      <c r="AF250" s="14">
        <v>220.49861495844874</v>
      </c>
      <c r="AG250" s="15">
        <v>0.73396549390868804</v>
      </c>
      <c r="AH250" s="15">
        <v>0.77282704791690671</v>
      </c>
      <c r="AI250" s="15">
        <v>0.81977056692510197</v>
      </c>
      <c r="AJ250" s="41">
        <f t="shared" si="6"/>
        <v>6003.69</v>
      </c>
      <c r="AK250" s="44">
        <f t="shared" si="7"/>
        <v>1.4570428630564858</v>
      </c>
      <c r="AL250" s="10"/>
      <c r="AM250" s="10"/>
    </row>
    <row r="251" spans="1:39" s="16" customFormat="1" ht="19" customHeight="1">
      <c r="A251" s="9" t="s">
        <v>314</v>
      </c>
      <c r="B251" s="10" t="s">
        <v>304</v>
      </c>
      <c r="C251" s="10"/>
      <c r="D251" s="10"/>
      <c r="E251" s="28" t="s">
        <v>1341</v>
      </c>
      <c r="F251" s="28" t="s">
        <v>249</v>
      </c>
      <c r="G251" s="12" t="s">
        <v>250</v>
      </c>
      <c r="H251" s="13">
        <v>62.81</v>
      </c>
      <c r="I251" s="13">
        <v>56.48</v>
      </c>
      <c r="J251" s="13">
        <v>725.18</v>
      </c>
      <c r="K251" s="13">
        <v>899.27</v>
      </c>
      <c r="L251" s="13">
        <v>74.31</v>
      </c>
      <c r="M251" s="13">
        <v>428.64</v>
      </c>
      <c r="N251" s="13">
        <v>227.42</v>
      </c>
      <c r="O251" s="13">
        <v>26.61</v>
      </c>
      <c r="P251" s="13">
        <v>7.39</v>
      </c>
      <c r="Q251" s="13">
        <v>20.74</v>
      </c>
      <c r="R251" s="13">
        <v>2.6</v>
      </c>
      <c r="S251" s="13">
        <v>13.91</v>
      </c>
      <c r="T251" s="13">
        <v>94.13</v>
      </c>
      <c r="U251" s="13">
        <v>3.18</v>
      </c>
      <c r="V251" s="13">
        <v>8.74</v>
      </c>
      <c r="W251" s="13">
        <v>1.36</v>
      </c>
      <c r="X251" s="13">
        <v>10.15</v>
      </c>
      <c r="Y251" s="13">
        <v>1.85</v>
      </c>
      <c r="Z251" s="13"/>
      <c r="AA251" s="13"/>
      <c r="AB251" s="13"/>
      <c r="AC251" s="14">
        <v>179.79729729729729</v>
      </c>
      <c r="AD251" s="14">
        <v>131.26110124333925</v>
      </c>
      <c r="AE251" s="14">
        <v>104.22110552763817</v>
      </c>
      <c r="AF251" s="14">
        <v>72.02216066481995</v>
      </c>
      <c r="AG251" s="15">
        <v>0.92431405808761302</v>
      </c>
      <c r="AH251" s="15">
        <v>0.95888522345121974</v>
      </c>
      <c r="AI251" s="15">
        <v>0.9903572585349727</v>
      </c>
      <c r="AJ251" s="41">
        <f t="shared" si="6"/>
        <v>1926.1799999999998</v>
      </c>
      <c r="AK251" s="44">
        <f t="shared" si="7"/>
        <v>4.5537023265696375</v>
      </c>
      <c r="AL251" s="10"/>
      <c r="AM251" s="10"/>
    </row>
    <row r="252" spans="1:39" s="16" customFormat="1" ht="19" customHeight="1">
      <c r="A252" s="9" t="s">
        <v>315</v>
      </c>
      <c r="B252" s="10" t="s">
        <v>304</v>
      </c>
      <c r="C252" s="10"/>
      <c r="D252" s="10"/>
      <c r="E252" s="28" t="s">
        <v>1341</v>
      </c>
      <c r="F252" s="28" t="s">
        <v>249</v>
      </c>
      <c r="G252" s="12" t="s">
        <v>250</v>
      </c>
      <c r="H252" s="13">
        <v>99.51</v>
      </c>
      <c r="I252" s="13">
        <v>30.07</v>
      </c>
      <c r="J252" s="13">
        <v>1061.4100000000001</v>
      </c>
      <c r="K252" s="13">
        <v>2139.89</v>
      </c>
      <c r="L252" s="13">
        <v>254.8</v>
      </c>
      <c r="M252" s="13">
        <v>399.8</v>
      </c>
      <c r="N252" s="13">
        <v>1025.57</v>
      </c>
      <c r="O252" s="13">
        <v>154.63</v>
      </c>
      <c r="P252" s="13">
        <v>11.8</v>
      </c>
      <c r="Q252" s="13">
        <v>117.07</v>
      </c>
      <c r="R252" s="13">
        <v>13.43</v>
      </c>
      <c r="S252" s="13">
        <v>74.739999999999995</v>
      </c>
      <c r="T252" s="13">
        <v>398.99</v>
      </c>
      <c r="U252" s="13">
        <v>14.36</v>
      </c>
      <c r="V252" s="13">
        <v>36.76</v>
      </c>
      <c r="W252" s="13">
        <v>4.7699999999999996</v>
      </c>
      <c r="X252" s="13">
        <v>30.37</v>
      </c>
      <c r="Y252" s="13">
        <v>4.3</v>
      </c>
      <c r="Z252" s="13"/>
      <c r="AA252" s="13"/>
      <c r="AB252" s="13"/>
      <c r="AC252" s="14">
        <v>1044.7972972972973</v>
      </c>
      <c r="AD252" s="14">
        <v>209.59147424511548</v>
      </c>
      <c r="AE252" s="14">
        <v>588.29145728643209</v>
      </c>
      <c r="AF252" s="14">
        <v>372.02216066481992</v>
      </c>
      <c r="AG252" s="15">
        <v>0.25668105748305131</v>
      </c>
      <c r="AH252" s="15">
        <v>0.26733838567753149</v>
      </c>
      <c r="AI252" s="15">
        <v>0.28302794332164749</v>
      </c>
      <c r="AJ252" s="41">
        <f t="shared" si="6"/>
        <v>4481.67</v>
      </c>
      <c r="AK252" s="44">
        <f t="shared" si="7"/>
        <v>1.0020301260683224</v>
      </c>
      <c r="AL252" s="10"/>
      <c r="AM252" s="10"/>
    </row>
    <row r="253" spans="1:39" s="16" customFormat="1" ht="19" customHeight="1">
      <c r="A253" s="9" t="s">
        <v>316</v>
      </c>
      <c r="B253" s="10" t="s">
        <v>304</v>
      </c>
      <c r="C253" s="10"/>
      <c r="D253" s="10"/>
      <c r="E253" s="28" t="s">
        <v>1341</v>
      </c>
      <c r="F253" s="28" t="s">
        <v>249</v>
      </c>
      <c r="G253" s="12" t="s">
        <v>250</v>
      </c>
      <c r="H253" s="13">
        <v>97.88</v>
      </c>
      <c r="I253" s="13">
        <v>40.83</v>
      </c>
      <c r="J253" s="13">
        <v>1227.8599999999999</v>
      </c>
      <c r="K253" s="13">
        <v>1670.98</v>
      </c>
      <c r="L253" s="13">
        <v>155.5</v>
      </c>
      <c r="M253" s="13">
        <v>370.24</v>
      </c>
      <c r="N253" s="13">
        <v>502.23</v>
      </c>
      <c r="O253" s="13">
        <v>61.98</v>
      </c>
      <c r="P253" s="13">
        <v>13.81</v>
      </c>
      <c r="Q253" s="13">
        <v>46.03</v>
      </c>
      <c r="R253" s="13">
        <v>5.46</v>
      </c>
      <c r="S253" s="13">
        <v>30.76</v>
      </c>
      <c r="T253" s="13">
        <v>187.83</v>
      </c>
      <c r="U253" s="13">
        <v>6.38</v>
      </c>
      <c r="V253" s="13">
        <v>18.73</v>
      </c>
      <c r="W253" s="13">
        <v>2.63</v>
      </c>
      <c r="X253" s="13">
        <v>19.16</v>
      </c>
      <c r="Y253" s="13">
        <v>3.49</v>
      </c>
      <c r="Z253" s="13"/>
      <c r="AA253" s="13"/>
      <c r="AB253" s="13"/>
      <c r="AC253" s="14">
        <v>418.7837837837838</v>
      </c>
      <c r="AD253" s="14">
        <v>245.29307282415633</v>
      </c>
      <c r="AE253" s="14">
        <v>231.30653266331657</v>
      </c>
      <c r="AF253" s="14">
        <v>151.24653739612188</v>
      </c>
      <c r="AG253" s="15">
        <v>0.75464305995124448</v>
      </c>
      <c r="AH253" s="15">
        <v>0.78812736334486766</v>
      </c>
      <c r="AI253" s="15">
        <v>0.82248925436949871</v>
      </c>
      <c r="AJ253" s="41">
        <f t="shared" si="6"/>
        <v>3556.57</v>
      </c>
      <c r="AK253" s="44">
        <f t="shared" si="7"/>
        <v>1.9711441196826918</v>
      </c>
      <c r="AL253" s="10"/>
      <c r="AM253" s="10"/>
    </row>
    <row r="254" spans="1:39" s="16" customFormat="1" ht="19" customHeight="1">
      <c r="A254" s="9" t="s">
        <v>317</v>
      </c>
      <c r="B254" s="10" t="s">
        <v>304</v>
      </c>
      <c r="C254" s="10"/>
      <c r="D254" s="10"/>
      <c r="E254" s="28" t="s">
        <v>1341</v>
      </c>
      <c r="F254" s="28" t="s">
        <v>249</v>
      </c>
      <c r="G254" s="12" t="s">
        <v>250</v>
      </c>
      <c r="H254" s="13">
        <v>229.6</v>
      </c>
      <c r="I254" s="13">
        <v>126.52</v>
      </c>
      <c r="J254" s="13">
        <v>2092.59</v>
      </c>
      <c r="K254" s="13">
        <v>2715.92</v>
      </c>
      <c r="L254" s="13">
        <v>226.31</v>
      </c>
      <c r="M254" s="13">
        <v>346</v>
      </c>
      <c r="N254" s="13">
        <v>682.2</v>
      </c>
      <c r="O254" s="13">
        <v>78.67</v>
      </c>
      <c r="P254" s="13">
        <v>23.73</v>
      </c>
      <c r="Q254" s="13">
        <v>60.18</v>
      </c>
      <c r="R254" s="13">
        <v>7.03</v>
      </c>
      <c r="S254" s="13">
        <v>41.86</v>
      </c>
      <c r="T254" s="13">
        <v>265.87</v>
      </c>
      <c r="U254" s="13">
        <v>8.68</v>
      </c>
      <c r="V254" s="13">
        <v>25.16</v>
      </c>
      <c r="W254" s="13">
        <v>3.92</v>
      </c>
      <c r="X254" s="13">
        <v>30.77</v>
      </c>
      <c r="Y254" s="13">
        <v>5.53</v>
      </c>
      <c r="Z254" s="13"/>
      <c r="AA254" s="13"/>
      <c r="AB254" s="13"/>
      <c r="AC254" s="14">
        <v>531.55405405405406</v>
      </c>
      <c r="AD254" s="14">
        <v>421.49200710479579</v>
      </c>
      <c r="AE254" s="14">
        <v>302.41206030150749</v>
      </c>
      <c r="AF254" s="14">
        <v>194.73684210526315</v>
      </c>
      <c r="AG254" s="15">
        <v>1.0108132689072127</v>
      </c>
      <c r="AH254" s="15">
        <v>1.0512743603411057</v>
      </c>
      <c r="AI254" s="15">
        <v>1.1081749940066967</v>
      </c>
      <c r="AJ254" s="41">
        <f t="shared" si="6"/>
        <v>5717.02</v>
      </c>
      <c r="AK254" s="44">
        <f t="shared" si="7"/>
        <v>1.3013878963403167</v>
      </c>
      <c r="AL254" s="10"/>
      <c r="AM254" s="10"/>
    </row>
    <row r="255" spans="1:39" s="16" customFormat="1" ht="19" customHeight="1">
      <c r="A255" s="9" t="s">
        <v>318</v>
      </c>
      <c r="B255" s="10" t="s">
        <v>304</v>
      </c>
      <c r="C255" s="10"/>
      <c r="D255" s="10"/>
      <c r="E255" s="28" t="s">
        <v>1341</v>
      </c>
      <c r="F255" s="28" t="s">
        <v>249</v>
      </c>
      <c r="G255" s="12" t="s">
        <v>250</v>
      </c>
      <c r="H255" s="13">
        <v>35.25</v>
      </c>
      <c r="I255" s="13">
        <v>13.64</v>
      </c>
      <c r="J255" s="13">
        <v>1439.02</v>
      </c>
      <c r="K255" s="13">
        <v>2603.0300000000002</v>
      </c>
      <c r="L255" s="13">
        <v>301.45999999999998</v>
      </c>
      <c r="M255" s="13">
        <v>334.17</v>
      </c>
      <c r="N255" s="13">
        <v>989.39</v>
      </c>
      <c r="O255" s="13">
        <v>128.94</v>
      </c>
      <c r="P255" s="13">
        <v>17.46</v>
      </c>
      <c r="Q255" s="13">
        <v>94.23</v>
      </c>
      <c r="R255" s="13">
        <v>12</v>
      </c>
      <c r="S255" s="13">
        <v>73.400000000000006</v>
      </c>
      <c r="T255" s="13">
        <v>438.61</v>
      </c>
      <c r="U255" s="13">
        <v>14.87</v>
      </c>
      <c r="V255" s="13">
        <v>43.29</v>
      </c>
      <c r="W255" s="13">
        <v>6.09</v>
      </c>
      <c r="X255" s="13">
        <v>42.56</v>
      </c>
      <c r="Y255" s="13">
        <v>6.78</v>
      </c>
      <c r="Z255" s="13"/>
      <c r="AA255" s="13"/>
      <c r="AB255" s="13"/>
      <c r="AC255" s="14">
        <v>871.21621621621625</v>
      </c>
      <c r="AD255" s="14">
        <v>310.1243339253997</v>
      </c>
      <c r="AE255" s="14">
        <v>473.5175879396985</v>
      </c>
      <c r="AF255" s="14">
        <v>332.409972299169</v>
      </c>
      <c r="AG255" s="15">
        <v>0.46124271282086765</v>
      </c>
      <c r="AH255" s="15">
        <v>0.48284174624652976</v>
      </c>
      <c r="AI255" s="15">
        <v>0.4907879182040143</v>
      </c>
      <c r="AJ255" s="41">
        <f t="shared" si="6"/>
        <v>5332.9000000000005</v>
      </c>
      <c r="AK255" s="44">
        <f t="shared" si="7"/>
        <v>0.76188413396867383</v>
      </c>
      <c r="AL255" s="10"/>
      <c r="AM255" s="10"/>
    </row>
    <row r="256" spans="1:39" s="16" customFormat="1" ht="19" customHeight="1">
      <c r="A256" s="9" t="s">
        <v>319</v>
      </c>
      <c r="B256" s="10" t="s">
        <v>304</v>
      </c>
      <c r="C256" s="10"/>
      <c r="D256" s="10"/>
      <c r="E256" s="28" t="s">
        <v>1341</v>
      </c>
      <c r="F256" s="28" t="s">
        <v>249</v>
      </c>
      <c r="G256" s="12" t="s">
        <v>250</v>
      </c>
      <c r="H256" s="13">
        <v>28.09</v>
      </c>
      <c r="I256" s="13">
        <v>15.89</v>
      </c>
      <c r="J256" s="13">
        <v>1277.1099999999999</v>
      </c>
      <c r="K256" s="13">
        <v>2475.64</v>
      </c>
      <c r="L256" s="13">
        <v>257.92</v>
      </c>
      <c r="M256" s="13">
        <v>356.29</v>
      </c>
      <c r="N256" s="13">
        <v>822.37</v>
      </c>
      <c r="O256" s="13">
        <v>105.41</v>
      </c>
      <c r="P256" s="13">
        <v>14.97</v>
      </c>
      <c r="Q256" s="13">
        <v>75.67</v>
      </c>
      <c r="R256" s="13">
        <v>9.5500000000000007</v>
      </c>
      <c r="S256" s="13">
        <v>54.76</v>
      </c>
      <c r="T256" s="13">
        <v>331.46</v>
      </c>
      <c r="U256" s="13">
        <v>11.27</v>
      </c>
      <c r="V256" s="13">
        <v>32.159999999999997</v>
      </c>
      <c r="W256" s="13">
        <v>4.72</v>
      </c>
      <c r="X256" s="13">
        <v>31.89</v>
      </c>
      <c r="Y256" s="13">
        <v>4.79</v>
      </c>
      <c r="Z256" s="13"/>
      <c r="AA256" s="13"/>
      <c r="AB256" s="13"/>
      <c r="AC256" s="14">
        <v>712.2297297297298</v>
      </c>
      <c r="AD256" s="14">
        <v>265.89698046181178</v>
      </c>
      <c r="AE256" s="14">
        <v>380.25125628140705</v>
      </c>
      <c r="AF256" s="14">
        <v>264.54293628808864</v>
      </c>
      <c r="AG256" s="15">
        <v>0.48677639952829571</v>
      </c>
      <c r="AH256" s="15">
        <v>0.51093779302268727</v>
      </c>
      <c r="AI256" s="15">
        <v>0.51935934518043947</v>
      </c>
      <c r="AJ256" s="41">
        <f t="shared" si="6"/>
        <v>4833.04</v>
      </c>
      <c r="AK256" s="44">
        <f t="shared" si="7"/>
        <v>1.0749109998189827</v>
      </c>
      <c r="AL256" s="10"/>
      <c r="AM256" s="10"/>
    </row>
    <row r="257" spans="1:39" s="16" customFormat="1" ht="19" customHeight="1">
      <c r="A257" s="9" t="s">
        <v>320</v>
      </c>
      <c r="B257" s="10" t="s">
        <v>304</v>
      </c>
      <c r="C257" s="10"/>
      <c r="D257" s="10"/>
      <c r="E257" s="28" t="s">
        <v>1341</v>
      </c>
      <c r="F257" s="28" t="s">
        <v>249</v>
      </c>
      <c r="G257" s="12" t="s">
        <v>250</v>
      </c>
      <c r="H257" s="13">
        <v>36.21</v>
      </c>
      <c r="I257" s="13">
        <v>28.95</v>
      </c>
      <c r="J257" s="13">
        <v>1004.87</v>
      </c>
      <c r="K257" s="13">
        <v>2177.0700000000002</v>
      </c>
      <c r="L257" s="13">
        <v>252.66</v>
      </c>
      <c r="M257" s="13">
        <v>301.73</v>
      </c>
      <c r="N257" s="13">
        <v>941.38</v>
      </c>
      <c r="O257" s="13">
        <v>153.18</v>
      </c>
      <c r="P257" s="13">
        <v>15.69</v>
      </c>
      <c r="Q257" s="13">
        <v>127.26</v>
      </c>
      <c r="R257" s="13">
        <v>16.37</v>
      </c>
      <c r="S257" s="13">
        <v>98.63</v>
      </c>
      <c r="T257" s="13">
        <v>560.89</v>
      </c>
      <c r="U257" s="13">
        <v>19.760000000000002</v>
      </c>
      <c r="V257" s="13">
        <v>54.13</v>
      </c>
      <c r="W257" s="13">
        <v>6.74</v>
      </c>
      <c r="X257" s="13">
        <v>41.59</v>
      </c>
      <c r="Y257" s="13">
        <v>6.43</v>
      </c>
      <c r="Z257" s="13"/>
      <c r="AA257" s="13"/>
      <c r="AB257" s="13"/>
      <c r="AC257" s="14">
        <v>1035</v>
      </c>
      <c r="AD257" s="14">
        <v>278.68561278863234</v>
      </c>
      <c r="AE257" s="14">
        <v>639.4974874371859</v>
      </c>
      <c r="AF257" s="14">
        <v>453.4626038781164</v>
      </c>
      <c r="AG257" s="15">
        <v>0.33285880077988045</v>
      </c>
      <c r="AH257" s="15">
        <v>0.34255077355885566</v>
      </c>
      <c r="AI257" s="15">
        <v>0.35451979540124462</v>
      </c>
      <c r="AJ257" s="41">
        <f t="shared" si="6"/>
        <v>4375.9799999999996</v>
      </c>
      <c r="AK257" s="44">
        <f t="shared" si="7"/>
        <v>0.53794861737595612</v>
      </c>
      <c r="AL257" s="10"/>
      <c r="AM257" s="10"/>
    </row>
    <row r="258" spans="1:39" s="16" customFormat="1" ht="19" customHeight="1">
      <c r="A258" s="9" t="s">
        <v>321</v>
      </c>
      <c r="B258" s="10" t="s">
        <v>304</v>
      </c>
      <c r="C258" s="10"/>
      <c r="D258" s="10"/>
      <c r="E258" s="28" t="s">
        <v>1341</v>
      </c>
      <c r="F258" s="28" t="s">
        <v>249</v>
      </c>
      <c r="G258" s="12" t="s">
        <v>250</v>
      </c>
      <c r="H258" s="13">
        <v>22.13</v>
      </c>
      <c r="I258" s="13">
        <v>12.45</v>
      </c>
      <c r="J258" s="13">
        <v>1417.59</v>
      </c>
      <c r="K258" s="13">
        <v>2676.1</v>
      </c>
      <c r="L258" s="13">
        <v>274.52</v>
      </c>
      <c r="M258" s="13">
        <v>351.49</v>
      </c>
      <c r="N258" s="13">
        <v>906.91</v>
      </c>
      <c r="O258" s="13">
        <v>120.61</v>
      </c>
      <c r="P258" s="13">
        <v>15.23</v>
      </c>
      <c r="Q258" s="13">
        <v>88.43</v>
      </c>
      <c r="R258" s="13">
        <v>11.74</v>
      </c>
      <c r="S258" s="13">
        <v>71.86</v>
      </c>
      <c r="T258" s="13">
        <v>428.77</v>
      </c>
      <c r="U258" s="13">
        <v>15.26</v>
      </c>
      <c r="V258" s="13">
        <v>42.86</v>
      </c>
      <c r="W258" s="13">
        <v>6.18</v>
      </c>
      <c r="X258" s="13">
        <v>39.71</v>
      </c>
      <c r="Y258" s="13">
        <v>6.21</v>
      </c>
      <c r="Z258" s="13"/>
      <c r="AA258" s="13"/>
      <c r="AB258" s="13"/>
      <c r="AC258" s="14">
        <v>814.93243243243251</v>
      </c>
      <c r="AD258" s="14">
        <v>270.51509769094139</v>
      </c>
      <c r="AE258" s="14">
        <v>444.3718592964824</v>
      </c>
      <c r="AF258" s="14">
        <v>325.20775623268696</v>
      </c>
      <c r="AG258" s="15">
        <v>0.42962626184581293</v>
      </c>
      <c r="AH258" s="15">
        <v>0.44952870912643772</v>
      </c>
      <c r="AI258" s="15">
        <v>0.45087567868092521</v>
      </c>
      <c r="AJ258" s="41">
        <f t="shared" si="6"/>
        <v>5275.119999999999</v>
      </c>
      <c r="AK258" s="44">
        <f t="shared" si="7"/>
        <v>0.81976350957389743</v>
      </c>
      <c r="AL258" s="10"/>
      <c r="AM258" s="10"/>
    </row>
    <row r="259" spans="1:39" s="16" customFormat="1" ht="19" customHeight="1">
      <c r="A259" s="9" t="s">
        <v>322</v>
      </c>
      <c r="B259" s="10" t="s">
        <v>304</v>
      </c>
      <c r="C259" s="10"/>
      <c r="D259" s="10"/>
      <c r="E259" s="28" t="s">
        <v>1341</v>
      </c>
      <c r="F259" s="28" t="s">
        <v>249</v>
      </c>
      <c r="G259" s="12" t="s">
        <v>250</v>
      </c>
      <c r="H259" s="13">
        <v>29.28</v>
      </c>
      <c r="I259" s="13">
        <v>33.86</v>
      </c>
      <c r="J259" s="13">
        <v>722.45</v>
      </c>
      <c r="K259" s="13">
        <v>1528.76</v>
      </c>
      <c r="L259" s="13">
        <v>176.05</v>
      </c>
      <c r="M259" s="13">
        <v>273.97000000000003</v>
      </c>
      <c r="N259" s="13">
        <v>676.1</v>
      </c>
      <c r="O259" s="13">
        <v>114.97</v>
      </c>
      <c r="P259" s="13">
        <v>12</v>
      </c>
      <c r="Q259" s="13">
        <v>106.31</v>
      </c>
      <c r="R259" s="13">
        <v>13.49</v>
      </c>
      <c r="S259" s="13">
        <v>76.25</v>
      </c>
      <c r="T259" s="13">
        <v>449.48</v>
      </c>
      <c r="U259" s="13">
        <v>16.149999999999999</v>
      </c>
      <c r="V259" s="13">
        <v>41.1</v>
      </c>
      <c r="W259" s="13">
        <v>5.25</v>
      </c>
      <c r="X259" s="13">
        <v>31.69</v>
      </c>
      <c r="Y259" s="13">
        <v>4.9800000000000004</v>
      </c>
      <c r="Z259" s="13"/>
      <c r="AA259" s="13"/>
      <c r="AB259" s="13"/>
      <c r="AC259" s="14">
        <v>776.82432432432438</v>
      </c>
      <c r="AD259" s="14">
        <v>213.14387211367674</v>
      </c>
      <c r="AE259" s="14">
        <v>534.2211055276382</v>
      </c>
      <c r="AF259" s="14">
        <v>373.68421052631578</v>
      </c>
      <c r="AG259" s="15">
        <v>0.32515100889790521</v>
      </c>
      <c r="AH259" s="15">
        <v>0.33086507151284211</v>
      </c>
      <c r="AI259" s="15">
        <v>0.3501784302537867</v>
      </c>
      <c r="AJ259" s="41">
        <f t="shared" si="6"/>
        <v>3103.36</v>
      </c>
      <c r="AK259" s="44">
        <f t="shared" si="7"/>
        <v>0.6095265640295453</v>
      </c>
      <c r="AL259" s="10"/>
      <c r="AM259" s="10"/>
    </row>
    <row r="260" spans="1:39" s="16" customFormat="1" ht="19" customHeight="1">
      <c r="A260" s="9" t="s">
        <v>323</v>
      </c>
      <c r="B260" s="10" t="s">
        <v>304</v>
      </c>
      <c r="C260" s="10"/>
      <c r="D260" s="10"/>
      <c r="E260" s="28" t="s">
        <v>1341</v>
      </c>
      <c r="F260" s="28" t="s">
        <v>249</v>
      </c>
      <c r="G260" s="12" t="s">
        <v>250</v>
      </c>
      <c r="H260" s="13">
        <v>20.25</v>
      </c>
      <c r="I260" s="13">
        <v>17.41</v>
      </c>
      <c r="J260" s="13">
        <v>511.19</v>
      </c>
      <c r="K260" s="13">
        <v>1085.75</v>
      </c>
      <c r="L260" s="13">
        <v>130.19999999999999</v>
      </c>
      <c r="M260" s="13">
        <v>292.64999999999998</v>
      </c>
      <c r="N260" s="13">
        <v>539.63</v>
      </c>
      <c r="O260" s="13">
        <v>95.71</v>
      </c>
      <c r="P260" s="13">
        <v>8.42</v>
      </c>
      <c r="Q260" s="13">
        <v>87.59</v>
      </c>
      <c r="R260" s="13">
        <v>11.54</v>
      </c>
      <c r="S260" s="13">
        <v>67.400000000000006</v>
      </c>
      <c r="T260" s="13">
        <v>384.57</v>
      </c>
      <c r="U260" s="13">
        <v>13.96</v>
      </c>
      <c r="V260" s="13">
        <v>36.76</v>
      </c>
      <c r="W260" s="13">
        <v>4.3600000000000003</v>
      </c>
      <c r="X260" s="13">
        <v>25.83</v>
      </c>
      <c r="Y260" s="13">
        <v>3.79</v>
      </c>
      <c r="Z260" s="13"/>
      <c r="AA260" s="13"/>
      <c r="AB260" s="13"/>
      <c r="AC260" s="14">
        <v>646.68918918918916</v>
      </c>
      <c r="AD260" s="14">
        <v>149.55595026642985</v>
      </c>
      <c r="AE260" s="14">
        <v>440.1507537688442</v>
      </c>
      <c r="AF260" s="14">
        <v>319.66759002770078</v>
      </c>
      <c r="AG260" s="15">
        <v>0.2752124657093224</v>
      </c>
      <c r="AH260" s="15">
        <v>0.28032070147241189</v>
      </c>
      <c r="AI260" s="15">
        <v>0.29248735427952122</v>
      </c>
      <c r="AJ260" s="41">
        <f t="shared" si="6"/>
        <v>2266.77</v>
      </c>
      <c r="AK260" s="44">
        <f t="shared" si="7"/>
        <v>0.76097979561588258</v>
      </c>
      <c r="AL260" s="10"/>
      <c r="AM260" s="10"/>
    </row>
    <row r="261" spans="1:39" s="16" customFormat="1" ht="19" customHeight="1">
      <c r="A261" s="9" t="s">
        <v>324</v>
      </c>
      <c r="B261" s="10" t="s">
        <v>304</v>
      </c>
      <c r="C261" s="10"/>
      <c r="D261" s="10"/>
      <c r="E261" s="28" t="s">
        <v>1341</v>
      </c>
      <c r="F261" s="28" t="s">
        <v>249</v>
      </c>
      <c r="G261" s="12" t="s">
        <v>250</v>
      </c>
      <c r="H261" s="13">
        <v>34.07</v>
      </c>
      <c r="I261" s="13">
        <v>14.42</v>
      </c>
      <c r="J261" s="13">
        <v>1335.46</v>
      </c>
      <c r="K261" s="13">
        <v>2733.71</v>
      </c>
      <c r="L261" s="13">
        <v>280.45</v>
      </c>
      <c r="M261" s="13">
        <v>320.27</v>
      </c>
      <c r="N261" s="13">
        <v>891.02</v>
      </c>
      <c r="O261" s="13">
        <v>118.54</v>
      </c>
      <c r="P261" s="13">
        <v>16.84</v>
      </c>
      <c r="Q261" s="13">
        <v>87.99</v>
      </c>
      <c r="R261" s="13">
        <v>12.02</v>
      </c>
      <c r="S261" s="13">
        <v>68.319999999999993</v>
      </c>
      <c r="T261" s="13">
        <v>402.99</v>
      </c>
      <c r="U261" s="13">
        <v>13.97</v>
      </c>
      <c r="V261" s="13">
        <v>40.020000000000003</v>
      </c>
      <c r="W261" s="13">
        <v>5.64</v>
      </c>
      <c r="X261" s="13">
        <v>36.53</v>
      </c>
      <c r="Y261" s="13">
        <v>6.14</v>
      </c>
      <c r="Z261" s="13"/>
      <c r="AA261" s="13"/>
      <c r="AB261" s="13"/>
      <c r="AC261" s="14">
        <v>800.94594594594605</v>
      </c>
      <c r="AD261" s="14">
        <v>299.11190053285969</v>
      </c>
      <c r="AE261" s="14">
        <v>442.16080402010044</v>
      </c>
      <c r="AF261" s="14">
        <v>332.9639889196676</v>
      </c>
      <c r="AG261" s="15">
        <v>0.48123284752661744</v>
      </c>
      <c r="AH261" s="15">
        <v>0.50262254853746335</v>
      </c>
      <c r="AI261" s="15">
        <v>0.50037906622595829</v>
      </c>
      <c r="AJ261" s="41">
        <f t="shared" si="6"/>
        <v>5240.6399999999994</v>
      </c>
      <c r="AK261" s="44">
        <f t="shared" si="7"/>
        <v>0.79473436065411041</v>
      </c>
      <c r="AL261" s="10"/>
      <c r="AM261" s="10"/>
    </row>
    <row r="262" spans="1:39" s="16" customFormat="1" ht="19" customHeight="1">
      <c r="A262" s="9" t="s">
        <v>325</v>
      </c>
      <c r="B262" s="10" t="s">
        <v>304</v>
      </c>
      <c r="C262" s="10"/>
      <c r="D262" s="10"/>
      <c r="E262" s="28" t="s">
        <v>1341</v>
      </c>
      <c r="F262" s="28" t="s">
        <v>249</v>
      </c>
      <c r="G262" s="12" t="s">
        <v>250</v>
      </c>
      <c r="H262" s="13">
        <v>53.31</v>
      </c>
      <c r="I262" s="13">
        <v>17.77</v>
      </c>
      <c r="J262" s="13">
        <v>1286.6500000000001</v>
      </c>
      <c r="K262" s="13">
        <v>2616.5700000000002</v>
      </c>
      <c r="L262" s="13">
        <v>276.45</v>
      </c>
      <c r="M262" s="13">
        <v>343.27</v>
      </c>
      <c r="N262" s="13">
        <v>889.18</v>
      </c>
      <c r="O262" s="13">
        <v>119.26</v>
      </c>
      <c r="P262" s="13">
        <v>17.97</v>
      </c>
      <c r="Q262" s="13">
        <v>91.24</v>
      </c>
      <c r="R262" s="13">
        <v>11.8</v>
      </c>
      <c r="S262" s="13">
        <v>70.08</v>
      </c>
      <c r="T262" s="13">
        <v>433.53</v>
      </c>
      <c r="U262" s="13">
        <v>14.7</v>
      </c>
      <c r="V262" s="13">
        <v>40</v>
      </c>
      <c r="W262" s="13">
        <v>5.84</v>
      </c>
      <c r="X262" s="13">
        <v>38.299999999999997</v>
      </c>
      <c r="Y262" s="13">
        <v>6.37</v>
      </c>
      <c r="Z262" s="13"/>
      <c r="AA262" s="13"/>
      <c r="AB262" s="13"/>
      <c r="AC262" s="14">
        <v>805.81081081081084</v>
      </c>
      <c r="AD262" s="14">
        <v>319.1829484902309</v>
      </c>
      <c r="AE262" s="14">
        <v>458.49246231155774</v>
      </c>
      <c r="AF262" s="14">
        <v>326.86980609418282</v>
      </c>
      <c r="AG262" s="15">
        <v>0.5049151659664145</v>
      </c>
      <c r="AH262" s="15">
        <v>0.5251181596776312</v>
      </c>
      <c r="AI262" s="15">
        <v>0.53508899736318827</v>
      </c>
      <c r="AJ262" s="41">
        <f t="shared" ref="AJ262:AJ325" si="8">J262+K262+L262+N262</f>
        <v>5068.8500000000004</v>
      </c>
      <c r="AK262" s="44">
        <f t="shared" ref="AK262:AK325" si="9">M262/T262</f>
        <v>0.79180218208659148</v>
      </c>
      <c r="AL262" s="10"/>
      <c r="AM262" s="10"/>
    </row>
    <row r="263" spans="1:39" s="16" customFormat="1" ht="19" customHeight="1">
      <c r="A263" s="9" t="s">
        <v>326</v>
      </c>
      <c r="B263" s="10" t="s">
        <v>304</v>
      </c>
      <c r="C263" s="10"/>
      <c r="D263" s="10"/>
      <c r="E263" s="28" t="s">
        <v>1341</v>
      </c>
      <c r="F263" s="28" t="s">
        <v>249</v>
      </c>
      <c r="G263" s="12" t="s">
        <v>250</v>
      </c>
      <c r="H263" s="13">
        <v>234.25</v>
      </c>
      <c r="I263" s="13">
        <v>53.58</v>
      </c>
      <c r="J263" s="13">
        <v>1975.96</v>
      </c>
      <c r="K263" s="13">
        <v>2138.96</v>
      </c>
      <c r="L263" s="13">
        <v>209.89</v>
      </c>
      <c r="M263" s="13">
        <v>504.12</v>
      </c>
      <c r="N263" s="13">
        <v>662.92</v>
      </c>
      <c r="O263" s="13">
        <v>81.86</v>
      </c>
      <c r="P263" s="13">
        <v>21.3</v>
      </c>
      <c r="Q263" s="13">
        <v>73.209999999999994</v>
      </c>
      <c r="R263" s="13">
        <v>7.67</v>
      </c>
      <c r="S263" s="13">
        <v>39.25</v>
      </c>
      <c r="T263" s="13">
        <v>249.8</v>
      </c>
      <c r="U263" s="13">
        <v>7.1</v>
      </c>
      <c r="V263" s="13">
        <v>20.36</v>
      </c>
      <c r="W263" s="13">
        <v>3.65</v>
      </c>
      <c r="X263" s="13">
        <v>22.44</v>
      </c>
      <c r="Y263" s="13">
        <v>3.76</v>
      </c>
      <c r="Z263" s="13"/>
      <c r="AA263" s="13"/>
      <c r="AB263" s="13"/>
      <c r="AC263" s="14">
        <v>553.10810810810813</v>
      </c>
      <c r="AD263" s="14">
        <v>378.33037300177625</v>
      </c>
      <c r="AE263" s="14">
        <v>367.88944723618084</v>
      </c>
      <c r="AF263" s="14">
        <v>212.46537396121883</v>
      </c>
      <c r="AG263" s="15">
        <v>0.82156650863280112</v>
      </c>
      <c r="AH263" s="15">
        <v>0.83870171467727583</v>
      </c>
      <c r="AI263" s="15">
        <v>0.94095417067019083</v>
      </c>
      <c r="AJ263" s="41">
        <f t="shared" si="8"/>
        <v>4987.7300000000005</v>
      </c>
      <c r="AK263" s="44">
        <f t="shared" si="9"/>
        <v>2.0180944755804644</v>
      </c>
      <c r="AL263" s="10"/>
      <c r="AM263" s="10"/>
    </row>
    <row r="264" spans="1:39" s="16" customFormat="1" ht="19" customHeight="1">
      <c r="A264" s="9" t="s">
        <v>327</v>
      </c>
      <c r="B264" s="10" t="s">
        <v>304</v>
      </c>
      <c r="C264" s="10"/>
      <c r="D264" s="10"/>
      <c r="E264" s="28" t="s">
        <v>1341</v>
      </c>
      <c r="F264" s="28" t="s">
        <v>249</v>
      </c>
      <c r="G264" s="12" t="s">
        <v>250</v>
      </c>
      <c r="H264" s="13">
        <v>91.42</v>
      </c>
      <c r="I264" s="13">
        <v>16.5</v>
      </c>
      <c r="J264" s="13">
        <v>1848.67</v>
      </c>
      <c r="K264" s="13">
        <v>2403.12</v>
      </c>
      <c r="L264" s="13">
        <v>217.38</v>
      </c>
      <c r="M264" s="13">
        <v>537.96</v>
      </c>
      <c r="N264" s="13">
        <v>743.39</v>
      </c>
      <c r="O264" s="13">
        <v>89.17</v>
      </c>
      <c r="P264" s="13">
        <v>20.47</v>
      </c>
      <c r="Q264" s="13">
        <v>73.97</v>
      </c>
      <c r="R264" s="13">
        <v>7.43</v>
      </c>
      <c r="S264" s="13">
        <v>43.92</v>
      </c>
      <c r="T264" s="13">
        <v>254.47</v>
      </c>
      <c r="U264" s="13">
        <v>9.02</v>
      </c>
      <c r="V264" s="13">
        <v>22.12</v>
      </c>
      <c r="W264" s="13">
        <v>3.11</v>
      </c>
      <c r="X264" s="13">
        <v>20.21</v>
      </c>
      <c r="Y264" s="13">
        <v>3.56</v>
      </c>
      <c r="Z264" s="13"/>
      <c r="AA264" s="13"/>
      <c r="AB264" s="13"/>
      <c r="AC264" s="14">
        <v>602.5</v>
      </c>
      <c r="AD264" s="14">
        <v>363.58792184724689</v>
      </c>
      <c r="AE264" s="14">
        <v>371.70854271356779</v>
      </c>
      <c r="AF264" s="14">
        <v>205.81717451523545</v>
      </c>
      <c r="AG264" s="15">
        <v>0.74642729129536545</v>
      </c>
      <c r="AH264" s="15">
        <v>0.76829790869571879</v>
      </c>
      <c r="AI264" s="15">
        <v>0.86326515229278089</v>
      </c>
      <c r="AJ264" s="41">
        <f t="shared" si="8"/>
        <v>5212.5600000000004</v>
      </c>
      <c r="AK264" s="44">
        <f t="shared" si="9"/>
        <v>2.1140409478523994</v>
      </c>
      <c r="AL264" s="10"/>
      <c r="AM264" s="10"/>
    </row>
    <row r="265" spans="1:39" s="16" customFormat="1" ht="19" customHeight="1">
      <c r="A265" s="9" t="s">
        <v>328</v>
      </c>
      <c r="B265" s="10" t="s">
        <v>304</v>
      </c>
      <c r="C265" s="10"/>
      <c r="D265" s="10"/>
      <c r="E265" s="28" t="s">
        <v>1341</v>
      </c>
      <c r="F265" s="28" t="s">
        <v>249</v>
      </c>
      <c r="G265" s="12" t="s">
        <v>250</v>
      </c>
      <c r="H265" s="13">
        <v>16.75</v>
      </c>
      <c r="I265" s="13">
        <v>15.6</v>
      </c>
      <c r="J265" s="13">
        <v>438.72</v>
      </c>
      <c r="K265" s="13">
        <v>549.77</v>
      </c>
      <c r="L265" s="13">
        <v>45.7</v>
      </c>
      <c r="M265" s="13">
        <v>478.4</v>
      </c>
      <c r="N265" s="13">
        <v>138.44999999999999</v>
      </c>
      <c r="O265" s="13">
        <v>18.77</v>
      </c>
      <c r="P265" s="13">
        <v>4.3899999999999997</v>
      </c>
      <c r="Q265" s="13">
        <v>12.11</v>
      </c>
      <c r="R265" s="13">
        <v>1.59</v>
      </c>
      <c r="S265" s="13">
        <v>7.37</v>
      </c>
      <c r="T265" s="13">
        <v>51.77</v>
      </c>
      <c r="U265" s="13"/>
      <c r="V265" s="13">
        <v>5.16</v>
      </c>
      <c r="W265" s="13">
        <v>0.59</v>
      </c>
      <c r="X265" s="13">
        <v>4.47</v>
      </c>
      <c r="Y265" s="13">
        <v>0.96</v>
      </c>
      <c r="Z265" s="13"/>
      <c r="AA265" s="13"/>
      <c r="AB265" s="13"/>
      <c r="AC265" s="14">
        <v>126.82432432432432</v>
      </c>
      <c r="AD265" s="14">
        <v>77.975133214920078</v>
      </c>
      <c r="AE265" s="14">
        <v>60.854271356783912</v>
      </c>
      <c r="AF265" s="14">
        <v>44.044321329639892</v>
      </c>
      <c r="AG265" s="15">
        <v>0.8309432722675586</v>
      </c>
      <c r="AH265" s="15">
        <v>0.88758369052445507</v>
      </c>
      <c r="AI265" s="15">
        <v>0.87469728793226076</v>
      </c>
      <c r="AJ265" s="41">
        <f t="shared" si="8"/>
        <v>1172.6400000000001</v>
      </c>
      <c r="AK265" s="44">
        <f t="shared" si="9"/>
        <v>9.2408730925246267</v>
      </c>
      <c r="AL265" s="10"/>
      <c r="AM265" s="10"/>
    </row>
    <row r="266" spans="1:39" s="16" customFormat="1" ht="19" customHeight="1">
      <c r="A266" s="9" t="s">
        <v>329</v>
      </c>
      <c r="B266" s="10" t="s">
        <v>304</v>
      </c>
      <c r="C266" s="10"/>
      <c r="D266" s="10"/>
      <c r="E266" s="28" t="s">
        <v>1341</v>
      </c>
      <c r="F266" s="28" t="s">
        <v>249</v>
      </c>
      <c r="G266" s="12" t="s">
        <v>250</v>
      </c>
      <c r="H266" s="13">
        <v>95.89</v>
      </c>
      <c r="I266" s="13">
        <v>29.48</v>
      </c>
      <c r="J266" s="13">
        <v>1102.47</v>
      </c>
      <c r="K266" s="13">
        <v>1444.71</v>
      </c>
      <c r="L266" s="13">
        <v>126.5</v>
      </c>
      <c r="M266" s="13">
        <v>485.57</v>
      </c>
      <c r="N266" s="13">
        <v>410.12</v>
      </c>
      <c r="O266" s="13">
        <v>50.32</v>
      </c>
      <c r="P266" s="13">
        <v>11.97</v>
      </c>
      <c r="Q266" s="13">
        <v>37.119999999999997</v>
      </c>
      <c r="R266" s="13">
        <v>4.21</v>
      </c>
      <c r="S266" s="13">
        <v>22.72</v>
      </c>
      <c r="T266" s="13">
        <v>142.63999999999999</v>
      </c>
      <c r="U266" s="13">
        <v>4.87</v>
      </c>
      <c r="V266" s="13">
        <v>13.66</v>
      </c>
      <c r="W266" s="13">
        <v>1.66</v>
      </c>
      <c r="X266" s="13">
        <v>11.66</v>
      </c>
      <c r="Y266" s="13">
        <v>1.75</v>
      </c>
      <c r="Z266" s="13"/>
      <c r="AA266" s="13"/>
      <c r="AB266" s="13"/>
      <c r="AC266" s="14">
        <v>340</v>
      </c>
      <c r="AD266" s="14">
        <v>212.61101243339257</v>
      </c>
      <c r="AE266" s="14">
        <v>186.5326633165829</v>
      </c>
      <c r="AF266" s="14">
        <v>116.62049861495845</v>
      </c>
      <c r="AG266" s="15">
        <v>0.80758907185045092</v>
      </c>
      <c r="AH266" s="15">
        <v>0.84424568862035887</v>
      </c>
      <c r="AI266" s="15">
        <v>0.89332230899469889</v>
      </c>
      <c r="AJ266" s="41">
        <f t="shared" si="8"/>
        <v>3083.8</v>
      </c>
      <c r="AK266" s="44">
        <f t="shared" si="9"/>
        <v>3.4041643297812678</v>
      </c>
      <c r="AL266" s="10"/>
      <c r="AM266" s="10"/>
    </row>
    <row r="267" spans="1:39" s="16" customFormat="1" ht="19" customHeight="1">
      <c r="A267" s="9" t="s">
        <v>330</v>
      </c>
      <c r="B267" s="10" t="s">
        <v>304</v>
      </c>
      <c r="C267" s="10"/>
      <c r="D267" s="10"/>
      <c r="E267" s="28" t="s">
        <v>1341</v>
      </c>
      <c r="F267" s="28" t="s">
        <v>249</v>
      </c>
      <c r="G267" s="12" t="s">
        <v>250</v>
      </c>
      <c r="H267" s="13">
        <v>82.85</v>
      </c>
      <c r="I267" s="13">
        <v>20.190000000000001</v>
      </c>
      <c r="J267" s="13">
        <v>1332.01</v>
      </c>
      <c r="K267" s="13">
        <v>1590.98</v>
      </c>
      <c r="L267" s="13">
        <v>137.86000000000001</v>
      </c>
      <c r="M267" s="13">
        <v>510.26</v>
      </c>
      <c r="N267" s="13">
        <v>438.76</v>
      </c>
      <c r="O267" s="13">
        <v>50.46</v>
      </c>
      <c r="P267" s="13">
        <v>13.74</v>
      </c>
      <c r="Q267" s="13">
        <v>42.63</v>
      </c>
      <c r="R267" s="13">
        <v>4.51</v>
      </c>
      <c r="S267" s="13">
        <v>22.9</v>
      </c>
      <c r="T267" s="13">
        <v>159.04</v>
      </c>
      <c r="U267" s="13">
        <v>5.23</v>
      </c>
      <c r="V267" s="13">
        <v>15.06</v>
      </c>
      <c r="W267" s="13">
        <v>1.88</v>
      </c>
      <c r="X267" s="13">
        <v>11.91</v>
      </c>
      <c r="Y267" s="13">
        <v>2.23</v>
      </c>
      <c r="Z267" s="13"/>
      <c r="AA267" s="13"/>
      <c r="AB267" s="13"/>
      <c r="AC267" s="14">
        <v>340.94594594594599</v>
      </c>
      <c r="AD267" s="14">
        <v>244.04973357015987</v>
      </c>
      <c r="AE267" s="14">
        <v>214.2211055276382</v>
      </c>
      <c r="AF267" s="14">
        <v>124.93074792243766</v>
      </c>
      <c r="AG267" s="15">
        <v>0.87919386758409657</v>
      </c>
      <c r="AH267" s="15">
        <v>0.90303471150222914</v>
      </c>
      <c r="AI267" s="15">
        <v>1.0003029223788711</v>
      </c>
      <c r="AJ267" s="41">
        <f t="shared" si="8"/>
        <v>3499.6099999999997</v>
      </c>
      <c r="AK267" s="44">
        <f t="shared" si="9"/>
        <v>3.2083752515090542</v>
      </c>
      <c r="AL267" s="10"/>
      <c r="AM267" s="10"/>
    </row>
    <row r="268" spans="1:39" s="16" customFormat="1" ht="19" customHeight="1">
      <c r="A268" s="9" t="s">
        <v>331</v>
      </c>
      <c r="B268" s="10" t="s">
        <v>304</v>
      </c>
      <c r="C268" s="10"/>
      <c r="D268" s="10"/>
      <c r="E268" s="28" t="s">
        <v>1341</v>
      </c>
      <c r="F268" s="28" t="s">
        <v>249</v>
      </c>
      <c r="G268" s="12" t="s">
        <v>250</v>
      </c>
      <c r="H268" s="13">
        <v>88.2</v>
      </c>
      <c r="I268" s="13">
        <v>23.94</v>
      </c>
      <c r="J268" s="13">
        <v>1281.6500000000001</v>
      </c>
      <c r="K268" s="13">
        <v>1697.09</v>
      </c>
      <c r="L268" s="13">
        <v>137.96</v>
      </c>
      <c r="M268" s="13">
        <v>560.59</v>
      </c>
      <c r="N268" s="13">
        <v>427.61</v>
      </c>
      <c r="O268" s="13">
        <v>53.59</v>
      </c>
      <c r="P268" s="13">
        <v>12.81</v>
      </c>
      <c r="Q268" s="13">
        <v>40.01</v>
      </c>
      <c r="R268" s="13">
        <v>4.01</v>
      </c>
      <c r="S268" s="13">
        <v>24.48</v>
      </c>
      <c r="T268" s="13">
        <v>150.22</v>
      </c>
      <c r="U268" s="13">
        <v>4.88</v>
      </c>
      <c r="V268" s="13">
        <v>13.53</v>
      </c>
      <c r="W268" s="13">
        <v>1.85</v>
      </c>
      <c r="X268" s="13">
        <v>11.22</v>
      </c>
      <c r="Y268" s="13">
        <v>2.04</v>
      </c>
      <c r="Z268" s="13"/>
      <c r="AA268" s="13"/>
      <c r="AB268" s="13"/>
      <c r="AC268" s="14">
        <v>362.09459459459464</v>
      </c>
      <c r="AD268" s="14">
        <v>227.53108348134992</v>
      </c>
      <c r="AE268" s="14">
        <v>201.05527638190952</v>
      </c>
      <c r="AF268" s="14">
        <v>111.08033240997229</v>
      </c>
      <c r="AG268" s="15">
        <v>0.80806582832669427</v>
      </c>
      <c r="AH268" s="15">
        <v>0.84328034224909776</v>
      </c>
      <c r="AI268" s="15">
        <v>0.93170905680491278</v>
      </c>
      <c r="AJ268" s="41">
        <f t="shared" si="8"/>
        <v>3544.31</v>
      </c>
      <c r="AK268" s="44">
        <f t="shared" si="9"/>
        <v>3.7317933697244046</v>
      </c>
      <c r="AL268" s="10"/>
      <c r="AM268" s="10"/>
    </row>
    <row r="269" spans="1:39" s="16" customFormat="1" ht="19" customHeight="1">
      <c r="A269" s="9" t="s">
        <v>332</v>
      </c>
      <c r="B269" s="10" t="s">
        <v>304</v>
      </c>
      <c r="C269" s="10"/>
      <c r="D269" s="10"/>
      <c r="E269" s="28" t="s">
        <v>1341</v>
      </c>
      <c r="F269" s="28" t="s">
        <v>249</v>
      </c>
      <c r="G269" s="12" t="s">
        <v>250</v>
      </c>
      <c r="H269" s="13">
        <v>105.59</v>
      </c>
      <c r="I269" s="13">
        <v>31.48</v>
      </c>
      <c r="J269" s="13">
        <v>1588.21</v>
      </c>
      <c r="K269" s="13">
        <v>1985.69</v>
      </c>
      <c r="L269" s="13">
        <v>178.37</v>
      </c>
      <c r="M269" s="13">
        <v>510.72</v>
      </c>
      <c r="N269" s="13">
        <v>554.21</v>
      </c>
      <c r="O269" s="13">
        <v>69.08</v>
      </c>
      <c r="P269" s="13">
        <v>16.559999999999999</v>
      </c>
      <c r="Q269" s="13">
        <v>53.18</v>
      </c>
      <c r="R269" s="13">
        <v>6.12</v>
      </c>
      <c r="S269" s="13">
        <v>31.17</v>
      </c>
      <c r="T269" s="13">
        <v>200.62</v>
      </c>
      <c r="U269" s="13">
        <v>6.63</v>
      </c>
      <c r="V269" s="13">
        <v>17.329999999999998</v>
      </c>
      <c r="W269" s="13">
        <v>2.2999999999999998</v>
      </c>
      <c r="X269" s="13">
        <v>14.67</v>
      </c>
      <c r="Y269" s="13">
        <v>2.94</v>
      </c>
      <c r="Z269" s="13"/>
      <c r="AA269" s="13"/>
      <c r="AB269" s="13"/>
      <c r="AC269" s="14">
        <v>466.75675675675677</v>
      </c>
      <c r="AD269" s="14">
        <v>294.13854351687388</v>
      </c>
      <c r="AE269" s="14">
        <v>267.2361809045226</v>
      </c>
      <c r="AF269" s="14">
        <v>169.52908587257619</v>
      </c>
      <c r="AG269" s="15">
        <v>0.80147513259211212</v>
      </c>
      <c r="AH269" s="15">
        <v>0.83283506594085122</v>
      </c>
      <c r="AI269" s="15">
        <v>0.8832360539433679</v>
      </c>
      <c r="AJ269" s="41">
        <f t="shared" si="8"/>
        <v>4306.4799999999996</v>
      </c>
      <c r="AK269" s="44">
        <f t="shared" si="9"/>
        <v>2.5457083042568041</v>
      </c>
      <c r="AL269" s="10"/>
      <c r="AM269" s="10"/>
    </row>
    <row r="270" spans="1:39" s="16" customFormat="1" ht="19" customHeight="1">
      <c r="A270" s="9" t="s">
        <v>333</v>
      </c>
      <c r="B270" s="10" t="s">
        <v>304</v>
      </c>
      <c r="C270" s="10"/>
      <c r="D270" s="10"/>
      <c r="E270" s="28" t="s">
        <v>1341</v>
      </c>
      <c r="F270" s="28" t="s">
        <v>249</v>
      </c>
      <c r="G270" s="12" t="s">
        <v>250</v>
      </c>
      <c r="H270" s="13">
        <v>57.65</v>
      </c>
      <c r="I270" s="13">
        <v>12.11</v>
      </c>
      <c r="J270" s="13">
        <v>1322.22</v>
      </c>
      <c r="K270" s="13">
        <v>1698.44</v>
      </c>
      <c r="L270" s="13">
        <v>147.51</v>
      </c>
      <c r="M270" s="13">
        <v>509.75</v>
      </c>
      <c r="N270" s="13">
        <v>464.81</v>
      </c>
      <c r="O270" s="13">
        <v>57.14</v>
      </c>
      <c r="P270" s="13">
        <v>14.64</v>
      </c>
      <c r="Q270" s="13">
        <v>43.57</v>
      </c>
      <c r="R270" s="13">
        <v>4.68</v>
      </c>
      <c r="S270" s="13">
        <v>26.61</v>
      </c>
      <c r="T270" s="13">
        <v>169.03</v>
      </c>
      <c r="U270" s="13">
        <v>5.27</v>
      </c>
      <c r="V270" s="13">
        <v>15.36</v>
      </c>
      <c r="W270" s="13">
        <v>2.13</v>
      </c>
      <c r="X270" s="13">
        <v>12.8</v>
      </c>
      <c r="Y270" s="13">
        <v>2.4</v>
      </c>
      <c r="Z270" s="13"/>
      <c r="AA270" s="13"/>
      <c r="AB270" s="13"/>
      <c r="AC270" s="14">
        <v>386.08108108108109</v>
      </c>
      <c r="AD270" s="14">
        <v>260.03552397868566</v>
      </c>
      <c r="AE270" s="14">
        <v>218.94472361809045</v>
      </c>
      <c r="AF270" s="14">
        <v>129.63988919667588</v>
      </c>
      <c r="AG270" s="15">
        <v>0.85958490351656802</v>
      </c>
      <c r="AH270" s="15">
        <v>0.89438844509488102</v>
      </c>
      <c r="AI270" s="15">
        <v>0.96902307295494949</v>
      </c>
      <c r="AJ270" s="41">
        <f t="shared" si="8"/>
        <v>3632.98</v>
      </c>
      <c r="AK270" s="44">
        <f t="shared" si="9"/>
        <v>3.0157368514464888</v>
      </c>
      <c r="AL270" s="10"/>
      <c r="AM270" s="10"/>
    </row>
    <row r="271" spans="1:39" s="16" customFormat="1" ht="19" customHeight="1">
      <c r="A271" s="9" t="s">
        <v>334</v>
      </c>
      <c r="B271" s="10" t="s">
        <v>304</v>
      </c>
      <c r="C271" s="10"/>
      <c r="D271" s="10"/>
      <c r="E271" s="28" t="s">
        <v>1341</v>
      </c>
      <c r="F271" s="28" t="s">
        <v>249</v>
      </c>
      <c r="G271" s="12" t="s">
        <v>250</v>
      </c>
      <c r="H271" s="13">
        <v>120.06</v>
      </c>
      <c r="I271" s="13">
        <v>42.71</v>
      </c>
      <c r="J271" s="13">
        <v>1309.54</v>
      </c>
      <c r="K271" s="13">
        <v>1709.45</v>
      </c>
      <c r="L271" s="13">
        <v>148.66</v>
      </c>
      <c r="M271" s="13">
        <v>491.01</v>
      </c>
      <c r="N271" s="13">
        <v>478.79</v>
      </c>
      <c r="O271" s="13">
        <v>60.01</v>
      </c>
      <c r="P271" s="13">
        <v>14.46</v>
      </c>
      <c r="Q271" s="13">
        <v>44.91</v>
      </c>
      <c r="R271" s="13">
        <v>5.1100000000000003</v>
      </c>
      <c r="S271" s="13">
        <v>26.87</v>
      </c>
      <c r="T271" s="13">
        <v>163.78</v>
      </c>
      <c r="U271" s="13">
        <v>5.45</v>
      </c>
      <c r="V271" s="13">
        <v>15.01</v>
      </c>
      <c r="W271" s="13">
        <v>2.0499999999999998</v>
      </c>
      <c r="X271" s="13">
        <v>13.14</v>
      </c>
      <c r="Y271" s="13">
        <v>2.29</v>
      </c>
      <c r="Z271" s="13"/>
      <c r="AA271" s="13"/>
      <c r="AB271" s="13"/>
      <c r="AC271" s="14">
        <v>405.47297297297297</v>
      </c>
      <c r="AD271" s="14">
        <v>256.83836589698052</v>
      </c>
      <c r="AE271" s="14">
        <v>225.67839195979897</v>
      </c>
      <c r="AF271" s="14">
        <v>141.55124653739614</v>
      </c>
      <c r="AG271" s="15">
        <v>0.81387248817670876</v>
      </c>
      <c r="AH271" s="15">
        <v>0.84905134266204663</v>
      </c>
      <c r="AI271" s="15">
        <v>0.89959574244039087</v>
      </c>
      <c r="AJ271" s="41">
        <f t="shared" si="8"/>
        <v>3646.4399999999996</v>
      </c>
      <c r="AK271" s="44">
        <f t="shared" si="9"/>
        <v>2.9979851019660519</v>
      </c>
      <c r="AL271" s="10"/>
      <c r="AM271" s="10"/>
    </row>
    <row r="272" spans="1:39" s="16" customFormat="1" ht="19" customHeight="1">
      <c r="A272" s="9" t="s">
        <v>335</v>
      </c>
      <c r="B272" s="10" t="s">
        <v>304</v>
      </c>
      <c r="C272" s="10"/>
      <c r="D272" s="10"/>
      <c r="E272" s="28" t="s">
        <v>1341</v>
      </c>
      <c r="F272" s="28" t="s">
        <v>249</v>
      </c>
      <c r="G272" s="12" t="s">
        <v>250</v>
      </c>
      <c r="H272" s="13">
        <v>30.83</v>
      </c>
      <c r="I272" s="13">
        <v>16.53</v>
      </c>
      <c r="J272" s="13">
        <v>539.19000000000005</v>
      </c>
      <c r="K272" s="13">
        <v>675.93</v>
      </c>
      <c r="L272" s="13">
        <v>58.91</v>
      </c>
      <c r="M272" s="13">
        <v>528.58000000000004</v>
      </c>
      <c r="N272" s="13">
        <v>183.15</v>
      </c>
      <c r="O272" s="13">
        <v>23.16</v>
      </c>
      <c r="P272" s="13">
        <v>5.03</v>
      </c>
      <c r="Q272" s="13">
        <v>17.010000000000002</v>
      </c>
      <c r="R272" s="13">
        <v>1.96</v>
      </c>
      <c r="S272" s="13">
        <v>10.92</v>
      </c>
      <c r="T272" s="13">
        <v>59.46</v>
      </c>
      <c r="U272" s="13">
        <v>2.0099999999999998</v>
      </c>
      <c r="V272" s="13">
        <v>5.19</v>
      </c>
      <c r="W272" s="13">
        <v>0.71899999999999997</v>
      </c>
      <c r="X272" s="13">
        <v>3.99</v>
      </c>
      <c r="Y272" s="13">
        <v>0.75800000000000001</v>
      </c>
      <c r="Z272" s="13"/>
      <c r="AA272" s="13"/>
      <c r="AB272" s="13"/>
      <c r="AC272" s="14">
        <v>156.48648648648648</v>
      </c>
      <c r="AD272" s="14">
        <v>89.34280639431617</v>
      </c>
      <c r="AE272" s="14">
        <v>85.477386934673376</v>
      </c>
      <c r="AF272" s="14">
        <v>54.293628808864263</v>
      </c>
      <c r="AG272" s="15">
        <v>0.73848054365377913</v>
      </c>
      <c r="AH272" s="15">
        <v>0.77249477704029823</v>
      </c>
      <c r="AI272" s="15">
        <v>0.81250381249127313</v>
      </c>
      <c r="AJ272" s="41">
        <f t="shared" si="8"/>
        <v>1457.18</v>
      </c>
      <c r="AK272" s="44">
        <f t="shared" si="9"/>
        <v>8.8896737302388171</v>
      </c>
      <c r="AL272" s="10"/>
      <c r="AM272" s="10"/>
    </row>
    <row r="273" spans="1:39" s="16" customFormat="1" ht="19" customHeight="1">
      <c r="A273" s="9" t="s">
        <v>326</v>
      </c>
      <c r="B273" s="10" t="s">
        <v>304</v>
      </c>
      <c r="C273" s="10"/>
      <c r="D273" s="10"/>
      <c r="E273" s="28" t="s">
        <v>1341</v>
      </c>
      <c r="F273" s="28" t="s">
        <v>249</v>
      </c>
      <c r="G273" s="12" t="s">
        <v>250</v>
      </c>
      <c r="H273" s="13">
        <v>43</v>
      </c>
      <c r="I273" s="13">
        <v>16.43</v>
      </c>
      <c r="J273" s="13">
        <v>679.31</v>
      </c>
      <c r="K273" s="13">
        <v>932.3</v>
      </c>
      <c r="L273" s="13">
        <v>81.62</v>
      </c>
      <c r="M273" s="13">
        <v>524.66</v>
      </c>
      <c r="N273" s="13">
        <v>262.5</v>
      </c>
      <c r="O273" s="13">
        <v>31.59</v>
      </c>
      <c r="P273" s="13">
        <v>8.24</v>
      </c>
      <c r="Q273" s="13">
        <v>24.3</v>
      </c>
      <c r="R273" s="13">
        <v>2.57</v>
      </c>
      <c r="S273" s="13">
        <v>13.88</v>
      </c>
      <c r="T273" s="13">
        <v>85.77</v>
      </c>
      <c r="U273" s="13">
        <v>2.97</v>
      </c>
      <c r="V273" s="13">
        <v>7.66</v>
      </c>
      <c r="W273" s="13">
        <v>1.026</v>
      </c>
      <c r="X273" s="13">
        <v>7.01</v>
      </c>
      <c r="Y273" s="13">
        <v>1.26</v>
      </c>
      <c r="Z273" s="13"/>
      <c r="AA273" s="13"/>
      <c r="AB273" s="13"/>
      <c r="AC273" s="14">
        <v>213.44594594594597</v>
      </c>
      <c r="AD273" s="14">
        <v>146.35879218472471</v>
      </c>
      <c r="AE273" s="14">
        <v>122.11055276381909</v>
      </c>
      <c r="AF273" s="14">
        <v>71.19113573407202</v>
      </c>
      <c r="AG273" s="15">
        <v>0.87233472006939572</v>
      </c>
      <c r="AH273" s="15">
        <v>0.90656356984066278</v>
      </c>
      <c r="AI273" s="15">
        <v>0.98874637190691483</v>
      </c>
      <c r="AJ273" s="41">
        <f t="shared" si="8"/>
        <v>1955.73</v>
      </c>
      <c r="AK273" s="44">
        <f t="shared" si="9"/>
        <v>6.1170572461233528</v>
      </c>
      <c r="AL273" s="10"/>
      <c r="AM273" s="10"/>
    </row>
    <row r="274" spans="1:39" s="16" customFormat="1" ht="19" customHeight="1">
      <c r="A274" s="9" t="s">
        <v>336</v>
      </c>
      <c r="B274" s="10" t="s">
        <v>304</v>
      </c>
      <c r="C274" s="10"/>
      <c r="D274" s="10"/>
      <c r="E274" s="28" t="s">
        <v>1341</v>
      </c>
      <c r="F274" s="28" t="s">
        <v>249</v>
      </c>
      <c r="G274" s="12" t="s">
        <v>250</v>
      </c>
      <c r="H274" s="13">
        <v>231.72</v>
      </c>
      <c r="I274" s="13">
        <v>73.75</v>
      </c>
      <c r="J274" s="13">
        <v>2672.44</v>
      </c>
      <c r="K274" s="13">
        <v>3473.93</v>
      </c>
      <c r="L274" s="13">
        <v>301.13</v>
      </c>
      <c r="M274" s="13">
        <v>505.38</v>
      </c>
      <c r="N274" s="13">
        <v>967.98</v>
      </c>
      <c r="O274" s="13">
        <v>113.63</v>
      </c>
      <c r="P274" s="13">
        <v>29.72</v>
      </c>
      <c r="Q274" s="13">
        <v>89.47</v>
      </c>
      <c r="R274" s="13">
        <v>9.7799999999999994</v>
      </c>
      <c r="S274" s="13">
        <v>55.62</v>
      </c>
      <c r="T274" s="13">
        <v>330.59</v>
      </c>
      <c r="U274" s="13">
        <v>11.1</v>
      </c>
      <c r="V274" s="13">
        <v>29.74</v>
      </c>
      <c r="W274" s="13">
        <v>3.93</v>
      </c>
      <c r="X274" s="13">
        <v>25.91</v>
      </c>
      <c r="Y274" s="13">
        <v>4.67</v>
      </c>
      <c r="Z274" s="13"/>
      <c r="AA274" s="13"/>
      <c r="AB274" s="13"/>
      <c r="AC274" s="14">
        <v>767.77027027027032</v>
      </c>
      <c r="AD274" s="14">
        <v>527.88632326820607</v>
      </c>
      <c r="AE274" s="14">
        <v>449.59798994974869</v>
      </c>
      <c r="AF274" s="14">
        <v>270.91412742382272</v>
      </c>
      <c r="AG274" s="15">
        <v>0.86725823321991236</v>
      </c>
      <c r="AH274" s="15">
        <v>0.89848862682486497</v>
      </c>
      <c r="AI274" s="15">
        <v>0.97299139331775963</v>
      </c>
      <c r="AJ274" s="41">
        <f t="shared" si="8"/>
        <v>7415.48</v>
      </c>
      <c r="AK274" s="44">
        <f t="shared" si="9"/>
        <v>1.5287213769321517</v>
      </c>
      <c r="AL274" s="10"/>
      <c r="AM274" s="10"/>
    </row>
    <row r="275" spans="1:39" s="16" customFormat="1" ht="19" customHeight="1">
      <c r="A275" s="9" t="s">
        <v>337</v>
      </c>
      <c r="B275" s="10" t="s">
        <v>304</v>
      </c>
      <c r="C275" s="10"/>
      <c r="D275" s="10"/>
      <c r="E275" s="28" t="s">
        <v>1341</v>
      </c>
      <c r="F275" s="28" t="s">
        <v>249</v>
      </c>
      <c r="G275" s="12" t="s">
        <v>250</v>
      </c>
      <c r="H275" s="13">
        <v>38.14</v>
      </c>
      <c r="I275" s="13">
        <v>16.23</v>
      </c>
      <c r="J275" s="13">
        <v>313.19</v>
      </c>
      <c r="K275" s="13">
        <v>1130.3</v>
      </c>
      <c r="L275" s="13">
        <v>195.99</v>
      </c>
      <c r="M275" s="13">
        <v>91.71</v>
      </c>
      <c r="N275" s="13">
        <v>967.48</v>
      </c>
      <c r="O275" s="13">
        <v>323.20999999999998</v>
      </c>
      <c r="P275" s="13">
        <v>7.34</v>
      </c>
      <c r="Q275" s="13">
        <v>445.95</v>
      </c>
      <c r="R275" s="13">
        <v>65.739999999999995</v>
      </c>
      <c r="S275" s="13">
        <v>514.52</v>
      </c>
      <c r="T275" s="13">
        <v>3128.76</v>
      </c>
      <c r="U275" s="13">
        <v>119.28</v>
      </c>
      <c r="V275" s="13">
        <v>301.93</v>
      </c>
      <c r="W275" s="13">
        <v>41.21</v>
      </c>
      <c r="X275" s="13">
        <v>252.62</v>
      </c>
      <c r="Y275" s="13">
        <v>33.200000000000003</v>
      </c>
      <c r="Z275" s="13"/>
      <c r="AA275" s="13"/>
      <c r="AB275" s="13"/>
      <c r="AC275" s="14">
        <v>2183.8513513513512</v>
      </c>
      <c r="AD275" s="14">
        <v>130.37300177619895</v>
      </c>
      <c r="AE275" s="14">
        <v>2240.9547738693464</v>
      </c>
      <c r="AF275" s="14">
        <v>1821.0526315789473</v>
      </c>
      <c r="AG275" s="15">
        <v>5.8928232372981677E-2</v>
      </c>
      <c r="AH275" s="15">
        <v>5.89331401345368E-2</v>
      </c>
      <c r="AI275" s="15">
        <v>6.3425629101477088E-2</v>
      </c>
      <c r="AJ275" s="41">
        <f t="shared" si="8"/>
        <v>2606.96</v>
      </c>
      <c r="AK275" s="44">
        <f t="shared" si="9"/>
        <v>2.9311931883557699E-2</v>
      </c>
      <c r="AL275" s="10"/>
      <c r="AM275" s="10"/>
    </row>
    <row r="276" spans="1:39" s="16" customFormat="1" ht="19" customHeight="1">
      <c r="A276" s="9" t="s">
        <v>338</v>
      </c>
      <c r="B276" s="10" t="s">
        <v>304</v>
      </c>
      <c r="C276" s="10"/>
      <c r="D276" s="10"/>
      <c r="E276" s="28" t="s">
        <v>1341</v>
      </c>
      <c r="F276" s="28" t="s">
        <v>249</v>
      </c>
      <c r="G276" s="12" t="s">
        <v>250</v>
      </c>
      <c r="H276" s="13">
        <v>29.15</v>
      </c>
      <c r="I276" s="13">
        <v>55.32</v>
      </c>
      <c r="J276" s="13">
        <v>251.18</v>
      </c>
      <c r="K276" s="13">
        <v>930.19</v>
      </c>
      <c r="L276" s="13">
        <v>127.86</v>
      </c>
      <c r="M276" s="13">
        <v>240.04</v>
      </c>
      <c r="N276" s="13">
        <v>643.69000000000005</v>
      </c>
      <c r="O276" s="13">
        <v>134.99</v>
      </c>
      <c r="P276" s="13">
        <v>18.11</v>
      </c>
      <c r="Q276" s="13">
        <v>122.3</v>
      </c>
      <c r="R276" s="13">
        <v>15.6</v>
      </c>
      <c r="S276" s="13">
        <v>99.99</v>
      </c>
      <c r="T276" s="13">
        <v>548.55999999999995</v>
      </c>
      <c r="U276" s="13">
        <v>21.44</v>
      </c>
      <c r="V276" s="13">
        <v>55.81</v>
      </c>
      <c r="W276" s="13">
        <v>7.2</v>
      </c>
      <c r="X276" s="13">
        <v>48.09</v>
      </c>
      <c r="Y276" s="13">
        <v>7.3</v>
      </c>
      <c r="Z276" s="13"/>
      <c r="AA276" s="13"/>
      <c r="AB276" s="13"/>
      <c r="AC276" s="14">
        <v>912.0945945945947</v>
      </c>
      <c r="AD276" s="14">
        <v>321.66962699822381</v>
      </c>
      <c r="AE276" s="14">
        <v>614.57286432160799</v>
      </c>
      <c r="AF276" s="14">
        <v>432.13296398891964</v>
      </c>
      <c r="AG276" s="15">
        <v>0.42140103939410678</v>
      </c>
      <c r="AH276" s="15">
        <v>0.42963873002442127</v>
      </c>
      <c r="AI276" s="15">
        <v>0.45238792286210522</v>
      </c>
      <c r="AJ276" s="41">
        <f t="shared" si="8"/>
        <v>1952.92</v>
      </c>
      <c r="AK276" s="44">
        <f t="shared" si="9"/>
        <v>0.43758203295901998</v>
      </c>
      <c r="AL276" s="10"/>
      <c r="AM276" s="10"/>
    </row>
    <row r="277" spans="1:39" s="16" customFormat="1" ht="19" customHeight="1">
      <c r="A277" s="9" t="s">
        <v>339</v>
      </c>
      <c r="B277" s="10" t="s">
        <v>304</v>
      </c>
      <c r="C277" s="10"/>
      <c r="D277" s="10"/>
      <c r="E277" s="28" t="s">
        <v>1341</v>
      </c>
      <c r="F277" s="28" t="s">
        <v>249</v>
      </c>
      <c r="G277" s="12" t="s">
        <v>250</v>
      </c>
      <c r="H277" s="13">
        <v>16.350000000000001</v>
      </c>
      <c r="I277" s="13">
        <v>51.12</v>
      </c>
      <c r="J277" s="13">
        <v>210.27</v>
      </c>
      <c r="K277" s="13">
        <v>991.67</v>
      </c>
      <c r="L277" s="13">
        <v>194.34</v>
      </c>
      <c r="M277" s="13">
        <v>238.61</v>
      </c>
      <c r="N277" s="13">
        <v>998.03</v>
      </c>
      <c r="O277" s="13">
        <v>227.17</v>
      </c>
      <c r="P277" s="13">
        <v>30.82</v>
      </c>
      <c r="Q277" s="13">
        <v>210.15</v>
      </c>
      <c r="R277" s="13">
        <v>27.8</v>
      </c>
      <c r="S277" s="13">
        <v>165.69</v>
      </c>
      <c r="T277" s="13">
        <v>977.22</v>
      </c>
      <c r="U277" s="13">
        <v>35</v>
      </c>
      <c r="V277" s="13">
        <v>93.61</v>
      </c>
      <c r="W277" s="13">
        <v>12.67</v>
      </c>
      <c r="X277" s="13">
        <v>85.88</v>
      </c>
      <c r="Y277" s="13">
        <v>12.72</v>
      </c>
      <c r="Z277" s="13"/>
      <c r="AA277" s="13"/>
      <c r="AB277" s="13"/>
      <c r="AC277" s="14">
        <v>1534.9324324324325</v>
      </c>
      <c r="AD277" s="14">
        <v>547.42451154529317</v>
      </c>
      <c r="AE277" s="14">
        <v>1056.0301507537688</v>
      </c>
      <c r="AF277" s="14">
        <v>770.08310249307476</v>
      </c>
      <c r="AG277" s="15">
        <v>0.42256458282937087</v>
      </c>
      <c r="AH277" s="15">
        <v>0.42997326154883864</v>
      </c>
      <c r="AI277" s="15">
        <v>0.44883377812542258</v>
      </c>
      <c r="AJ277" s="41">
        <f t="shared" si="8"/>
        <v>2394.31</v>
      </c>
      <c r="AK277" s="44">
        <f t="shared" si="9"/>
        <v>0.24417224371175375</v>
      </c>
      <c r="AL277" s="10"/>
      <c r="AM277" s="10"/>
    </row>
    <row r="278" spans="1:39" s="16" customFormat="1" ht="19" customHeight="1">
      <c r="A278" s="9" t="s">
        <v>340</v>
      </c>
      <c r="B278" s="10" t="s">
        <v>304</v>
      </c>
      <c r="C278" s="10"/>
      <c r="D278" s="10"/>
      <c r="E278" s="28" t="s">
        <v>1341</v>
      </c>
      <c r="F278" s="28" t="s">
        <v>249</v>
      </c>
      <c r="G278" s="12" t="s">
        <v>250</v>
      </c>
      <c r="H278" s="13">
        <v>106.21</v>
      </c>
      <c r="I278" s="13">
        <v>16.72</v>
      </c>
      <c r="J278" s="13">
        <v>1986.5</v>
      </c>
      <c r="K278" s="13">
        <v>3926.32</v>
      </c>
      <c r="L278" s="13">
        <v>457.02</v>
      </c>
      <c r="M278" s="13">
        <v>1826.36</v>
      </c>
      <c r="N278" s="13">
        <v>1645.31</v>
      </c>
      <c r="O278" s="13">
        <v>272.35000000000002</v>
      </c>
      <c r="P278" s="13">
        <v>40.78</v>
      </c>
      <c r="Q278" s="13">
        <v>214.67</v>
      </c>
      <c r="R278" s="13">
        <v>24.2</v>
      </c>
      <c r="S278" s="13">
        <v>126.79</v>
      </c>
      <c r="T278" s="13">
        <v>692.71</v>
      </c>
      <c r="U278" s="13">
        <v>23.27</v>
      </c>
      <c r="V278" s="13">
        <v>59.1</v>
      </c>
      <c r="W278" s="13">
        <v>7.05</v>
      </c>
      <c r="X278" s="13">
        <v>43.03</v>
      </c>
      <c r="Y278" s="13">
        <v>5.84</v>
      </c>
      <c r="Z278" s="13"/>
      <c r="AA278" s="13"/>
      <c r="AB278" s="13"/>
      <c r="AC278" s="14">
        <v>1840.2027027027029</v>
      </c>
      <c r="AD278" s="14">
        <v>724.33392539964484</v>
      </c>
      <c r="AE278" s="14">
        <v>1078.7437185929648</v>
      </c>
      <c r="AF278" s="14">
        <v>670.36011080332412</v>
      </c>
      <c r="AG278" s="15">
        <v>0.49629819863437308</v>
      </c>
      <c r="AH278" s="15">
        <v>0.51409911298177935</v>
      </c>
      <c r="AI278" s="15">
        <v>0.55113627431657863</v>
      </c>
      <c r="AJ278" s="41">
        <f t="shared" si="8"/>
        <v>8015.15</v>
      </c>
      <c r="AK278" s="44">
        <f t="shared" si="9"/>
        <v>2.6365434308729481</v>
      </c>
      <c r="AL278" s="10"/>
      <c r="AM278" s="10"/>
    </row>
    <row r="279" spans="1:39" s="16" customFormat="1" ht="19" customHeight="1">
      <c r="A279" s="9" t="s">
        <v>341</v>
      </c>
      <c r="B279" s="10" t="s">
        <v>304</v>
      </c>
      <c r="C279" s="10"/>
      <c r="D279" s="10"/>
      <c r="E279" s="28" t="s">
        <v>1341</v>
      </c>
      <c r="F279" s="28" t="s">
        <v>249</v>
      </c>
      <c r="G279" s="12" t="s">
        <v>250</v>
      </c>
      <c r="H279" s="13">
        <v>24.95</v>
      </c>
      <c r="I279" s="13">
        <v>16.079999999999998</v>
      </c>
      <c r="J279" s="13">
        <v>1385.54</v>
      </c>
      <c r="K279" s="13">
        <v>3530.22</v>
      </c>
      <c r="L279" s="13">
        <v>479.66</v>
      </c>
      <c r="M279" s="13">
        <v>70.349999999999994</v>
      </c>
      <c r="N279" s="13">
        <v>2089.46</v>
      </c>
      <c r="O279" s="13">
        <v>498.78</v>
      </c>
      <c r="P279" s="13">
        <v>6.81</v>
      </c>
      <c r="Q279" s="13">
        <v>507.79</v>
      </c>
      <c r="R279" s="13">
        <v>79.510000000000005</v>
      </c>
      <c r="S279" s="13">
        <v>512.12</v>
      </c>
      <c r="T279" s="13">
        <v>2895.65</v>
      </c>
      <c r="U279" s="13">
        <v>100.19</v>
      </c>
      <c r="V279" s="13">
        <v>258.98</v>
      </c>
      <c r="W279" s="13">
        <v>34.89</v>
      </c>
      <c r="X279" s="13">
        <v>224.83</v>
      </c>
      <c r="Y279" s="13">
        <v>29.65</v>
      </c>
      <c r="Z279" s="13"/>
      <c r="AA279" s="13"/>
      <c r="AB279" s="13"/>
      <c r="AC279" s="14">
        <v>3370.135135135135</v>
      </c>
      <c r="AD279" s="14">
        <v>120.95914742451154</v>
      </c>
      <c r="AE279" s="14">
        <v>2551.708542713568</v>
      </c>
      <c r="AF279" s="14">
        <v>2202.493074792244</v>
      </c>
      <c r="AG279" s="15">
        <v>4.0851854255110558E-2</v>
      </c>
      <c r="AH279" s="15">
        <v>4.1247679915021151E-2</v>
      </c>
      <c r="AI279" s="15">
        <v>4.1358900985639477E-2</v>
      </c>
      <c r="AJ279" s="41">
        <f t="shared" si="8"/>
        <v>7484.88</v>
      </c>
      <c r="AK279" s="44">
        <f t="shared" si="9"/>
        <v>2.4295063284582044E-2</v>
      </c>
      <c r="AL279" s="10"/>
      <c r="AM279" s="10"/>
    </row>
    <row r="280" spans="1:39" s="16" customFormat="1" ht="19" customHeight="1">
      <c r="A280" s="9" t="s">
        <v>342</v>
      </c>
      <c r="B280" s="10" t="s">
        <v>304</v>
      </c>
      <c r="C280" s="10"/>
      <c r="D280" s="10"/>
      <c r="E280" s="28" t="s">
        <v>1341</v>
      </c>
      <c r="F280" s="28" t="s">
        <v>249</v>
      </c>
      <c r="G280" s="12" t="s">
        <v>250</v>
      </c>
      <c r="H280" s="13">
        <v>15.18</v>
      </c>
      <c r="I280" s="13">
        <v>4.67</v>
      </c>
      <c r="J280" s="13">
        <v>476.65</v>
      </c>
      <c r="K280" s="13">
        <v>1429.56</v>
      </c>
      <c r="L280" s="13">
        <v>226.83</v>
      </c>
      <c r="M280" s="13">
        <v>184.79</v>
      </c>
      <c r="N280" s="13">
        <v>1119.58</v>
      </c>
      <c r="O280" s="13">
        <v>271.24</v>
      </c>
      <c r="P280" s="13">
        <v>7.41</v>
      </c>
      <c r="Q280" s="13">
        <v>292.54000000000002</v>
      </c>
      <c r="R280" s="13">
        <v>40.43</v>
      </c>
      <c r="S280" s="13">
        <v>240.71</v>
      </c>
      <c r="T280" s="13">
        <v>1240.8399999999999</v>
      </c>
      <c r="U280" s="13">
        <v>46.9</v>
      </c>
      <c r="V280" s="13">
        <v>117.1</v>
      </c>
      <c r="W280" s="13">
        <v>12.96</v>
      </c>
      <c r="X280" s="13">
        <v>70.290000000000006</v>
      </c>
      <c r="Y280" s="13">
        <v>8.48</v>
      </c>
      <c r="Z280" s="13"/>
      <c r="AA280" s="13"/>
      <c r="AB280" s="13"/>
      <c r="AC280" s="14">
        <v>1832.7027027027029</v>
      </c>
      <c r="AD280" s="14">
        <v>131.6163410301954</v>
      </c>
      <c r="AE280" s="14">
        <v>1470.0502512562814</v>
      </c>
      <c r="AF280" s="14">
        <v>1119.9445983379501</v>
      </c>
      <c r="AG280" s="15">
        <v>7.9700990576620584E-2</v>
      </c>
      <c r="AH280" s="15">
        <v>8.0185845458316668E-2</v>
      </c>
      <c r="AI280" s="15">
        <v>8.4628430527939488E-2</v>
      </c>
      <c r="AJ280" s="41">
        <f t="shared" si="8"/>
        <v>3252.62</v>
      </c>
      <c r="AK280" s="44">
        <f t="shared" si="9"/>
        <v>0.14892331001579576</v>
      </c>
      <c r="AL280" s="10"/>
      <c r="AM280" s="10"/>
    </row>
    <row r="281" spans="1:39" s="16" customFormat="1" ht="19" customHeight="1">
      <c r="A281" s="9" t="s">
        <v>343</v>
      </c>
      <c r="B281" s="10" t="s">
        <v>304</v>
      </c>
      <c r="C281" s="10"/>
      <c r="D281" s="10"/>
      <c r="E281" s="11" t="s">
        <v>1341</v>
      </c>
      <c r="F281" s="11" t="s">
        <v>249</v>
      </c>
      <c r="G281" s="12" t="s">
        <v>250</v>
      </c>
      <c r="H281" s="13">
        <v>55.96</v>
      </c>
      <c r="I281" s="13">
        <v>10.35</v>
      </c>
      <c r="J281" s="13">
        <v>1353.53</v>
      </c>
      <c r="K281" s="13">
        <v>3430.38</v>
      </c>
      <c r="L281" s="13">
        <v>439.94</v>
      </c>
      <c r="M281" s="13">
        <v>580.69000000000005</v>
      </c>
      <c r="N281" s="13">
        <v>1839.08</v>
      </c>
      <c r="O281" s="13">
        <v>307.39</v>
      </c>
      <c r="P281" s="13">
        <v>12.77</v>
      </c>
      <c r="Q281" s="13">
        <v>231.03</v>
      </c>
      <c r="R281" s="13">
        <v>26.14</v>
      </c>
      <c r="S281" s="13">
        <v>139.30000000000001</v>
      </c>
      <c r="T281" s="13">
        <v>682.5</v>
      </c>
      <c r="U281" s="13">
        <v>23.87</v>
      </c>
      <c r="V281" s="13">
        <v>57.37</v>
      </c>
      <c r="W281" s="13">
        <v>6.67</v>
      </c>
      <c r="X281" s="13">
        <v>35.01</v>
      </c>
      <c r="Y281" s="13">
        <v>4.45</v>
      </c>
      <c r="Z281" s="13"/>
      <c r="AA281" s="13"/>
      <c r="AB281" s="13"/>
      <c r="AC281" s="14">
        <v>2076.9594594594596</v>
      </c>
      <c r="AD281" s="14">
        <v>226.82060390763766</v>
      </c>
      <c r="AE281" s="14">
        <v>1160.9547738693466</v>
      </c>
      <c r="AF281" s="14">
        <v>724.09972299168976</v>
      </c>
      <c r="AG281" s="15">
        <v>0.14010291043098441</v>
      </c>
      <c r="AH281" s="15">
        <v>0.14606993694413523</v>
      </c>
      <c r="AI281" s="15">
        <v>0.15516640417718053</v>
      </c>
      <c r="AJ281" s="41">
        <f t="shared" si="8"/>
        <v>7062.9299999999994</v>
      </c>
      <c r="AK281" s="44">
        <f t="shared" si="9"/>
        <v>0.85082783882783886</v>
      </c>
      <c r="AL281" s="10"/>
      <c r="AM281" s="10"/>
    </row>
    <row r="282" spans="1:39" s="16" customFormat="1" ht="19" customHeight="1">
      <c r="A282" s="9" t="s">
        <v>344</v>
      </c>
      <c r="B282" s="10" t="s">
        <v>304</v>
      </c>
      <c r="C282" s="10"/>
      <c r="D282" s="10"/>
      <c r="E282" s="11" t="s">
        <v>1341</v>
      </c>
      <c r="F282" s="11" t="s">
        <v>249</v>
      </c>
      <c r="G282" s="12" t="s">
        <v>250</v>
      </c>
      <c r="H282" s="13">
        <v>65.16</v>
      </c>
      <c r="I282" s="13">
        <v>15.99</v>
      </c>
      <c r="J282" s="13">
        <v>1520.12</v>
      </c>
      <c r="K282" s="13">
        <v>3925.37</v>
      </c>
      <c r="L282" s="13">
        <v>476.04</v>
      </c>
      <c r="M282" s="13">
        <v>753.92</v>
      </c>
      <c r="N282" s="13">
        <v>1823.94</v>
      </c>
      <c r="O282" s="13">
        <v>289.86</v>
      </c>
      <c r="P282" s="13">
        <v>12.92</v>
      </c>
      <c r="Q282" s="13">
        <v>213.27</v>
      </c>
      <c r="R282" s="13">
        <v>23.94</v>
      </c>
      <c r="S282" s="13">
        <v>121.81</v>
      </c>
      <c r="T282" s="13">
        <v>612.69000000000005</v>
      </c>
      <c r="U282" s="13">
        <v>22.45</v>
      </c>
      <c r="V282" s="13">
        <v>52.94</v>
      </c>
      <c r="W282" s="13">
        <v>6.52</v>
      </c>
      <c r="X282" s="13">
        <v>39.75</v>
      </c>
      <c r="Y282" s="13">
        <v>5.59</v>
      </c>
      <c r="Z282" s="13"/>
      <c r="AA282" s="13"/>
      <c r="AB282" s="13"/>
      <c r="AC282" s="14">
        <v>1958.5135135135138</v>
      </c>
      <c r="AD282" s="14">
        <v>229.48490230905864</v>
      </c>
      <c r="AE282" s="14">
        <v>1071.7085427135678</v>
      </c>
      <c r="AF282" s="14">
        <v>663.15789473684208</v>
      </c>
      <c r="AG282" s="15">
        <v>0.15146408286314797</v>
      </c>
      <c r="AH282" s="15">
        <v>0.15839901853335436</v>
      </c>
      <c r="AI282" s="15">
        <v>0.16811149981418388</v>
      </c>
      <c r="AJ282" s="41">
        <f t="shared" si="8"/>
        <v>7745.4699999999993</v>
      </c>
      <c r="AK282" s="44">
        <f t="shared" si="9"/>
        <v>1.2305080872872087</v>
      </c>
      <c r="AL282" s="10"/>
      <c r="AM282" s="10"/>
    </row>
    <row r="283" spans="1:39" s="16" customFormat="1" ht="19" customHeight="1">
      <c r="A283" s="9" t="s">
        <v>345</v>
      </c>
      <c r="B283" s="10" t="s">
        <v>304</v>
      </c>
      <c r="C283" s="10"/>
      <c r="D283" s="10"/>
      <c r="E283" s="11" t="s">
        <v>1341</v>
      </c>
      <c r="F283" s="11" t="s">
        <v>249</v>
      </c>
      <c r="G283" s="12" t="s">
        <v>250</v>
      </c>
      <c r="H283" s="13">
        <v>72.680000000000007</v>
      </c>
      <c r="I283" s="13">
        <v>29.65</v>
      </c>
      <c r="J283" s="13">
        <v>1559.6</v>
      </c>
      <c r="K283" s="13">
        <v>4005.94</v>
      </c>
      <c r="L283" s="13">
        <v>492.91</v>
      </c>
      <c r="M283" s="13">
        <v>609.73</v>
      </c>
      <c r="N283" s="13">
        <v>1846.54</v>
      </c>
      <c r="O283" s="13">
        <v>296.83</v>
      </c>
      <c r="P283" s="13">
        <v>13.52</v>
      </c>
      <c r="Q283" s="13">
        <v>226.39</v>
      </c>
      <c r="R283" s="13">
        <v>25.17</v>
      </c>
      <c r="S283" s="13">
        <v>134.09</v>
      </c>
      <c r="T283" s="13">
        <v>723.41</v>
      </c>
      <c r="U283" s="13">
        <v>24.5</v>
      </c>
      <c r="V283" s="13">
        <v>61.09</v>
      </c>
      <c r="W283" s="13">
        <v>7.66</v>
      </c>
      <c r="X283" s="13">
        <v>45.44</v>
      </c>
      <c r="Y283" s="13">
        <v>6.28</v>
      </c>
      <c r="Z283" s="13"/>
      <c r="AA283" s="13"/>
      <c r="AB283" s="13"/>
      <c r="AC283" s="14">
        <v>2005.6081081081081</v>
      </c>
      <c r="AD283" s="14">
        <v>240.14209591474247</v>
      </c>
      <c r="AE283" s="14">
        <v>1137.6381909547738</v>
      </c>
      <c r="AF283" s="14">
        <v>697.229916897507</v>
      </c>
      <c r="AG283" s="15">
        <v>0.15279877748449922</v>
      </c>
      <c r="AH283" s="15">
        <v>0.1589802504737273</v>
      </c>
      <c r="AI283" s="15">
        <v>0.17028598588226268</v>
      </c>
      <c r="AJ283" s="41">
        <f t="shared" si="8"/>
        <v>7904.99</v>
      </c>
      <c r="AK283" s="44">
        <f t="shared" si="9"/>
        <v>0.84285536556033236</v>
      </c>
      <c r="AL283" s="10"/>
      <c r="AM283" s="10"/>
    </row>
    <row r="284" spans="1:39" s="16" customFormat="1" ht="19" customHeight="1">
      <c r="A284" s="9" t="s">
        <v>346</v>
      </c>
      <c r="B284" s="10" t="s">
        <v>304</v>
      </c>
      <c r="C284" s="10"/>
      <c r="D284" s="10"/>
      <c r="E284" s="11" t="s">
        <v>1341</v>
      </c>
      <c r="F284" s="11" t="s">
        <v>249</v>
      </c>
      <c r="G284" s="12" t="s">
        <v>250</v>
      </c>
      <c r="H284" s="13">
        <v>45.79</v>
      </c>
      <c r="I284" s="13">
        <v>24.12</v>
      </c>
      <c r="J284" s="13">
        <v>1517.86</v>
      </c>
      <c r="K284" s="13">
        <v>3890.86</v>
      </c>
      <c r="L284" s="13">
        <v>472.67</v>
      </c>
      <c r="M284" s="13">
        <v>619.51</v>
      </c>
      <c r="N284" s="13">
        <v>1845.27</v>
      </c>
      <c r="O284" s="13">
        <v>309.08</v>
      </c>
      <c r="P284" s="13">
        <v>11.2</v>
      </c>
      <c r="Q284" s="13">
        <v>229.93</v>
      </c>
      <c r="R284" s="13">
        <v>26.46</v>
      </c>
      <c r="S284" s="13">
        <v>139.11000000000001</v>
      </c>
      <c r="T284" s="13">
        <v>704.77</v>
      </c>
      <c r="U284" s="13">
        <v>25.9</v>
      </c>
      <c r="V284" s="13">
        <v>62.08</v>
      </c>
      <c r="W284" s="13">
        <v>8.19</v>
      </c>
      <c r="X284" s="13">
        <v>50.07</v>
      </c>
      <c r="Y284" s="13">
        <v>6.48</v>
      </c>
      <c r="Z284" s="13"/>
      <c r="AA284" s="13"/>
      <c r="AB284" s="13"/>
      <c r="AC284" s="14">
        <v>2088.3783783783783</v>
      </c>
      <c r="AD284" s="14">
        <v>198.93428063943162</v>
      </c>
      <c r="AE284" s="14">
        <v>1155.427135678392</v>
      </c>
      <c r="AF284" s="14">
        <v>732.9639889196676</v>
      </c>
      <c r="AG284" s="15">
        <v>0.1226548754401988</v>
      </c>
      <c r="AH284" s="15">
        <v>0.12806597264913597</v>
      </c>
      <c r="AI284" s="15">
        <v>0.13504420629627706</v>
      </c>
      <c r="AJ284" s="41">
        <f t="shared" si="8"/>
        <v>7726.66</v>
      </c>
      <c r="AK284" s="44">
        <f t="shared" si="9"/>
        <v>0.87902436255799765</v>
      </c>
      <c r="AL284" s="10"/>
      <c r="AM284" s="10"/>
    </row>
    <row r="285" spans="1:39" s="16" customFormat="1" ht="19" customHeight="1">
      <c r="A285" s="9" t="s">
        <v>347</v>
      </c>
      <c r="B285" s="10" t="s">
        <v>304</v>
      </c>
      <c r="C285" s="10"/>
      <c r="D285" s="10"/>
      <c r="E285" s="11" t="s">
        <v>1341</v>
      </c>
      <c r="F285" s="11" t="s">
        <v>249</v>
      </c>
      <c r="G285" s="12" t="s">
        <v>250</v>
      </c>
      <c r="H285" s="13">
        <v>72.52</v>
      </c>
      <c r="I285" s="13">
        <v>36.590000000000003</v>
      </c>
      <c r="J285" s="13">
        <v>1599.6</v>
      </c>
      <c r="K285" s="13">
        <v>4156.8900000000003</v>
      </c>
      <c r="L285" s="13">
        <v>545.66</v>
      </c>
      <c r="M285" s="13">
        <v>689.7</v>
      </c>
      <c r="N285" s="13">
        <v>2149.39</v>
      </c>
      <c r="O285" s="13">
        <v>354.68</v>
      </c>
      <c r="P285" s="13">
        <v>18.809999999999999</v>
      </c>
      <c r="Q285" s="13">
        <v>263.43</v>
      </c>
      <c r="R285" s="13">
        <v>32.020000000000003</v>
      </c>
      <c r="S285" s="13">
        <v>174.3</v>
      </c>
      <c r="T285" s="13">
        <v>913.22</v>
      </c>
      <c r="U285" s="13">
        <v>31.84</v>
      </c>
      <c r="V285" s="13">
        <v>80.47</v>
      </c>
      <c r="W285" s="13">
        <v>10.68</v>
      </c>
      <c r="X285" s="13">
        <v>68.19</v>
      </c>
      <c r="Y285" s="13">
        <v>9.76</v>
      </c>
      <c r="Z285" s="13"/>
      <c r="AA285" s="13"/>
      <c r="AB285" s="13"/>
      <c r="AC285" s="14">
        <v>2396.4864864864867</v>
      </c>
      <c r="AD285" s="14">
        <v>334.10301953818828</v>
      </c>
      <c r="AE285" s="14">
        <v>1323.7688442211054</v>
      </c>
      <c r="AF285" s="14">
        <v>886.9806094182826</v>
      </c>
      <c r="AG285" s="15">
        <v>0.17961295117593012</v>
      </c>
      <c r="AH285" s="15">
        <v>0.18758012924961112</v>
      </c>
      <c r="AI285" s="15">
        <v>0.19417457780194936</v>
      </c>
      <c r="AJ285" s="41">
        <f t="shared" si="8"/>
        <v>8451.5399999999991</v>
      </c>
      <c r="AK285" s="44">
        <f t="shared" si="9"/>
        <v>0.75523970127680085</v>
      </c>
      <c r="AL285" s="10"/>
      <c r="AM285" s="10"/>
    </row>
    <row r="286" spans="1:39" s="16" customFormat="1" ht="19" customHeight="1">
      <c r="A286" s="9" t="s">
        <v>348</v>
      </c>
      <c r="B286" s="10" t="s">
        <v>304</v>
      </c>
      <c r="C286" s="10"/>
      <c r="D286" s="10"/>
      <c r="E286" s="11" t="s">
        <v>1341</v>
      </c>
      <c r="F286" s="11" t="s">
        <v>249</v>
      </c>
      <c r="G286" s="12" t="s">
        <v>250</v>
      </c>
      <c r="H286" s="13">
        <v>41.5</v>
      </c>
      <c r="I286" s="13">
        <v>20.88</v>
      </c>
      <c r="J286" s="13">
        <v>1782.01</v>
      </c>
      <c r="K286" s="13">
        <v>4323.2299999999996</v>
      </c>
      <c r="L286" s="13">
        <v>500.33</v>
      </c>
      <c r="M286" s="13">
        <v>607.26</v>
      </c>
      <c r="N286" s="13">
        <v>1845.11</v>
      </c>
      <c r="O286" s="13">
        <v>289.35000000000002</v>
      </c>
      <c r="P286" s="13">
        <v>8.3699999999999992</v>
      </c>
      <c r="Q286" s="13">
        <v>209.52</v>
      </c>
      <c r="R286" s="13">
        <v>24.27</v>
      </c>
      <c r="S286" s="13">
        <v>123.97</v>
      </c>
      <c r="T286" s="13">
        <v>604.69000000000005</v>
      </c>
      <c r="U286" s="13">
        <v>21.77</v>
      </c>
      <c r="V286" s="13">
        <v>50.14</v>
      </c>
      <c r="W286" s="13">
        <v>6.07</v>
      </c>
      <c r="X286" s="13">
        <v>32.99</v>
      </c>
      <c r="Y286" s="13">
        <v>4.0599999999999996</v>
      </c>
      <c r="Z286" s="13"/>
      <c r="AA286" s="13"/>
      <c r="AB286" s="13"/>
      <c r="AC286" s="14">
        <v>1955.0675675675677</v>
      </c>
      <c r="AD286" s="14">
        <v>148.66785079928951</v>
      </c>
      <c r="AE286" s="14">
        <v>1052.8643216080402</v>
      </c>
      <c r="AF286" s="14">
        <v>672.29916897506928</v>
      </c>
      <c r="AG286" s="15">
        <v>9.885054334793153E-2</v>
      </c>
      <c r="AH286" s="15">
        <v>0.10362152344133832</v>
      </c>
      <c r="AI286" s="15">
        <v>0.10853963524700141</v>
      </c>
      <c r="AJ286" s="41">
        <f t="shared" si="8"/>
        <v>8450.68</v>
      </c>
      <c r="AK286" s="44">
        <f t="shared" si="9"/>
        <v>1.0042501116274454</v>
      </c>
      <c r="AL286" s="10"/>
      <c r="AM286" s="10"/>
    </row>
    <row r="287" spans="1:39" s="16" customFormat="1" ht="19" customHeight="1">
      <c r="A287" s="9" t="s">
        <v>349</v>
      </c>
      <c r="B287" s="10" t="s">
        <v>304</v>
      </c>
      <c r="C287" s="10"/>
      <c r="D287" s="10"/>
      <c r="E287" s="11" t="s">
        <v>1341</v>
      </c>
      <c r="F287" s="11" t="s">
        <v>249</v>
      </c>
      <c r="G287" s="12" t="s">
        <v>250</v>
      </c>
      <c r="H287" s="13">
        <v>90.16</v>
      </c>
      <c r="I287" s="13">
        <v>37</v>
      </c>
      <c r="J287" s="13">
        <v>1774.95</v>
      </c>
      <c r="K287" s="13">
        <v>4304.17</v>
      </c>
      <c r="L287" s="13">
        <v>581.21</v>
      </c>
      <c r="M287" s="13">
        <v>646.35</v>
      </c>
      <c r="N287" s="13">
        <v>2232.02</v>
      </c>
      <c r="O287" s="13">
        <v>384.94</v>
      </c>
      <c r="P287" s="13">
        <v>16.14</v>
      </c>
      <c r="Q287" s="13">
        <v>296.37</v>
      </c>
      <c r="R287" s="13">
        <v>33.79</v>
      </c>
      <c r="S287" s="13">
        <v>182.04</v>
      </c>
      <c r="T287" s="13">
        <v>973.66</v>
      </c>
      <c r="U287" s="13">
        <v>35.200000000000003</v>
      </c>
      <c r="V287" s="13">
        <v>84.23</v>
      </c>
      <c r="W287" s="13">
        <v>10.56</v>
      </c>
      <c r="X287" s="13">
        <v>61.88</v>
      </c>
      <c r="Y287" s="13">
        <v>8.5500000000000007</v>
      </c>
      <c r="Z287" s="13"/>
      <c r="AA287" s="13"/>
      <c r="AB287" s="13"/>
      <c r="AC287" s="14">
        <v>2600.9459459459463</v>
      </c>
      <c r="AD287" s="14">
        <v>286.67850799289522</v>
      </c>
      <c r="AE287" s="14">
        <v>1489.2964824120602</v>
      </c>
      <c r="AF287" s="14">
        <v>936.01108033240996</v>
      </c>
      <c r="AG287" s="15">
        <v>0.14017678072347409</v>
      </c>
      <c r="AH287" s="15">
        <v>0.14565952533519502</v>
      </c>
      <c r="AI287" s="15">
        <v>0.15495797113039386</v>
      </c>
      <c r="AJ287" s="41">
        <f t="shared" si="8"/>
        <v>8892.35</v>
      </c>
      <c r="AK287" s="44">
        <f t="shared" si="9"/>
        <v>0.66383542509705651</v>
      </c>
      <c r="AL287" s="10"/>
      <c r="AM287" s="10"/>
    </row>
    <row r="288" spans="1:39" s="16" customFormat="1" ht="19" customHeight="1">
      <c r="A288" s="9" t="s">
        <v>350</v>
      </c>
      <c r="B288" s="10" t="s">
        <v>304</v>
      </c>
      <c r="C288" s="10"/>
      <c r="D288" s="10"/>
      <c r="E288" s="11" t="s">
        <v>1341</v>
      </c>
      <c r="F288" s="11" t="s">
        <v>249</v>
      </c>
      <c r="G288" s="12" t="s">
        <v>250</v>
      </c>
      <c r="H288" s="13">
        <v>37.909999999999997</v>
      </c>
      <c r="I288" s="13">
        <v>19.05</v>
      </c>
      <c r="J288" s="13">
        <v>1417.77</v>
      </c>
      <c r="K288" s="13">
        <v>3357.25</v>
      </c>
      <c r="L288" s="13">
        <v>424.88</v>
      </c>
      <c r="M288" s="13">
        <v>678.14</v>
      </c>
      <c r="N288" s="13">
        <v>1731.22</v>
      </c>
      <c r="O288" s="13">
        <v>281.86</v>
      </c>
      <c r="P288" s="13">
        <v>10.43</v>
      </c>
      <c r="Q288" s="13">
        <v>212.6</v>
      </c>
      <c r="R288" s="13">
        <v>23.33</v>
      </c>
      <c r="S288" s="13">
        <v>119.07</v>
      </c>
      <c r="T288" s="13">
        <v>585.97</v>
      </c>
      <c r="U288" s="13">
        <v>21.31</v>
      </c>
      <c r="V288" s="13">
        <v>50.88</v>
      </c>
      <c r="W288" s="13">
        <v>6.01</v>
      </c>
      <c r="X288" s="13">
        <v>35.21</v>
      </c>
      <c r="Y288" s="13">
        <v>4.8</v>
      </c>
      <c r="Z288" s="13"/>
      <c r="AA288" s="13"/>
      <c r="AB288" s="13"/>
      <c r="AC288" s="14">
        <v>1904.4594594594596</v>
      </c>
      <c r="AD288" s="14">
        <v>185.25754884547069</v>
      </c>
      <c r="AE288" s="14">
        <v>1068.3417085427134</v>
      </c>
      <c r="AF288" s="14">
        <v>646.26038781163425</v>
      </c>
      <c r="AG288" s="15">
        <v>0.12463500811254746</v>
      </c>
      <c r="AH288" s="15">
        <v>0.12987780959528716</v>
      </c>
      <c r="AI288" s="15">
        <v>0.13946297120991016</v>
      </c>
      <c r="AJ288" s="41">
        <f t="shared" si="8"/>
        <v>6931.1200000000008</v>
      </c>
      <c r="AK288" s="44">
        <f t="shared" si="9"/>
        <v>1.1572947420516408</v>
      </c>
      <c r="AL288" s="10"/>
      <c r="AM288" s="10"/>
    </row>
    <row r="289" spans="1:39" s="16" customFormat="1" ht="19" customHeight="1">
      <c r="A289" s="9" t="s">
        <v>351</v>
      </c>
      <c r="B289" s="10" t="s">
        <v>304</v>
      </c>
      <c r="C289" s="10"/>
      <c r="D289" s="10"/>
      <c r="E289" s="11" t="s">
        <v>1341</v>
      </c>
      <c r="F289" s="11" t="s">
        <v>249</v>
      </c>
      <c r="G289" s="12" t="s">
        <v>250</v>
      </c>
      <c r="H289" s="13">
        <v>51.35</v>
      </c>
      <c r="I289" s="13">
        <v>12.39</v>
      </c>
      <c r="J289" s="13">
        <v>1065.6300000000001</v>
      </c>
      <c r="K289" s="13">
        <v>2505.2399999999998</v>
      </c>
      <c r="L289" s="13">
        <v>348.74</v>
      </c>
      <c r="M289" s="13">
        <v>413.95</v>
      </c>
      <c r="N289" s="13">
        <v>1008.89</v>
      </c>
      <c r="O289" s="13">
        <v>137.43</v>
      </c>
      <c r="P289" s="13">
        <v>15.94</v>
      </c>
      <c r="Q289" s="13">
        <v>92.37</v>
      </c>
      <c r="R289" s="13">
        <v>13.61</v>
      </c>
      <c r="S289" s="13">
        <v>69.64</v>
      </c>
      <c r="T289" s="13">
        <v>450.8</v>
      </c>
      <c r="U289" s="13">
        <v>11.27</v>
      </c>
      <c r="V289" s="13">
        <v>31.5</v>
      </c>
      <c r="W289" s="13">
        <v>4.41</v>
      </c>
      <c r="X289" s="13">
        <v>27.15</v>
      </c>
      <c r="Y289" s="13">
        <v>3.88</v>
      </c>
      <c r="Z289" s="13"/>
      <c r="AA289" s="13"/>
      <c r="AB289" s="13"/>
      <c r="AC289" s="14">
        <v>928.58108108108115</v>
      </c>
      <c r="AD289" s="14">
        <v>283.12611012433393</v>
      </c>
      <c r="AE289" s="14">
        <v>464.1708542713568</v>
      </c>
      <c r="AF289" s="14">
        <v>377.00831024930744</v>
      </c>
      <c r="AG289" s="15">
        <v>0.40657076531390846</v>
      </c>
      <c r="AH289" s="15">
        <v>0.43125195120006571</v>
      </c>
      <c r="AI289" s="15">
        <v>0.41176528299598819</v>
      </c>
      <c r="AJ289" s="41">
        <f t="shared" si="8"/>
        <v>4928.5</v>
      </c>
      <c r="AK289" s="44">
        <f t="shared" si="9"/>
        <v>0.91825643300798576</v>
      </c>
      <c r="AL289" s="10"/>
      <c r="AM289" s="10"/>
    </row>
    <row r="290" spans="1:39" s="16" customFormat="1" ht="19" customHeight="1">
      <c r="A290" s="9" t="s">
        <v>352</v>
      </c>
      <c r="B290" s="10" t="s">
        <v>304</v>
      </c>
      <c r="C290" s="10"/>
      <c r="D290" s="10"/>
      <c r="E290" s="11" t="s">
        <v>1341</v>
      </c>
      <c r="F290" s="11" t="s">
        <v>249</v>
      </c>
      <c r="G290" s="12" t="s">
        <v>250</v>
      </c>
      <c r="H290" s="13">
        <v>81.96</v>
      </c>
      <c r="I290" s="13">
        <v>29.01</v>
      </c>
      <c r="J290" s="13">
        <v>1290.47</v>
      </c>
      <c r="K290" s="13">
        <v>2932.4</v>
      </c>
      <c r="L290" s="13">
        <v>390.59</v>
      </c>
      <c r="M290" s="13">
        <v>149.12</v>
      </c>
      <c r="N290" s="13">
        <v>1495.91</v>
      </c>
      <c r="O290" s="13">
        <v>247.93</v>
      </c>
      <c r="P290" s="13">
        <v>16.34</v>
      </c>
      <c r="Q290" s="13">
        <v>211.11</v>
      </c>
      <c r="R290" s="13">
        <v>28.47</v>
      </c>
      <c r="S290" s="13">
        <v>180.42</v>
      </c>
      <c r="T290" s="13">
        <v>1067.24</v>
      </c>
      <c r="U290" s="13">
        <v>34.11</v>
      </c>
      <c r="V290" s="13">
        <v>98.08</v>
      </c>
      <c r="W290" s="13">
        <v>14.27</v>
      </c>
      <c r="X290" s="13">
        <v>87.62</v>
      </c>
      <c r="Y290" s="13">
        <v>14.62</v>
      </c>
      <c r="Z290" s="13"/>
      <c r="AA290" s="13"/>
      <c r="AB290" s="13"/>
      <c r="AC290" s="14">
        <v>1675.2027027027029</v>
      </c>
      <c r="AD290" s="14">
        <v>290.23090586145651</v>
      </c>
      <c r="AE290" s="14">
        <v>1060.854271356784</v>
      </c>
      <c r="AF290" s="14">
        <v>788.6426592797784</v>
      </c>
      <c r="AG290" s="15">
        <v>0.21215267709198393</v>
      </c>
      <c r="AH290" s="15">
        <v>0.21771187103001538</v>
      </c>
      <c r="AI290" s="15">
        <v>0.22270945709896109</v>
      </c>
      <c r="AJ290" s="41">
        <f t="shared" si="8"/>
        <v>6109.37</v>
      </c>
      <c r="AK290" s="44">
        <f t="shared" si="9"/>
        <v>0.13972489786739628</v>
      </c>
      <c r="AL290" s="10"/>
      <c r="AM290" s="10"/>
    </row>
    <row r="291" spans="1:39" s="16" customFormat="1" ht="19" customHeight="1">
      <c r="A291" s="9" t="s">
        <v>353</v>
      </c>
      <c r="B291" s="10" t="s">
        <v>304</v>
      </c>
      <c r="C291" s="10"/>
      <c r="D291" s="10"/>
      <c r="E291" s="11" t="s">
        <v>1341</v>
      </c>
      <c r="F291" s="11" t="s">
        <v>249</v>
      </c>
      <c r="G291" s="12" t="s">
        <v>250</v>
      </c>
      <c r="H291" s="13">
        <v>41.45</v>
      </c>
      <c r="I291" s="13">
        <v>10.54</v>
      </c>
      <c r="J291" s="13">
        <v>1065.8900000000001</v>
      </c>
      <c r="K291" s="13">
        <v>2493.2199999999998</v>
      </c>
      <c r="L291" s="13">
        <v>287.77</v>
      </c>
      <c r="M291" s="13">
        <v>257.52</v>
      </c>
      <c r="N291" s="13">
        <v>1059.6199999999999</v>
      </c>
      <c r="O291" s="13">
        <v>164.98</v>
      </c>
      <c r="P291" s="13">
        <v>13.98</v>
      </c>
      <c r="Q291" s="13">
        <v>130.22999999999999</v>
      </c>
      <c r="R291" s="13">
        <v>16.059999999999999</v>
      </c>
      <c r="S291" s="13">
        <v>97.76</v>
      </c>
      <c r="T291" s="13">
        <v>571.11</v>
      </c>
      <c r="U291" s="13">
        <v>19.89</v>
      </c>
      <c r="V291" s="13">
        <v>51.75</v>
      </c>
      <c r="W291" s="13">
        <v>7.33</v>
      </c>
      <c r="X291" s="13">
        <v>48.37</v>
      </c>
      <c r="Y291" s="13">
        <v>7.91</v>
      </c>
      <c r="Z291" s="13"/>
      <c r="AA291" s="13"/>
      <c r="AB291" s="13"/>
      <c r="AC291" s="14">
        <v>1114.7297297297298</v>
      </c>
      <c r="AD291" s="14">
        <v>248.31261101243342</v>
      </c>
      <c r="AE291" s="14">
        <v>654.42211055276368</v>
      </c>
      <c r="AF291" s="14">
        <v>444.8753462603878</v>
      </c>
      <c r="AG291" s="15">
        <v>0.28071373565401092</v>
      </c>
      <c r="AH291" s="15">
        <v>0.29072675613003124</v>
      </c>
      <c r="AI291" s="15">
        <v>0.30255635162163713</v>
      </c>
      <c r="AJ291" s="41">
        <f t="shared" si="8"/>
        <v>4906.5</v>
      </c>
      <c r="AK291" s="44">
        <f t="shared" si="9"/>
        <v>0.45091138309607603</v>
      </c>
      <c r="AL291" s="10"/>
      <c r="AM291" s="10"/>
    </row>
    <row r="292" spans="1:39" s="16" customFormat="1" ht="19" customHeight="1">
      <c r="A292" s="9" t="s">
        <v>354</v>
      </c>
      <c r="B292" s="10" t="s">
        <v>304</v>
      </c>
      <c r="C292" s="10"/>
      <c r="D292" s="10"/>
      <c r="E292" s="11" t="s">
        <v>1341</v>
      </c>
      <c r="F292" s="11" t="s">
        <v>249</v>
      </c>
      <c r="G292" s="12" t="s">
        <v>250</v>
      </c>
      <c r="H292" s="13">
        <v>66.58</v>
      </c>
      <c r="I292" s="13">
        <v>14.01</v>
      </c>
      <c r="J292" s="13">
        <v>1387.13</v>
      </c>
      <c r="K292" s="13">
        <v>2982.11</v>
      </c>
      <c r="L292" s="13">
        <v>386</v>
      </c>
      <c r="M292" s="13">
        <v>259.92</v>
      </c>
      <c r="N292" s="13">
        <v>1397.96</v>
      </c>
      <c r="O292" s="13">
        <v>216.87</v>
      </c>
      <c r="P292" s="13">
        <v>16.14</v>
      </c>
      <c r="Q292" s="13">
        <v>184.08</v>
      </c>
      <c r="R292" s="13">
        <v>24.35</v>
      </c>
      <c r="S292" s="13">
        <v>143.78</v>
      </c>
      <c r="T292" s="13">
        <v>859.96</v>
      </c>
      <c r="U292" s="13">
        <v>30.39</v>
      </c>
      <c r="V292" s="13">
        <v>83.44</v>
      </c>
      <c r="W292" s="13">
        <v>11.56</v>
      </c>
      <c r="X292" s="13">
        <v>73.7</v>
      </c>
      <c r="Y292" s="13">
        <v>11.43</v>
      </c>
      <c r="Z292" s="13"/>
      <c r="AA292" s="13"/>
      <c r="AB292" s="13"/>
      <c r="AC292" s="14">
        <v>1465.3378378378379</v>
      </c>
      <c r="AD292" s="14">
        <v>286.67850799289522</v>
      </c>
      <c r="AE292" s="14">
        <v>925.0251256281407</v>
      </c>
      <c r="AF292" s="14">
        <v>674.5152354570638</v>
      </c>
      <c r="AG292" s="15">
        <v>0.23986190580631914</v>
      </c>
      <c r="AH292" s="15">
        <v>0.24623483273941407</v>
      </c>
      <c r="AI292" s="15">
        <v>0.25338021787314091</v>
      </c>
      <c r="AJ292" s="41">
        <f t="shared" si="8"/>
        <v>6153.2</v>
      </c>
      <c r="AK292" s="44">
        <f t="shared" si="9"/>
        <v>0.30224661612168008</v>
      </c>
      <c r="AL292" s="10"/>
      <c r="AM292" s="10"/>
    </row>
    <row r="293" spans="1:39" s="16" customFormat="1" ht="19" customHeight="1">
      <c r="A293" s="9" t="s">
        <v>355</v>
      </c>
      <c r="B293" s="10" t="s">
        <v>304</v>
      </c>
      <c r="C293" s="10"/>
      <c r="D293" s="10"/>
      <c r="E293" s="11" t="s">
        <v>1341</v>
      </c>
      <c r="F293" s="11" t="s">
        <v>249</v>
      </c>
      <c r="G293" s="12" t="s">
        <v>250</v>
      </c>
      <c r="H293" s="13">
        <v>42.62</v>
      </c>
      <c r="I293" s="13">
        <v>12.17</v>
      </c>
      <c r="J293" s="13">
        <v>1053.99</v>
      </c>
      <c r="K293" s="13">
        <v>2313.9299999999998</v>
      </c>
      <c r="L293" s="13">
        <v>315.61</v>
      </c>
      <c r="M293" s="13">
        <v>167.78</v>
      </c>
      <c r="N293" s="13">
        <v>1160.95</v>
      </c>
      <c r="O293" s="13">
        <v>191.22</v>
      </c>
      <c r="P293" s="13">
        <v>11.06</v>
      </c>
      <c r="Q293" s="13">
        <v>161.32</v>
      </c>
      <c r="R293" s="13">
        <v>21.3</v>
      </c>
      <c r="S293" s="13">
        <v>125.05</v>
      </c>
      <c r="T293" s="13">
        <v>786.32</v>
      </c>
      <c r="U293" s="13">
        <v>26.66</v>
      </c>
      <c r="V293" s="13">
        <v>66.91</v>
      </c>
      <c r="W293" s="13">
        <v>9.69</v>
      </c>
      <c r="X293" s="13">
        <v>61.26</v>
      </c>
      <c r="Y293" s="13">
        <v>8.81</v>
      </c>
      <c r="Z293" s="13"/>
      <c r="AA293" s="13"/>
      <c r="AB293" s="13"/>
      <c r="AC293" s="14">
        <v>1292.0270270270271</v>
      </c>
      <c r="AD293" s="14">
        <v>196.44760213143874</v>
      </c>
      <c r="AE293" s="14">
        <v>810.65326633165819</v>
      </c>
      <c r="AF293" s="14">
        <v>590.02770083102496</v>
      </c>
      <c r="AG293" s="15">
        <v>0.18685446641785575</v>
      </c>
      <c r="AH293" s="15">
        <v>0.19195231951803288</v>
      </c>
      <c r="AI293" s="15">
        <v>0.19744290532128528</v>
      </c>
      <c r="AJ293" s="41">
        <f t="shared" si="8"/>
        <v>4844.4800000000005</v>
      </c>
      <c r="AK293" s="44">
        <f t="shared" si="9"/>
        <v>0.21337369010072235</v>
      </c>
      <c r="AL293" s="10"/>
      <c r="AM293" s="10"/>
    </row>
    <row r="294" spans="1:39" s="16" customFormat="1" ht="19" customHeight="1">
      <c r="A294" s="9" t="s">
        <v>356</v>
      </c>
      <c r="B294" s="10" t="s">
        <v>304</v>
      </c>
      <c r="C294" s="10"/>
      <c r="D294" s="10"/>
      <c r="E294" s="11" t="s">
        <v>1341</v>
      </c>
      <c r="F294" s="11" t="s">
        <v>249</v>
      </c>
      <c r="G294" s="12" t="s">
        <v>250</v>
      </c>
      <c r="H294" s="13">
        <v>30.7</v>
      </c>
      <c r="I294" s="13">
        <v>11.84</v>
      </c>
      <c r="J294" s="13">
        <v>1134.98</v>
      </c>
      <c r="K294" s="13">
        <v>2434.0100000000002</v>
      </c>
      <c r="L294" s="13">
        <v>307.70999999999998</v>
      </c>
      <c r="M294" s="13">
        <v>492.69</v>
      </c>
      <c r="N294" s="13">
        <v>1205.47</v>
      </c>
      <c r="O294" s="13">
        <v>198.65</v>
      </c>
      <c r="P294" s="13">
        <v>14.79</v>
      </c>
      <c r="Q294" s="13">
        <v>152.59</v>
      </c>
      <c r="R294" s="13">
        <v>17.18</v>
      </c>
      <c r="S294" s="13">
        <v>94.73</v>
      </c>
      <c r="T294" s="13">
        <v>474.94</v>
      </c>
      <c r="U294" s="13">
        <v>17.510000000000002</v>
      </c>
      <c r="V294" s="13">
        <v>44.8</v>
      </c>
      <c r="W294" s="13">
        <v>5.3</v>
      </c>
      <c r="X294" s="13">
        <v>32.31</v>
      </c>
      <c r="Y294" s="13">
        <v>4.5199999999999996</v>
      </c>
      <c r="Z294" s="13"/>
      <c r="AA294" s="13"/>
      <c r="AB294" s="13"/>
      <c r="AC294" s="14">
        <v>1342.2297297297298</v>
      </c>
      <c r="AD294" s="14">
        <v>262.69982238010658</v>
      </c>
      <c r="AE294" s="14">
        <v>766.78391959798989</v>
      </c>
      <c r="AF294" s="14">
        <v>475.90027700831024</v>
      </c>
      <c r="AG294" s="15">
        <v>0.24912102628055174</v>
      </c>
      <c r="AH294" s="15">
        <v>0.25894638582161211</v>
      </c>
      <c r="AI294" s="15">
        <v>0.27652637314907053</v>
      </c>
      <c r="AJ294" s="41">
        <f t="shared" si="8"/>
        <v>5082.17</v>
      </c>
      <c r="AK294" s="44">
        <f t="shared" si="9"/>
        <v>1.0373731418705521</v>
      </c>
      <c r="AL294" s="10"/>
      <c r="AM294" s="10"/>
    </row>
    <row r="295" spans="1:39" s="16" customFormat="1" ht="19" customHeight="1">
      <c r="A295" s="9" t="s">
        <v>357</v>
      </c>
      <c r="B295" s="10" t="s">
        <v>304</v>
      </c>
      <c r="C295" s="10"/>
      <c r="D295" s="10"/>
      <c r="E295" s="11" t="s">
        <v>1341</v>
      </c>
      <c r="F295" s="11" t="s">
        <v>249</v>
      </c>
      <c r="G295" s="12" t="s">
        <v>250</v>
      </c>
      <c r="H295" s="13">
        <v>63.23</v>
      </c>
      <c r="I295" s="13">
        <v>36.03</v>
      </c>
      <c r="J295" s="13">
        <v>1173.23</v>
      </c>
      <c r="K295" s="13">
        <v>2380.4299999999998</v>
      </c>
      <c r="L295" s="13">
        <v>269.22000000000003</v>
      </c>
      <c r="M295" s="13">
        <v>433.53</v>
      </c>
      <c r="N295" s="13">
        <v>1016.34</v>
      </c>
      <c r="O295" s="13">
        <v>150.4</v>
      </c>
      <c r="P295" s="13">
        <v>16.829999999999998</v>
      </c>
      <c r="Q295" s="13">
        <v>116.28</v>
      </c>
      <c r="R295" s="13">
        <v>13.53</v>
      </c>
      <c r="S295" s="13">
        <v>72.48</v>
      </c>
      <c r="T295" s="13">
        <v>377.8</v>
      </c>
      <c r="U295" s="13">
        <v>14.48</v>
      </c>
      <c r="V295" s="13">
        <v>34.96</v>
      </c>
      <c r="W295" s="13">
        <v>4.72</v>
      </c>
      <c r="X295" s="13">
        <v>28.69</v>
      </c>
      <c r="Y295" s="13">
        <v>4.7</v>
      </c>
      <c r="Z295" s="13"/>
      <c r="AA295" s="13"/>
      <c r="AB295" s="13"/>
      <c r="AC295" s="14">
        <v>1016.2162162162163</v>
      </c>
      <c r="AD295" s="14">
        <v>298.93428063943162</v>
      </c>
      <c r="AE295" s="14">
        <v>584.321608040201</v>
      </c>
      <c r="AF295" s="14">
        <v>374.79224376731298</v>
      </c>
      <c r="AG295" s="15">
        <v>0.37354228823465813</v>
      </c>
      <c r="AH295" s="15">
        <v>0.38793296639739244</v>
      </c>
      <c r="AI295" s="15">
        <v>0.41019287199370807</v>
      </c>
      <c r="AJ295" s="41">
        <f t="shared" si="8"/>
        <v>4839.22</v>
      </c>
      <c r="AK295" s="44">
        <f t="shared" si="9"/>
        <v>1.147511911064055</v>
      </c>
      <c r="AL295" s="10"/>
      <c r="AM295" s="10"/>
    </row>
    <row r="296" spans="1:39" s="16" customFormat="1" ht="19" customHeight="1">
      <c r="A296" s="9" t="s">
        <v>358</v>
      </c>
      <c r="B296" s="10" t="s">
        <v>304</v>
      </c>
      <c r="C296" s="10"/>
      <c r="D296" s="10"/>
      <c r="E296" s="11" t="s">
        <v>1341</v>
      </c>
      <c r="F296" s="11" t="s">
        <v>249</v>
      </c>
      <c r="G296" s="12" t="s">
        <v>250</v>
      </c>
      <c r="H296" s="13">
        <v>66.62</v>
      </c>
      <c r="I296" s="13">
        <v>23.67</v>
      </c>
      <c r="J296" s="13">
        <v>1316.64</v>
      </c>
      <c r="K296" s="13">
        <v>2787.62</v>
      </c>
      <c r="L296" s="13">
        <v>321.83999999999997</v>
      </c>
      <c r="M296" s="13">
        <v>439.01</v>
      </c>
      <c r="N296" s="13">
        <v>1186.1300000000001</v>
      </c>
      <c r="O296" s="13">
        <v>178.96</v>
      </c>
      <c r="P296" s="13">
        <v>19.41</v>
      </c>
      <c r="Q296" s="13">
        <v>140.96</v>
      </c>
      <c r="R296" s="13">
        <v>16.04</v>
      </c>
      <c r="S296" s="13">
        <v>87.26</v>
      </c>
      <c r="T296" s="13">
        <v>452.59</v>
      </c>
      <c r="U296" s="13">
        <v>16.57</v>
      </c>
      <c r="V296" s="13">
        <v>41.97</v>
      </c>
      <c r="W296" s="13">
        <v>5.44</v>
      </c>
      <c r="X296" s="13">
        <v>35.31</v>
      </c>
      <c r="Y296" s="13">
        <v>5.47</v>
      </c>
      <c r="Z296" s="13"/>
      <c r="AA296" s="13"/>
      <c r="AB296" s="13"/>
      <c r="AC296" s="14">
        <v>1209.1891891891894</v>
      </c>
      <c r="AD296" s="14">
        <v>344.76021314387214</v>
      </c>
      <c r="AE296" s="14">
        <v>708.3417085427136</v>
      </c>
      <c r="AF296" s="14">
        <v>444.32132963988914</v>
      </c>
      <c r="AG296" s="15">
        <v>0.35958764841981111</v>
      </c>
      <c r="AH296" s="15">
        <v>0.37251915174438555</v>
      </c>
      <c r="AI296" s="15">
        <v>0.39806615114572586</v>
      </c>
      <c r="AJ296" s="41">
        <f t="shared" si="8"/>
        <v>5612.2300000000005</v>
      </c>
      <c r="AK296" s="44">
        <f t="shared" si="9"/>
        <v>0.96999491813782901</v>
      </c>
      <c r="AL296" s="10"/>
      <c r="AM296" s="10"/>
    </row>
    <row r="297" spans="1:39" s="16" customFormat="1" ht="19" customHeight="1">
      <c r="A297" s="9" t="s">
        <v>359</v>
      </c>
      <c r="B297" s="10" t="s">
        <v>304</v>
      </c>
      <c r="C297" s="10"/>
      <c r="D297" s="10"/>
      <c r="E297" s="11" t="s">
        <v>1341</v>
      </c>
      <c r="F297" s="11" t="s">
        <v>249</v>
      </c>
      <c r="G297" s="12" t="s">
        <v>250</v>
      </c>
      <c r="H297" s="13">
        <v>43.28</v>
      </c>
      <c r="I297" s="13">
        <v>16.89</v>
      </c>
      <c r="J297" s="13">
        <v>1104.49</v>
      </c>
      <c r="K297" s="13">
        <v>2397.04</v>
      </c>
      <c r="L297" s="13">
        <v>290.08999999999997</v>
      </c>
      <c r="M297" s="13">
        <v>442.05</v>
      </c>
      <c r="N297" s="13">
        <v>1155.04</v>
      </c>
      <c r="O297" s="13">
        <v>188.73</v>
      </c>
      <c r="P297" s="13">
        <v>15.03</v>
      </c>
      <c r="Q297" s="13">
        <v>146.69999999999999</v>
      </c>
      <c r="R297" s="13">
        <v>17.690000000000001</v>
      </c>
      <c r="S297" s="13">
        <v>91.53</v>
      </c>
      <c r="T297" s="13">
        <v>478.53</v>
      </c>
      <c r="U297" s="13">
        <v>17.75</v>
      </c>
      <c r="V297" s="13">
        <v>43.6</v>
      </c>
      <c r="W297" s="13">
        <v>5.46</v>
      </c>
      <c r="X297" s="13">
        <v>33.840000000000003</v>
      </c>
      <c r="Y297" s="13">
        <v>4.83</v>
      </c>
      <c r="Z297" s="13"/>
      <c r="AA297" s="13"/>
      <c r="AB297" s="13"/>
      <c r="AC297" s="14">
        <v>1275.2027027027027</v>
      </c>
      <c r="AD297" s="14">
        <v>266.9626998223801</v>
      </c>
      <c r="AE297" s="14">
        <v>737.18592964824109</v>
      </c>
      <c r="AF297" s="14">
        <v>490.02770083102496</v>
      </c>
      <c r="AG297" s="15">
        <v>0.26531922863279628</v>
      </c>
      <c r="AH297" s="15">
        <v>0.27534199498633349</v>
      </c>
      <c r="AI297" s="15">
        <v>0.28795473616289663</v>
      </c>
      <c r="AJ297" s="41">
        <f t="shared" si="8"/>
        <v>4946.66</v>
      </c>
      <c r="AK297" s="44">
        <f t="shared" si="9"/>
        <v>0.92376653501347883</v>
      </c>
      <c r="AL297" s="10"/>
      <c r="AM297" s="10"/>
    </row>
    <row r="298" spans="1:39" s="16" customFormat="1" ht="19" customHeight="1">
      <c r="A298" s="9" t="s">
        <v>360</v>
      </c>
      <c r="B298" s="10" t="s">
        <v>304</v>
      </c>
      <c r="C298" s="10"/>
      <c r="D298" s="10"/>
      <c r="E298" s="11" t="s">
        <v>1341</v>
      </c>
      <c r="F298" s="11" t="s">
        <v>249</v>
      </c>
      <c r="G298" s="12" t="s">
        <v>250</v>
      </c>
      <c r="H298" s="13">
        <v>38.71</v>
      </c>
      <c r="I298" s="13">
        <v>19.399999999999999</v>
      </c>
      <c r="J298" s="13">
        <v>1114.8900000000001</v>
      </c>
      <c r="K298" s="13">
        <v>2375.42</v>
      </c>
      <c r="L298" s="13">
        <v>290.14</v>
      </c>
      <c r="M298" s="13">
        <v>442.13</v>
      </c>
      <c r="N298" s="13">
        <v>1190.49</v>
      </c>
      <c r="O298" s="13">
        <v>206.14</v>
      </c>
      <c r="P298" s="13">
        <v>15.28</v>
      </c>
      <c r="Q298" s="13">
        <v>165.8</v>
      </c>
      <c r="R298" s="13">
        <v>18.41</v>
      </c>
      <c r="S298" s="13">
        <v>99.26</v>
      </c>
      <c r="T298" s="13">
        <v>499.2</v>
      </c>
      <c r="U298" s="13">
        <v>18.54</v>
      </c>
      <c r="V298" s="13">
        <v>43.15</v>
      </c>
      <c r="W298" s="13">
        <v>5.16</v>
      </c>
      <c r="X298" s="13">
        <v>29.43</v>
      </c>
      <c r="Y298" s="13">
        <v>4.28</v>
      </c>
      <c r="Z298" s="13"/>
      <c r="AA298" s="13"/>
      <c r="AB298" s="13"/>
      <c r="AC298" s="14">
        <v>1392.8378378378379</v>
      </c>
      <c r="AD298" s="14">
        <v>271.4031971580817</v>
      </c>
      <c r="AE298" s="14">
        <v>833.16582914572871</v>
      </c>
      <c r="AF298" s="14">
        <v>509.9722991689751</v>
      </c>
      <c r="AG298" s="15">
        <v>0.24384793357133791</v>
      </c>
      <c r="AH298" s="15">
        <v>0.25194106236773883</v>
      </c>
      <c r="AI298" s="15">
        <v>0.27237404881425709</v>
      </c>
      <c r="AJ298" s="41">
        <f t="shared" si="8"/>
        <v>4970.9400000000005</v>
      </c>
      <c r="AK298" s="44">
        <f t="shared" si="9"/>
        <v>0.88567708333333339</v>
      </c>
      <c r="AL298" s="10"/>
      <c r="AM298" s="10"/>
    </row>
    <row r="299" spans="1:39" s="16" customFormat="1" ht="19" customHeight="1">
      <c r="A299" s="9" t="s">
        <v>361</v>
      </c>
      <c r="B299" s="10" t="s">
        <v>304</v>
      </c>
      <c r="C299" s="10"/>
      <c r="D299" s="10"/>
      <c r="E299" s="11" t="s">
        <v>1341</v>
      </c>
      <c r="F299" s="11" t="s">
        <v>249</v>
      </c>
      <c r="G299" s="12" t="s">
        <v>250</v>
      </c>
      <c r="H299" s="13">
        <v>65</v>
      </c>
      <c r="I299" s="13">
        <v>31.89</v>
      </c>
      <c r="J299" s="13">
        <v>1188.95</v>
      </c>
      <c r="K299" s="13">
        <v>2501.5300000000002</v>
      </c>
      <c r="L299" s="13">
        <v>301.88</v>
      </c>
      <c r="M299" s="13">
        <v>436.59</v>
      </c>
      <c r="N299" s="13">
        <v>1185.06</v>
      </c>
      <c r="O299" s="13">
        <v>176.92</v>
      </c>
      <c r="P299" s="13">
        <v>18.37</v>
      </c>
      <c r="Q299" s="13">
        <v>141.47</v>
      </c>
      <c r="R299" s="13">
        <v>16.28</v>
      </c>
      <c r="S299" s="13">
        <v>89.53</v>
      </c>
      <c r="T299" s="13">
        <v>466.24</v>
      </c>
      <c r="U299" s="13">
        <v>17.34</v>
      </c>
      <c r="V299" s="13">
        <v>45.24</v>
      </c>
      <c r="W299" s="13">
        <v>5.93</v>
      </c>
      <c r="X299" s="13">
        <v>34.22</v>
      </c>
      <c r="Y299" s="13">
        <v>5.36</v>
      </c>
      <c r="Z299" s="13"/>
      <c r="AA299" s="13"/>
      <c r="AB299" s="13"/>
      <c r="AC299" s="14">
        <v>1195.4054054054054</v>
      </c>
      <c r="AD299" s="14">
        <v>326.28774422735353</v>
      </c>
      <c r="AE299" s="14">
        <v>710.9045226130653</v>
      </c>
      <c r="AF299" s="14">
        <v>450.96952908587258</v>
      </c>
      <c r="AG299" s="15">
        <v>0.34232392060877109</v>
      </c>
      <c r="AH299" s="15">
        <v>0.35394641285956996</v>
      </c>
      <c r="AI299" s="15">
        <v>0.37775325798853643</v>
      </c>
      <c r="AJ299" s="41">
        <f t="shared" si="8"/>
        <v>5177.42</v>
      </c>
      <c r="AK299" s="44">
        <f t="shared" si="9"/>
        <v>0.93640614275909395</v>
      </c>
      <c r="AL299" s="10"/>
      <c r="AM299" s="10"/>
    </row>
    <row r="300" spans="1:39" s="16" customFormat="1" ht="19" customHeight="1">
      <c r="A300" s="9" t="s">
        <v>362</v>
      </c>
      <c r="B300" s="10" t="s">
        <v>304</v>
      </c>
      <c r="C300" s="10"/>
      <c r="D300" s="10"/>
      <c r="E300" s="11" t="s">
        <v>1341</v>
      </c>
      <c r="F300" s="11" t="s">
        <v>249</v>
      </c>
      <c r="G300" s="12" t="s">
        <v>250</v>
      </c>
      <c r="H300" s="13">
        <v>123.34</v>
      </c>
      <c r="I300" s="13">
        <v>53.32</v>
      </c>
      <c r="J300" s="13">
        <v>1329.02</v>
      </c>
      <c r="K300" s="13">
        <v>2422.79</v>
      </c>
      <c r="L300" s="13">
        <v>277.31</v>
      </c>
      <c r="M300" s="13">
        <v>588.9</v>
      </c>
      <c r="N300" s="13">
        <v>1032.99</v>
      </c>
      <c r="O300" s="13">
        <v>159.87</v>
      </c>
      <c r="P300" s="13">
        <v>16.3</v>
      </c>
      <c r="Q300" s="13">
        <v>128.25</v>
      </c>
      <c r="R300" s="13">
        <v>14.56</v>
      </c>
      <c r="S300" s="13">
        <v>76.34</v>
      </c>
      <c r="T300" s="13">
        <v>357.04</v>
      </c>
      <c r="U300" s="13">
        <v>13.87</v>
      </c>
      <c r="V300" s="13">
        <v>32.68</v>
      </c>
      <c r="W300" s="13">
        <v>3.65</v>
      </c>
      <c r="X300" s="13">
        <v>20.93</v>
      </c>
      <c r="Y300" s="13">
        <v>2.59</v>
      </c>
      <c r="Z300" s="13"/>
      <c r="AA300" s="13"/>
      <c r="AB300" s="13"/>
      <c r="AC300" s="14">
        <v>1080.2027027027027</v>
      </c>
      <c r="AD300" s="14">
        <v>289.52042628774427</v>
      </c>
      <c r="AE300" s="14">
        <v>644.4723618090452</v>
      </c>
      <c r="AF300" s="14">
        <v>403.32409972299172</v>
      </c>
      <c r="AG300" s="15">
        <v>0.33573909920209455</v>
      </c>
      <c r="AH300" s="15">
        <v>0.34699597011558714</v>
      </c>
      <c r="AI300" s="15">
        <v>0.372212521572586</v>
      </c>
      <c r="AJ300" s="41">
        <f t="shared" si="8"/>
        <v>5062.1099999999997</v>
      </c>
      <c r="AK300" s="44">
        <f t="shared" si="9"/>
        <v>1.6493950257674208</v>
      </c>
      <c r="AL300" s="10"/>
      <c r="AM300" s="10"/>
    </row>
    <row r="301" spans="1:39" s="16" customFormat="1" ht="19" customHeight="1">
      <c r="A301" s="9" t="s">
        <v>363</v>
      </c>
      <c r="B301" s="10" t="s">
        <v>304</v>
      </c>
      <c r="C301" s="10"/>
      <c r="D301" s="10"/>
      <c r="E301" s="11" t="s">
        <v>1341</v>
      </c>
      <c r="F301" s="11" t="s">
        <v>249</v>
      </c>
      <c r="G301" s="12" t="s">
        <v>250</v>
      </c>
      <c r="H301" s="13">
        <v>34.090000000000003</v>
      </c>
      <c r="I301" s="13">
        <v>10.18</v>
      </c>
      <c r="J301" s="13">
        <v>1058.8399999999999</v>
      </c>
      <c r="K301" s="13">
        <v>2318.84</v>
      </c>
      <c r="L301" s="13">
        <v>290.48</v>
      </c>
      <c r="M301" s="13">
        <v>481.06</v>
      </c>
      <c r="N301" s="13">
        <v>1134.3599999999999</v>
      </c>
      <c r="O301" s="13">
        <v>179.55</v>
      </c>
      <c r="P301" s="13">
        <v>15.55</v>
      </c>
      <c r="Q301" s="13">
        <v>140.96</v>
      </c>
      <c r="R301" s="13">
        <v>15.77</v>
      </c>
      <c r="S301" s="13">
        <v>80.66</v>
      </c>
      <c r="T301" s="13">
        <v>417.04</v>
      </c>
      <c r="U301" s="13">
        <v>15.14</v>
      </c>
      <c r="V301" s="13">
        <v>38.53</v>
      </c>
      <c r="W301" s="13">
        <v>4.92</v>
      </c>
      <c r="X301" s="13">
        <v>30.66</v>
      </c>
      <c r="Y301" s="13">
        <v>4.4400000000000004</v>
      </c>
      <c r="Z301" s="13"/>
      <c r="AA301" s="13"/>
      <c r="AB301" s="13"/>
      <c r="AC301" s="14">
        <v>1213.1756756756758</v>
      </c>
      <c r="AD301" s="14">
        <v>276.19893428063949</v>
      </c>
      <c r="AE301" s="14">
        <v>708.3417085427136</v>
      </c>
      <c r="AF301" s="14">
        <v>436.84210526315786</v>
      </c>
      <c r="AG301" s="15">
        <v>0.28748002651351312</v>
      </c>
      <c r="AH301" s="15">
        <v>0.29794681287064723</v>
      </c>
      <c r="AI301" s="15">
        <v>0.32001085165919152</v>
      </c>
      <c r="AJ301" s="41">
        <f t="shared" si="8"/>
        <v>4802.5200000000004</v>
      </c>
      <c r="AK301" s="44">
        <f t="shared" si="9"/>
        <v>1.1535104546326491</v>
      </c>
      <c r="AL301" s="10"/>
      <c r="AM301" s="10"/>
    </row>
    <row r="302" spans="1:39" s="16" customFormat="1" ht="19" customHeight="1">
      <c r="A302" s="9" t="s">
        <v>364</v>
      </c>
      <c r="B302" s="10" t="s">
        <v>304</v>
      </c>
      <c r="C302" s="10"/>
      <c r="D302" s="10"/>
      <c r="E302" s="11" t="s">
        <v>1341</v>
      </c>
      <c r="F302" s="11" t="s">
        <v>249</v>
      </c>
      <c r="G302" s="12" t="s">
        <v>250</v>
      </c>
      <c r="H302" s="13">
        <v>49.8</v>
      </c>
      <c r="I302" s="13">
        <v>22.15</v>
      </c>
      <c r="J302" s="13">
        <v>988.99</v>
      </c>
      <c r="K302" s="13">
        <v>1284.1400000000001</v>
      </c>
      <c r="L302" s="13">
        <v>110.49</v>
      </c>
      <c r="M302" s="13">
        <v>600.88</v>
      </c>
      <c r="N302" s="13">
        <v>340.23</v>
      </c>
      <c r="O302" s="13">
        <v>39.42</v>
      </c>
      <c r="P302" s="13">
        <v>9.1300000000000008</v>
      </c>
      <c r="Q302" s="13">
        <v>29.29</v>
      </c>
      <c r="R302" s="13">
        <v>3.25</v>
      </c>
      <c r="S302" s="13">
        <v>16.95</v>
      </c>
      <c r="T302" s="13">
        <v>90.79</v>
      </c>
      <c r="U302" s="13">
        <v>3.37</v>
      </c>
      <c r="V302" s="13">
        <v>8.24</v>
      </c>
      <c r="W302" s="13">
        <v>1.1419999999999999</v>
      </c>
      <c r="X302" s="13">
        <v>6.44</v>
      </c>
      <c r="Y302" s="13">
        <v>1.2430000000000001</v>
      </c>
      <c r="Z302" s="13"/>
      <c r="AA302" s="13"/>
      <c r="AB302" s="13"/>
      <c r="AC302" s="14">
        <v>266.35135135135135</v>
      </c>
      <c r="AD302" s="14">
        <v>162.16696269982239</v>
      </c>
      <c r="AE302" s="14">
        <v>147.1859296482412</v>
      </c>
      <c r="AF302" s="14">
        <v>90.02770083102493</v>
      </c>
      <c r="AG302" s="15">
        <v>0.78429186509054871</v>
      </c>
      <c r="AH302" s="15">
        <v>0.81903372101467931</v>
      </c>
      <c r="AI302" s="15">
        <v>0.87404486736090758</v>
      </c>
      <c r="AJ302" s="41">
        <f t="shared" si="8"/>
        <v>2723.85</v>
      </c>
      <c r="AK302" s="44">
        <f t="shared" si="9"/>
        <v>6.618350038550501</v>
      </c>
      <c r="AL302" s="10"/>
      <c r="AM302" s="10"/>
    </row>
    <row r="303" spans="1:39" s="16" customFormat="1" ht="19" customHeight="1">
      <c r="A303" s="9" t="s">
        <v>365</v>
      </c>
      <c r="B303" s="10" t="s">
        <v>304</v>
      </c>
      <c r="C303" s="10"/>
      <c r="D303" s="10"/>
      <c r="E303" s="11" t="s">
        <v>1341</v>
      </c>
      <c r="F303" s="11" t="s">
        <v>249</v>
      </c>
      <c r="G303" s="12" t="s">
        <v>250</v>
      </c>
      <c r="H303" s="13">
        <v>62.08</v>
      </c>
      <c r="I303" s="13">
        <v>29.08</v>
      </c>
      <c r="J303" s="13">
        <v>1229.1199999999999</v>
      </c>
      <c r="K303" s="13">
        <v>1774.77</v>
      </c>
      <c r="L303" s="13">
        <v>157.61000000000001</v>
      </c>
      <c r="M303" s="13">
        <v>590.29999999999995</v>
      </c>
      <c r="N303" s="13">
        <v>486.9</v>
      </c>
      <c r="O303" s="13">
        <v>55.71</v>
      </c>
      <c r="P303" s="13">
        <v>12.3</v>
      </c>
      <c r="Q303" s="13">
        <v>41.01</v>
      </c>
      <c r="R303" s="13">
        <v>4.33</v>
      </c>
      <c r="S303" s="13">
        <v>22.8</v>
      </c>
      <c r="T303" s="13">
        <v>123.31</v>
      </c>
      <c r="U303" s="13">
        <v>4.2300000000000004</v>
      </c>
      <c r="V303" s="13">
        <v>11.41</v>
      </c>
      <c r="W303" s="13">
        <v>1.2709999999999999</v>
      </c>
      <c r="X303" s="13">
        <v>8.44</v>
      </c>
      <c r="Y303" s="13">
        <v>1.28</v>
      </c>
      <c r="Z303" s="13"/>
      <c r="AA303" s="13"/>
      <c r="AB303" s="13"/>
      <c r="AC303" s="14">
        <v>376.41891891891896</v>
      </c>
      <c r="AD303" s="14">
        <v>218.47246891651866</v>
      </c>
      <c r="AE303" s="14">
        <v>206.08040201005022</v>
      </c>
      <c r="AF303" s="14">
        <v>119.94459833795014</v>
      </c>
      <c r="AG303" s="15">
        <v>0.75012093943079305</v>
      </c>
      <c r="AH303" s="15">
        <v>0.78440914570129072</v>
      </c>
      <c r="AI303" s="15">
        <v>0.84974546726656963</v>
      </c>
      <c r="AJ303" s="41">
        <f t="shared" si="8"/>
        <v>3648.4</v>
      </c>
      <c r="AK303" s="44">
        <f t="shared" si="9"/>
        <v>4.7871218879247417</v>
      </c>
      <c r="AL303" s="10"/>
      <c r="AM303" s="10"/>
    </row>
    <row r="304" spans="1:39" s="16" customFormat="1" ht="19" customHeight="1">
      <c r="A304" s="9" t="s">
        <v>366</v>
      </c>
      <c r="B304" s="10" t="s">
        <v>304</v>
      </c>
      <c r="C304" s="10"/>
      <c r="D304" s="10"/>
      <c r="E304" s="11" t="s">
        <v>1341</v>
      </c>
      <c r="F304" s="11" t="s">
        <v>249</v>
      </c>
      <c r="G304" s="12" t="s">
        <v>250</v>
      </c>
      <c r="H304" s="13">
        <v>41.6</v>
      </c>
      <c r="I304" s="13">
        <v>43.06</v>
      </c>
      <c r="J304" s="13">
        <v>691.29</v>
      </c>
      <c r="K304" s="13">
        <v>1453.7</v>
      </c>
      <c r="L304" s="13">
        <v>172.73</v>
      </c>
      <c r="M304" s="13">
        <v>576.78</v>
      </c>
      <c r="N304" s="13">
        <v>667.56</v>
      </c>
      <c r="O304" s="13">
        <v>100.98</v>
      </c>
      <c r="P304" s="13">
        <v>15.16</v>
      </c>
      <c r="Q304" s="13">
        <v>68.66</v>
      </c>
      <c r="R304" s="13">
        <v>8.02</v>
      </c>
      <c r="S304" s="13">
        <v>39.619999999999997</v>
      </c>
      <c r="T304" s="13">
        <v>187</v>
      </c>
      <c r="U304" s="13">
        <v>7.07</v>
      </c>
      <c r="V304" s="13">
        <v>17.64</v>
      </c>
      <c r="W304" s="13">
        <v>1.93</v>
      </c>
      <c r="X304" s="13">
        <v>10.86</v>
      </c>
      <c r="Y304" s="13">
        <v>1.65</v>
      </c>
      <c r="Z304" s="13"/>
      <c r="AA304" s="13"/>
      <c r="AB304" s="13"/>
      <c r="AC304" s="14">
        <v>682.2972972972974</v>
      </c>
      <c r="AD304" s="14">
        <v>269.27175843694494</v>
      </c>
      <c r="AE304" s="14">
        <v>345.02512562814064</v>
      </c>
      <c r="AF304" s="14">
        <v>222.16066481994457</v>
      </c>
      <c r="AG304" s="15">
        <v>0.52422054153195174</v>
      </c>
      <c r="AH304" s="15">
        <v>0.55498164468776423</v>
      </c>
      <c r="AI304" s="15">
        <v>0.57365746656020333</v>
      </c>
      <c r="AJ304" s="41">
        <f t="shared" si="8"/>
        <v>2985.2799999999997</v>
      </c>
      <c r="AK304" s="44">
        <f t="shared" si="9"/>
        <v>3.0843850267379676</v>
      </c>
      <c r="AL304" s="10"/>
      <c r="AM304" s="10"/>
    </row>
    <row r="305" spans="1:39" s="16" customFormat="1" ht="19" customHeight="1">
      <c r="A305" s="9" t="s">
        <v>367</v>
      </c>
      <c r="B305" s="10" t="s">
        <v>304</v>
      </c>
      <c r="C305" s="10"/>
      <c r="D305" s="10"/>
      <c r="E305" s="11" t="s">
        <v>1341</v>
      </c>
      <c r="F305" s="11" t="s">
        <v>249</v>
      </c>
      <c r="G305" s="12" t="s">
        <v>250</v>
      </c>
      <c r="H305" s="13">
        <v>18.07</v>
      </c>
      <c r="I305" s="13">
        <v>37.5</v>
      </c>
      <c r="J305" s="13">
        <v>521.46</v>
      </c>
      <c r="K305" s="13">
        <v>1164.22</v>
      </c>
      <c r="L305" s="13">
        <v>145.86000000000001</v>
      </c>
      <c r="M305" s="13">
        <v>584.28</v>
      </c>
      <c r="N305" s="13">
        <v>570.65</v>
      </c>
      <c r="O305" s="13">
        <v>83.62</v>
      </c>
      <c r="P305" s="13">
        <v>14.02</v>
      </c>
      <c r="Q305" s="13">
        <v>64.33</v>
      </c>
      <c r="R305" s="13">
        <v>7.09</v>
      </c>
      <c r="S305" s="13">
        <v>34.43</v>
      </c>
      <c r="T305" s="13">
        <v>174.24</v>
      </c>
      <c r="U305" s="13">
        <v>6.84</v>
      </c>
      <c r="V305" s="13">
        <v>15.94</v>
      </c>
      <c r="W305" s="13">
        <v>1.81</v>
      </c>
      <c r="X305" s="13">
        <v>10.85</v>
      </c>
      <c r="Y305" s="13">
        <v>1.62</v>
      </c>
      <c r="Z305" s="13"/>
      <c r="AA305" s="13"/>
      <c r="AB305" s="13"/>
      <c r="AC305" s="14">
        <v>565.00000000000011</v>
      </c>
      <c r="AD305" s="14">
        <v>249.02309058614566</v>
      </c>
      <c r="AE305" s="14">
        <v>323.26633165829145</v>
      </c>
      <c r="AF305" s="14">
        <v>196.39889196675901</v>
      </c>
      <c r="AG305" s="15">
        <v>0.56069465139188157</v>
      </c>
      <c r="AH305" s="15">
        <v>0.58268676986660306</v>
      </c>
      <c r="AI305" s="15">
        <v>0.6268461691024052</v>
      </c>
      <c r="AJ305" s="41">
        <f t="shared" si="8"/>
        <v>2402.19</v>
      </c>
      <c r="AK305" s="44">
        <f t="shared" si="9"/>
        <v>3.3533057851239665</v>
      </c>
      <c r="AL305" s="10"/>
      <c r="AM305" s="10"/>
    </row>
    <row r="306" spans="1:39" s="16" customFormat="1" ht="19" customHeight="1">
      <c r="A306" s="9" t="s">
        <v>368</v>
      </c>
      <c r="B306" s="10" t="s">
        <v>304</v>
      </c>
      <c r="C306" s="10"/>
      <c r="D306" s="10"/>
      <c r="E306" s="11" t="s">
        <v>1341</v>
      </c>
      <c r="F306" s="11" t="s">
        <v>249</v>
      </c>
      <c r="G306" s="12" t="s">
        <v>250</v>
      </c>
      <c r="H306" s="13">
        <v>63.24</v>
      </c>
      <c r="I306" s="13">
        <v>27.93</v>
      </c>
      <c r="J306" s="13">
        <v>1448.61</v>
      </c>
      <c r="K306" s="13">
        <v>2129.52</v>
      </c>
      <c r="L306" s="13">
        <v>191.82</v>
      </c>
      <c r="M306" s="13">
        <v>580.39</v>
      </c>
      <c r="N306" s="13">
        <v>618.4</v>
      </c>
      <c r="O306" s="13">
        <v>73.400000000000006</v>
      </c>
      <c r="P306" s="13">
        <v>13.87</v>
      </c>
      <c r="Q306" s="13">
        <v>52.54</v>
      </c>
      <c r="R306" s="13">
        <v>5.57</v>
      </c>
      <c r="S306" s="13">
        <v>28.72</v>
      </c>
      <c r="T306" s="13">
        <v>143.46</v>
      </c>
      <c r="U306" s="13">
        <v>5.25</v>
      </c>
      <c r="V306" s="13">
        <v>13.25</v>
      </c>
      <c r="W306" s="13">
        <v>1.635</v>
      </c>
      <c r="X306" s="13">
        <v>9.83</v>
      </c>
      <c r="Y306" s="13">
        <v>1.62</v>
      </c>
      <c r="Z306" s="13"/>
      <c r="AA306" s="13"/>
      <c r="AB306" s="13"/>
      <c r="AC306" s="14">
        <v>495.94594594594599</v>
      </c>
      <c r="AD306" s="14">
        <v>246.35879218472471</v>
      </c>
      <c r="AE306" s="14">
        <v>264.02010050251255</v>
      </c>
      <c r="AF306" s="14">
        <v>154.29362880886427</v>
      </c>
      <c r="AG306" s="15">
        <v>0.64834157614285715</v>
      </c>
      <c r="AH306" s="15">
        <v>0.68082014531263746</v>
      </c>
      <c r="AI306" s="15">
        <v>0.73309879508594</v>
      </c>
      <c r="AJ306" s="41">
        <f t="shared" si="8"/>
        <v>4388.3500000000004</v>
      </c>
      <c r="AK306" s="44">
        <f t="shared" si="9"/>
        <v>4.0456573260839255</v>
      </c>
      <c r="AL306" s="10"/>
      <c r="AM306" s="10"/>
    </row>
    <row r="307" spans="1:39" s="16" customFormat="1" ht="19" customHeight="1">
      <c r="A307" s="9" t="s">
        <v>369</v>
      </c>
      <c r="B307" s="10" t="s">
        <v>304</v>
      </c>
      <c r="C307" s="10"/>
      <c r="D307" s="10"/>
      <c r="E307" s="11" t="s">
        <v>1341</v>
      </c>
      <c r="F307" s="11" t="s">
        <v>249</v>
      </c>
      <c r="G307" s="12" t="s">
        <v>250</v>
      </c>
      <c r="H307" s="13">
        <v>72.89</v>
      </c>
      <c r="I307" s="13">
        <v>25.17</v>
      </c>
      <c r="J307" s="13">
        <v>1126.56</v>
      </c>
      <c r="K307" s="13">
        <v>1451.69</v>
      </c>
      <c r="L307" s="13">
        <v>119.63</v>
      </c>
      <c r="M307" s="13">
        <v>547.52</v>
      </c>
      <c r="N307" s="13">
        <v>372.77</v>
      </c>
      <c r="O307" s="13">
        <v>40.94</v>
      </c>
      <c r="P307" s="13">
        <v>10.57</v>
      </c>
      <c r="Q307" s="13">
        <v>28.39</v>
      </c>
      <c r="R307" s="13">
        <v>3.21</v>
      </c>
      <c r="S307" s="13">
        <v>16.71</v>
      </c>
      <c r="T307" s="13">
        <v>95.54</v>
      </c>
      <c r="U307" s="13">
        <v>3.33</v>
      </c>
      <c r="V307" s="13">
        <v>8.19</v>
      </c>
      <c r="W307" s="13">
        <v>1.044</v>
      </c>
      <c r="X307" s="13">
        <v>6.99</v>
      </c>
      <c r="Y307" s="13">
        <v>1.0720000000000001</v>
      </c>
      <c r="Z307" s="13"/>
      <c r="AA307" s="13"/>
      <c r="AB307" s="13"/>
      <c r="AC307" s="14">
        <v>276.62162162162161</v>
      </c>
      <c r="AD307" s="14">
        <v>187.7442273534636</v>
      </c>
      <c r="AE307" s="14">
        <v>142.66331658291458</v>
      </c>
      <c r="AF307" s="14">
        <v>88.9196675900277</v>
      </c>
      <c r="AG307" s="15">
        <v>0.89554482046229833</v>
      </c>
      <c r="AH307" s="15">
        <v>0.9450773893227945</v>
      </c>
      <c r="AI307" s="15">
        <v>0.99077848505864885</v>
      </c>
      <c r="AJ307" s="41">
        <f t="shared" si="8"/>
        <v>3070.65</v>
      </c>
      <c r="AK307" s="44">
        <f t="shared" si="9"/>
        <v>5.7307933849696457</v>
      </c>
      <c r="AL307" s="10"/>
      <c r="AM307" s="10"/>
    </row>
    <row r="308" spans="1:39" s="16" customFormat="1" ht="19" customHeight="1">
      <c r="A308" s="9" t="s">
        <v>370</v>
      </c>
      <c r="B308" s="10" t="s">
        <v>304</v>
      </c>
      <c r="C308" s="10"/>
      <c r="D308" s="10"/>
      <c r="E308" s="11" t="s">
        <v>1341</v>
      </c>
      <c r="F308" s="11" t="s">
        <v>249</v>
      </c>
      <c r="G308" s="12" t="s">
        <v>250</v>
      </c>
      <c r="H308" s="13">
        <v>81.150000000000006</v>
      </c>
      <c r="I308" s="13">
        <v>29.84</v>
      </c>
      <c r="J308" s="13">
        <v>1337.62</v>
      </c>
      <c r="K308" s="13">
        <v>1800.26</v>
      </c>
      <c r="L308" s="13">
        <v>162.19</v>
      </c>
      <c r="M308" s="13">
        <v>601.71</v>
      </c>
      <c r="N308" s="13">
        <v>541.95000000000005</v>
      </c>
      <c r="O308" s="13">
        <v>66.75</v>
      </c>
      <c r="P308" s="13">
        <v>14.68</v>
      </c>
      <c r="Q308" s="13">
        <v>50.57</v>
      </c>
      <c r="R308" s="13">
        <v>5.5</v>
      </c>
      <c r="S308" s="13">
        <v>28.38</v>
      </c>
      <c r="T308" s="13">
        <v>142.58000000000001</v>
      </c>
      <c r="U308" s="13">
        <v>5.47</v>
      </c>
      <c r="V308" s="13">
        <v>13.58</v>
      </c>
      <c r="W308" s="13">
        <v>1.5640000000000001</v>
      </c>
      <c r="X308" s="13">
        <v>9.2200000000000006</v>
      </c>
      <c r="Y308" s="13">
        <v>1.6639999999999999</v>
      </c>
      <c r="Z308" s="13"/>
      <c r="AA308" s="13"/>
      <c r="AB308" s="13"/>
      <c r="AC308" s="14">
        <v>451.01351351351354</v>
      </c>
      <c r="AD308" s="14">
        <v>260.74600355239789</v>
      </c>
      <c r="AE308" s="14">
        <v>254.12060301507537</v>
      </c>
      <c r="AF308" s="14">
        <v>152.35457063711911</v>
      </c>
      <c r="AG308" s="15">
        <v>0.7395642827099721</v>
      </c>
      <c r="AH308" s="15">
        <v>0.77019899003758074</v>
      </c>
      <c r="AI308" s="15">
        <v>0.83011729461594874</v>
      </c>
      <c r="AJ308" s="41">
        <f t="shared" si="8"/>
        <v>3842.0200000000004</v>
      </c>
      <c r="AK308" s="44">
        <f t="shared" si="9"/>
        <v>4.2201571047832793</v>
      </c>
      <c r="AL308" s="10"/>
      <c r="AM308" s="10"/>
    </row>
    <row r="309" spans="1:39" s="16" customFormat="1" ht="19" customHeight="1">
      <c r="A309" s="9" t="s">
        <v>371</v>
      </c>
      <c r="B309" s="10" t="s">
        <v>304</v>
      </c>
      <c r="C309" s="10"/>
      <c r="D309" s="10"/>
      <c r="E309" s="11" t="s">
        <v>1341</v>
      </c>
      <c r="F309" s="11" t="s">
        <v>249</v>
      </c>
      <c r="G309" s="12" t="s">
        <v>250</v>
      </c>
      <c r="H309" s="13">
        <v>60.8</v>
      </c>
      <c r="I309" s="13">
        <v>23.86</v>
      </c>
      <c r="J309" s="13">
        <v>1346.68</v>
      </c>
      <c r="K309" s="13">
        <v>2353.06</v>
      </c>
      <c r="L309" s="13">
        <v>250.5</v>
      </c>
      <c r="M309" s="13">
        <v>612.39</v>
      </c>
      <c r="N309" s="13">
        <v>913.63</v>
      </c>
      <c r="O309" s="13">
        <v>119.4</v>
      </c>
      <c r="P309" s="13">
        <v>15.79</v>
      </c>
      <c r="Q309" s="13">
        <v>83.23</v>
      </c>
      <c r="R309" s="13">
        <v>9.23</v>
      </c>
      <c r="S309" s="13">
        <v>47.45</v>
      </c>
      <c r="T309" s="13">
        <v>225.82</v>
      </c>
      <c r="U309" s="13">
        <v>8.33</v>
      </c>
      <c r="V309" s="13">
        <v>20.89</v>
      </c>
      <c r="W309" s="13">
        <v>2.29</v>
      </c>
      <c r="X309" s="13">
        <v>13.1</v>
      </c>
      <c r="Y309" s="13">
        <v>1.9379999999999999</v>
      </c>
      <c r="Z309" s="13"/>
      <c r="AA309" s="13"/>
      <c r="AB309" s="13"/>
      <c r="AC309" s="14">
        <v>806.75675675675689</v>
      </c>
      <c r="AD309" s="14">
        <v>280.46181172291296</v>
      </c>
      <c r="AE309" s="14">
        <v>418.24120603015075</v>
      </c>
      <c r="AF309" s="14">
        <v>255.6786703601108</v>
      </c>
      <c r="AG309" s="15">
        <v>0.45789759696392274</v>
      </c>
      <c r="AH309" s="15">
        <v>0.48282418973894048</v>
      </c>
      <c r="AI309" s="15">
        <v>0.50989469646540608</v>
      </c>
      <c r="AJ309" s="41">
        <f t="shared" si="8"/>
        <v>4863.87</v>
      </c>
      <c r="AK309" s="44">
        <f t="shared" si="9"/>
        <v>2.7118501461340889</v>
      </c>
      <c r="AL309" s="10"/>
      <c r="AM309" s="10"/>
    </row>
    <row r="310" spans="1:39" s="16" customFormat="1" ht="19" customHeight="1">
      <c r="A310" s="9" t="s">
        <v>372</v>
      </c>
      <c r="B310" s="10" t="s">
        <v>304</v>
      </c>
      <c r="C310" s="10"/>
      <c r="D310" s="10"/>
      <c r="E310" s="11" t="s">
        <v>1341</v>
      </c>
      <c r="F310" s="11" t="s">
        <v>249</v>
      </c>
      <c r="G310" s="12" t="s">
        <v>250</v>
      </c>
      <c r="H310" s="13">
        <v>86.21</v>
      </c>
      <c r="I310" s="13">
        <v>36.43</v>
      </c>
      <c r="J310" s="13">
        <v>1289.95</v>
      </c>
      <c r="K310" s="13">
        <v>2008.26</v>
      </c>
      <c r="L310" s="13">
        <v>166.74</v>
      </c>
      <c r="M310" s="13">
        <v>580.45000000000005</v>
      </c>
      <c r="N310" s="13">
        <v>500.45</v>
      </c>
      <c r="O310" s="13">
        <v>55.63</v>
      </c>
      <c r="P310" s="13">
        <v>15.75</v>
      </c>
      <c r="Q310" s="13">
        <v>38.340000000000003</v>
      </c>
      <c r="R310" s="13">
        <v>3.84</v>
      </c>
      <c r="S310" s="13">
        <v>19.899999999999999</v>
      </c>
      <c r="T310" s="13">
        <v>105.61</v>
      </c>
      <c r="U310" s="13">
        <v>3.61</v>
      </c>
      <c r="V310" s="13">
        <v>9.83</v>
      </c>
      <c r="W310" s="13">
        <v>1.177</v>
      </c>
      <c r="X310" s="13">
        <v>7.39</v>
      </c>
      <c r="Y310" s="13">
        <v>1.1040000000000001</v>
      </c>
      <c r="Z310" s="13"/>
      <c r="AA310" s="13"/>
      <c r="AB310" s="13"/>
      <c r="AC310" s="14">
        <v>375.87837837837839</v>
      </c>
      <c r="AD310" s="14">
        <v>279.75133214920072</v>
      </c>
      <c r="AE310" s="14">
        <v>192.66331658291458</v>
      </c>
      <c r="AF310" s="14">
        <v>106.37119113573407</v>
      </c>
      <c r="AG310" s="15">
        <v>0.98410137595360203</v>
      </c>
      <c r="AH310" s="15">
        <v>1.0395585984765887</v>
      </c>
      <c r="AI310" s="15">
        <v>1.1336158939166963</v>
      </c>
      <c r="AJ310" s="41">
        <f t="shared" si="8"/>
        <v>3965.3999999999996</v>
      </c>
      <c r="AK310" s="44">
        <f t="shared" si="9"/>
        <v>5.4961651358772849</v>
      </c>
      <c r="AL310" s="10"/>
      <c r="AM310" s="10"/>
    </row>
    <row r="311" spans="1:39" s="16" customFormat="1" ht="19" customHeight="1">
      <c r="A311" s="9" t="s">
        <v>373</v>
      </c>
      <c r="B311" s="10" t="s">
        <v>304</v>
      </c>
      <c r="C311" s="10"/>
      <c r="D311" s="10"/>
      <c r="E311" s="11" t="s">
        <v>1341</v>
      </c>
      <c r="F311" s="11" t="s">
        <v>249</v>
      </c>
      <c r="G311" s="12" t="s">
        <v>250</v>
      </c>
      <c r="H311" s="13">
        <v>82.78</v>
      </c>
      <c r="I311" s="13">
        <v>35.159999999999997</v>
      </c>
      <c r="J311" s="13">
        <v>1233.95</v>
      </c>
      <c r="K311" s="13">
        <v>1917.58</v>
      </c>
      <c r="L311" s="13">
        <v>188.11</v>
      </c>
      <c r="M311" s="13">
        <v>586.88</v>
      </c>
      <c r="N311" s="13">
        <v>643.28</v>
      </c>
      <c r="O311" s="13">
        <v>83.86</v>
      </c>
      <c r="P311" s="13">
        <v>12.86</v>
      </c>
      <c r="Q311" s="13">
        <v>64.959999999999994</v>
      </c>
      <c r="R311" s="13">
        <v>6.81</v>
      </c>
      <c r="S311" s="13">
        <v>36.630000000000003</v>
      </c>
      <c r="T311" s="13">
        <v>178.29</v>
      </c>
      <c r="U311" s="13">
        <v>6.45</v>
      </c>
      <c r="V311" s="13">
        <v>16.37</v>
      </c>
      <c r="W311" s="13">
        <v>1.8129999999999999</v>
      </c>
      <c r="X311" s="13">
        <v>10.9</v>
      </c>
      <c r="Y311" s="13">
        <v>1.738</v>
      </c>
      <c r="Z311" s="13"/>
      <c r="AA311" s="13"/>
      <c r="AB311" s="13"/>
      <c r="AC311" s="14">
        <v>566.62162162162167</v>
      </c>
      <c r="AD311" s="14">
        <v>228.41918294849023</v>
      </c>
      <c r="AE311" s="14">
        <v>326.43216080402004</v>
      </c>
      <c r="AF311" s="14">
        <v>188.64265927977837</v>
      </c>
      <c r="AG311" s="15">
        <v>0.51154630872975249</v>
      </c>
      <c r="AH311" s="15">
        <v>0.53111618056056986</v>
      </c>
      <c r="AI311" s="15">
        <v>0.58164389700384278</v>
      </c>
      <c r="AJ311" s="41">
        <f t="shared" si="8"/>
        <v>3982.92</v>
      </c>
      <c r="AK311" s="44">
        <f t="shared" si="9"/>
        <v>3.2917157440125639</v>
      </c>
      <c r="AL311" s="10"/>
      <c r="AM311" s="10"/>
    </row>
    <row r="312" spans="1:39" s="16" customFormat="1" ht="19" customHeight="1">
      <c r="A312" s="9" t="s">
        <v>374</v>
      </c>
      <c r="B312" s="10" t="s">
        <v>304</v>
      </c>
      <c r="C312" s="10"/>
      <c r="D312" s="10"/>
      <c r="E312" s="11" t="s">
        <v>1341</v>
      </c>
      <c r="F312" s="11" t="s">
        <v>249</v>
      </c>
      <c r="G312" s="12" t="s">
        <v>250</v>
      </c>
      <c r="H312" s="13">
        <v>62.02</v>
      </c>
      <c r="I312" s="13">
        <v>57.54</v>
      </c>
      <c r="J312" s="13">
        <v>794.64</v>
      </c>
      <c r="K312" s="13">
        <v>1364.08</v>
      </c>
      <c r="L312" s="13">
        <v>189.43</v>
      </c>
      <c r="M312" s="13">
        <v>283.72000000000003</v>
      </c>
      <c r="N312" s="13">
        <v>695.17</v>
      </c>
      <c r="O312" s="13">
        <v>98.43</v>
      </c>
      <c r="P312" s="13">
        <v>12.93</v>
      </c>
      <c r="Q312" s="13">
        <v>49.26</v>
      </c>
      <c r="R312" s="13">
        <v>6.47</v>
      </c>
      <c r="S312" s="13">
        <v>39.909999999999997</v>
      </c>
      <c r="T312" s="13">
        <v>236.16</v>
      </c>
      <c r="U312" s="13">
        <v>7.77</v>
      </c>
      <c r="V312" s="13">
        <v>23.36</v>
      </c>
      <c r="W312" s="13">
        <v>3.08</v>
      </c>
      <c r="X312" s="13">
        <v>20.63</v>
      </c>
      <c r="Y312" s="13">
        <v>2.7</v>
      </c>
      <c r="Z312" s="13"/>
      <c r="AA312" s="13"/>
      <c r="AB312" s="13"/>
      <c r="AC312" s="14">
        <v>665.06756756756761</v>
      </c>
      <c r="AD312" s="14">
        <v>229.66252220248668</v>
      </c>
      <c r="AE312" s="14">
        <v>247.53768844221102</v>
      </c>
      <c r="AF312" s="14">
        <v>179.22437673130193</v>
      </c>
      <c r="AG312" s="15">
        <v>0.50331185513142795</v>
      </c>
      <c r="AH312" s="15">
        <v>0.56602625932708306</v>
      </c>
      <c r="AI312" s="15">
        <v>0.53462253094892009</v>
      </c>
      <c r="AJ312" s="41">
        <f t="shared" si="8"/>
        <v>3043.3199999999997</v>
      </c>
      <c r="AK312" s="44">
        <f t="shared" si="9"/>
        <v>1.2013888888888891</v>
      </c>
      <c r="AL312" s="10"/>
      <c r="AM312" s="10"/>
    </row>
    <row r="313" spans="1:39" s="16" customFormat="1" ht="19" customHeight="1">
      <c r="A313" s="9" t="s">
        <v>375</v>
      </c>
      <c r="B313" s="10" t="s">
        <v>304</v>
      </c>
      <c r="C313" s="10"/>
      <c r="D313" s="10"/>
      <c r="E313" s="11" t="s">
        <v>1341</v>
      </c>
      <c r="F313" s="11" t="s">
        <v>249</v>
      </c>
      <c r="G313" s="12" t="s">
        <v>250</v>
      </c>
      <c r="H313" s="13">
        <v>62.11</v>
      </c>
      <c r="I313" s="13">
        <v>63.44</v>
      </c>
      <c r="J313" s="13">
        <v>737.16</v>
      </c>
      <c r="K313" s="13">
        <v>1725.32</v>
      </c>
      <c r="L313" s="13">
        <v>198.45</v>
      </c>
      <c r="M313" s="13">
        <v>350.27</v>
      </c>
      <c r="N313" s="13">
        <v>622.32000000000005</v>
      </c>
      <c r="O313" s="13">
        <v>92.92</v>
      </c>
      <c r="P313" s="13">
        <v>15.92</v>
      </c>
      <c r="Q313" s="13">
        <v>81.69</v>
      </c>
      <c r="R313" s="13">
        <v>9.77</v>
      </c>
      <c r="S313" s="13">
        <v>54.88</v>
      </c>
      <c r="T313" s="13">
        <v>299.95999999999998</v>
      </c>
      <c r="U313" s="13">
        <v>11.01</v>
      </c>
      <c r="V313" s="13">
        <v>30.6</v>
      </c>
      <c r="W313" s="13">
        <v>3.42</v>
      </c>
      <c r="X313" s="13">
        <v>25.38</v>
      </c>
      <c r="Y313" s="13">
        <v>4.3600000000000003</v>
      </c>
      <c r="Z313" s="13"/>
      <c r="AA313" s="13"/>
      <c r="AB313" s="13"/>
      <c r="AC313" s="14">
        <v>627.83783783783792</v>
      </c>
      <c r="AD313" s="14">
        <v>282.77087033747785</v>
      </c>
      <c r="AE313" s="14">
        <v>410.50251256281405</v>
      </c>
      <c r="AF313" s="14">
        <v>270.63711911357342</v>
      </c>
      <c r="AG313" s="15">
        <v>0.54465931181113869</v>
      </c>
      <c r="AH313" s="15">
        <v>0.55699720494857097</v>
      </c>
      <c r="AI313" s="15">
        <v>0.59622093928586706</v>
      </c>
      <c r="AJ313" s="41">
        <f t="shared" si="8"/>
        <v>3283.25</v>
      </c>
      <c r="AK313" s="44">
        <f t="shared" si="9"/>
        <v>1.1677223629817308</v>
      </c>
      <c r="AL313" s="10"/>
      <c r="AM313" s="10"/>
    </row>
    <row r="314" spans="1:39" s="16" customFormat="1" ht="19" customHeight="1">
      <c r="A314" s="9" t="s">
        <v>376</v>
      </c>
      <c r="B314" s="10" t="s">
        <v>304</v>
      </c>
      <c r="C314" s="10"/>
      <c r="D314" s="10"/>
      <c r="E314" s="11" t="s">
        <v>1341</v>
      </c>
      <c r="F314" s="11" t="s">
        <v>249</v>
      </c>
      <c r="G314" s="12" t="s">
        <v>250</v>
      </c>
      <c r="H314" s="13">
        <v>114.29</v>
      </c>
      <c r="I314" s="13">
        <v>102.11</v>
      </c>
      <c r="J314" s="13">
        <v>982.59</v>
      </c>
      <c r="K314" s="13">
        <v>2339.14</v>
      </c>
      <c r="L314" s="13">
        <v>301.20999999999998</v>
      </c>
      <c r="M314" s="13">
        <v>342.91</v>
      </c>
      <c r="N314" s="13">
        <v>945.89</v>
      </c>
      <c r="O314" s="13">
        <v>163.02000000000001</v>
      </c>
      <c r="P314" s="13">
        <v>18.600000000000001</v>
      </c>
      <c r="Q314" s="13">
        <v>155.11000000000001</v>
      </c>
      <c r="R314" s="13">
        <v>17.309999999999999</v>
      </c>
      <c r="S314" s="13">
        <v>109.12</v>
      </c>
      <c r="T314" s="13">
        <v>568.72</v>
      </c>
      <c r="U314" s="13">
        <v>19.48</v>
      </c>
      <c r="V314" s="13">
        <v>51.5</v>
      </c>
      <c r="W314" s="13">
        <v>7.31</v>
      </c>
      <c r="X314" s="13">
        <v>42.04</v>
      </c>
      <c r="Y314" s="13">
        <v>6.63</v>
      </c>
      <c r="Z314" s="13"/>
      <c r="AA314" s="13"/>
      <c r="AB314" s="13"/>
      <c r="AC314" s="14">
        <v>1101.4864864864867</v>
      </c>
      <c r="AD314" s="14">
        <v>330.37300177619898</v>
      </c>
      <c r="AE314" s="14">
        <v>779.4472361809045</v>
      </c>
      <c r="AF314" s="14">
        <v>479.5013850415512</v>
      </c>
      <c r="AG314" s="15">
        <v>0.35128617004929891</v>
      </c>
      <c r="AH314" s="15">
        <v>0.35655095329979392</v>
      </c>
      <c r="AI314" s="15">
        <v>0.39575080967209386</v>
      </c>
      <c r="AJ314" s="41">
        <f t="shared" si="8"/>
        <v>4568.83</v>
      </c>
      <c r="AK314" s="44">
        <f t="shared" si="9"/>
        <v>0.60295048530032358</v>
      </c>
      <c r="AL314" s="10"/>
      <c r="AM314" s="10"/>
    </row>
    <row r="315" spans="1:39" s="16" customFormat="1" ht="19" customHeight="1">
      <c r="A315" s="9" t="s">
        <v>377</v>
      </c>
      <c r="B315" s="10" t="s">
        <v>304</v>
      </c>
      <c r="C315" s="10"/>
      <c r="D315" s="10"/>
      <c r="E315" s="11" t="s">
        <v>1341</v>
      </c>
      <c r="F315" s="11" t="s">
        <v>249</v>
      </c>
      <c r="G315" s="12" t="s">
        <v>250</v>
      </c>
      <c r="H315" s="13">
        <v>127.77</v>
      </c>
      <c r="I315" s="13">
        <v>111.05</v>
      </c>
      <c r="J315" s="13">
        <v>1261.92</v>
      </c>
      <c r="K315" s="13">
        <v>4223.8500000000004</v>
      </c>
      <c r="L315" s="13">
        <v>523.37</v>
      </c>
      <c r="M315" s="13">
        <v>384.01</v>
      </c>
      <c r="N315" s="13">
        <v>1764.48</v>
      </c>
      <c r="O315" s="13">
        <v>243.67</v>
      </c>
      <c r="P315" s="13">
        <v>39.93</v>
      </c>
      <c r="Q315" s="13">
        <v>171.91</v>
      </c>
      <c r="R315" s="13">
        <v>22.48</v>
      </c>
      <c r="S315" s="13">
        <v>103.65</v>
      </c>
      <c r="T315" s="13">
        <v>579.33000000000004</v>
      </c>
      <c r="U315" s="13">
        <v>24.87</v>
      </c>
      <c r="V315" s="13">
        <v>59.3</v>
      </c>
      <c r="W315" s="13">
        <v>6.97</v>
      </c>
      <c r="X315" s="13">
        <v>43.56</v>
      </c>
      <c r="Y315" s="13">
        <v>5.2</v>
      </c>
      <c r="Z315" s="13"/>
      <c r="AA315" s="13"/>
      <c r="AB315" s="13"/>
      <c r="AC315" s="14">
        <v>1646.418918918919</v>
      </c>
      <c r="AD315" s="14">
        <v>709.23623445825933</v>
      </c>
      <c r="AE315" s="14">
        <v>863.86934673366829</v>
      </c>
      <c r="AF315" s="14">
        <v>622.7146814404432</v>
      </c>
      <c r="AG315" s="15">
        <v>0.56506357788664774</v>
      </c>
      <c r="AH315" s="15">
        <v>0.59469831698790943</v>
      </c>
      <c r="AI315" s="15">
        <v>0.59566349047520328</v>
      </c>
      <c r="AJ315" s="41">
        <f t="shared" si="8"/>
        <v>7773.6200000000008</v>
      </c>
      <c r="AK315" s="44">
        <f t="shared" si="9"/>
        <v>0.66285191514335517</v>
      </c>
      <c r="AL315" s="10"/>
      <c r="AM315" s="10"/>
    </row>
    <row r="316" spans="1:39" s="16" customFormat="1" ht="19" customHeight="1">
      <c r="A316" s="9" t="s">
        <v>378</v>
      </c>
      <c r="B316" s="10" t="s">
        <v>304</v>
      </c>
      <c r="C316" s="10"/>
      <c r="D316" s="10"/>
      <c r="E316" s="11" t="s">
        <v>1341</v>
      </c>
      <c r="F316" s="11" t="s">
        <v>249</v>
      </c>
      <c r="G316" s="12" t="s">
        <v>250</v>
      </c>
      <c r="H316" s="13">
        <v>73.56</v>
      </c>
      <c r="I316" s="13">
        <v>84.55</v>
      </c>
      <c r="J316" s="13">
        <v>739.09</v>
      </c>
      <c r="K316" s="13">
        <v>1813.67</v>
      </c>
      <c r="L316" s="13">
        <v>172.1</v>
      </c>
      <c r="M316" s="13">
        <v>412.87</v>
      </c>
      <c r="N316" s="13">
        <v>648.57000000000005</v>
      </c>
      <c r="O316" s="13">
        <v>82.73</v>
      </c>
      <c r="P316" s="13">
        <v>20.48</v>
      </c>
      <c r="Q316" s="13">
        <v>74.23</v>
      </c>
      <c r="R316" s="13">
        <v>10.96</v>
      </c>
      <c r="S316" s="13">
        <v>49.11</v>
      </c>
      <c r="T316" s="13">
        <v>280.83</v>
      </c>
      <c r="U316" s="13">
        <v>10.56</v>
      </c>
      <c r="V316" s="13">
        <v>28.39</v>
      </c>
      <c r="W316" s="13">
        <v>3.49</v>
      </c>
      <c r="X316" s="13">
        <v>24.32</v>
      </c>
      <c r="Y316" s="13">
        <v>4.9400000000000004</v>
      </c>
      <c r="Z316" s="13"/>
      <c r="AA316" s="13"/>
      <c r="AB316" s="13"/>
      <c r="AC316" s="14">
        <v>558.98648648648657</v>
      </c>
      <c r="AD316" s="14">
        <v>363.76554174067496</v>
      </c>
      <c r="AE316" s="14">
        <v>373.0150753768844</v>
      </c>
      <c r="AF316" s="14">
        <v>303.60110803324102</v>
      </c>
      <c r="AG316" s="15">
        <v>0.78061144235293045</v>
      </c>
      <c r="AH316" s="15">
        <v>0.79663193262088738</v>
      </c>
      <c r="AI316" s="15">
        <v>0.7976020000803058</v>
      </c>
      <c r="AJ316" s="41">
        <f t="shared" si="8"/>
        <v>3373.4300000000003</v>
      </c>
      <c r="AK316" s="44">
        <f t="shared" si="9"/>
        <v>1.470177687568992</v>
      </c>
      <c r="AL316" s="10"/>
      <c r="AM316" s="10"/>
    </row>
    <row r="317" spans="1:39" s="16" customFormat="1" ht="19" customHeight="1">
      <c r="A317" s="9" t="s">
        <v>379</v>
      </c>
      <c r="B317" s="10" t="s">
        <v>304</v>
      </c>
      <c r="C317" s="10"/>
      <c r="D317" s="10"/>
      <c r="E317" s="11" t="s">
        <v>1341</v>
      </c>
      <c r="F317" s="11" t="s">
        <v>249</v>
      </c>
      <c r="G317" s="12" t="s">
        <v>250</v>
      </c>
      <c r="H317" s="13">
        <v>109.78</v>
      </c>
      <c r="I317" s="13">
        <v>67.48</v>
      </c>
      <c r="J317" s="13">
        <v>1237.97</v>
      </c>
      <c r="K317" s="13">
        <v>2144.92</v>
      </c>
      <c r="L317" s="13">
        <v>311.35000000000002</v>
      </c>
      <c r="M317" s="13">
        <v>313.41000000000003</v>
      </c>
      <c r="N317" s="13">
        <v>951.55</v>
      </c>
      <c r="O317" s="13">
        <v>142.33000000000001</v>
      </c>
      <c r="P317" s="13">
        <v>19.79</v>
      </c>
      <c r="Q317" s="13">
        <v>112.32</v>
      </c>
      <c r="R317" s="13">
        <v>12.99</v>
      </c>
      <c r="S317" s="13">
        <v>73.42</v>
      </c>
      <c r="T317" s="13">
        <v>376.25</v>
      </c>
      <c r="U317" s="13">
        <v>14.74</v>
      </c>
      <c r="V317" s="13">
        <v>36.07</v>
      </c>
      <c r="W317" s="13">
        <v>5.65</v>
      </c>
      <c r="X317" s="13">
        <v>31.48</v>
      </c>
      <c r="Y317" s="13">
        <v>5.3</v>
      </c>
      <c r="Z317" s="13"/>
      <c r="AA317" s="13"/>
      <c r="AB317" s="13"/>
      <c r="AC317" s="14">
        <v>961.68918918918928</v>
      </c>
      <c r="AD317" s="14">
        <v>351.50976909413856</v>
      </c>
      <c r="AE317" s="14">
        <v>564.4221105527638</v>
      </c>
      <c r="AF317" s="14">
        <v>359.83379501385042</v>
      </c>
      <c r="AG317" s="15">
        <v>0.46066072527419799</v>
      </c>
      <c r="AH317" s="15">
        <v>0.47710945501968882</v>
      </c>
      <c r="AI317" s="15">
        <v>0.50724011687395898</v>
      </c>
      <c r="AJ317" s="41">
        <f t="shared" si="8"/>
        <v>4645.79</v>
      </c>
      <c r="AK317" s="44">
        <f t="shared" si="9"/>
        <v>0.83298338870431898</v>
      </c>
      <c r="AL317" s="10"/>
      <c r="AM317" s="10"/>
    </row>
    <row r="318" spans="1:39" s="16" customFormat="1" ht="19" customHeight="1">
      <c r="A318" s="9" t="s">
        <v>380</v>
      </c>
      <c r="B318" s="10" t="s">
        <v>304</v>
      </c>
      <c r="C318" s="10"/>
      <c r="D318" s="10"/>
      <c r="E318" s="11" t="s">
        <v>1341</v>
      </c>
      <c r="F318" s="11" t="s">
        <v>249</v>
      </c>
      <c r="G318" s="12" t="s">
        <v>250</v>
      </c>
      <c r="H318" s="13">
        <v>41.1</v>
      </c>
      <c r="I318" s="13">
        <v>20.059999999999999</v>
      </c>
      <c r="J318" s="13">
        <v>174.91</v>
      </c>
      <c r="K318" s="13">
        <v>707.9</v>
      </c>
      <c r="L318" s="13">
        <v>137.35</v>
      </c>
      <c r="M318" s="13">
        <v>371.84</v>
      </c>
      <c r="N318" s="13">
        <v>757.5</v>
      </c>
      <c r="O318" s="13">
        <v>181.99</v>
      </c>
      <c r="P318" s="13">
        <v>16.5</v>
      </c>
      <c r="Q318" s="13">
        <v>175.54</v>
      </c>
      <c r="R318" s="13">
        <v>23.28</v>
      </c>
      <c r="S318" s="13">
        <v>138.07</v>
      </c>
      <c r="T318" s="13">
        <v>743.92</v>
      </c>
      <c r="U318" s="13">
        <v>26.82</v>
      </c>
      <c r="V318" s="13">
        <v>67.67</v>
      </c>
      <c r="W318" s="13">
        <v>8.08</v>
      </c>
      <c r="X318" s="13">
        <v>47.36</v>
      </c>
      <c r="Y318" s="13">
        <v>6.45</v>
      </c>
      <c r="Z318" s="13"/>
      <c r="AA318" s="13"/>
      <c r="AB318" s="13"/>
      <c r="AC318" s="14">
        <v>1229.6621621621623</v>
      </c>
      <c r="AD318" s="14">
        <v>293.0728241563055</v>
      </c>
      <c r="AE318" s="14">
        <v>882.11055276381899</v>
      </c>
      <c r="AF318" s="14">
        <v>644.8753462603878</v>
      </c>
      <c r="AG318" s="15">
        <v>0.27756095349169985</v>
      </c>
      <c r="AH318" s="15">
        <v>0.28139808380447234</v>
      </c>
      <c r="AI318" s="15">
        <v>0.29554690693440422</v>
      </c>
      <c r="AJ318" s="41">
        <f t="shared" si="8"/>
        <v>1777.6599999999999</v>
      </c>
      <c r="AK318" s="44">
        <f t="shared" si="9"/>
        <v>0.49983869233250888</v>
      </c>
      <c r="AL318" s="10"/>
      <c r="AM318" s="10"/>
    </row>
    <row r="319" spans="1:39" s="16" customFormat="1" ht="19" customHeight="1">
      <c r="A319" s="9" t="s">
        <v>381</v>
      </c>
      <c r="B319" s="10" t="s">
        <v>304</v>
      </c>
      <c r="C319" s="10"/>
      <c r="D319" s="10"/>
      <c r="E319" s="11" t="s">
        <v>1341</v>
      </c>
      <c r="F319" s="11" t="s">
        <v>249</v>
      </c>
      <c r="G319" s="12" t="s">
        <v>250</v>
      </c>
      <c r="H319" s="13">
        <v>54.42</v>
      </c>
      <c r="I319" s="13">
        <v>33.82</v>
      </c>
      <c r="J319" s="13">
        <v>256.77999999999997</v>
      </c>
      <c r="K319" s="13">
        <v>783.41</v>
      </c>
      <c r="L319" s="13">
        <v>134.96</v>
      </c>
      <c r="M319" s="13">
        <v>432.15</v>
      </c>
      <c r="N319" s="13">
        <v>689.8</v>
      </c>
      <c r="O319" s="13">
        <v>155.57</v>
      </c>
      <c r="P319" s="13">
        <v>14.34</v>
      </c>
      <c r="Q319" s="13">
        <v>149.30000000000001</v>
      </c>
      <c r="R319" s="13">
        <v>20.05</v>
      </c>
      <c r="S319" s="13">
        <v>115.99</v>
      </c>
      <c r="T319" s="13">
        <v>588.04999999999995</v>
      </c>
      <c r="U319" s="13">
        <v>23.41</v>
      </c>
      <c r="V319" s="13">
        <v>57.58</v>
      </c>
      <c r="W319" s="13">
        <v>7.27</v>
      </c>
      <c r="X319" s="13">
        <v>43.61</v>
      </c>
      <c r="Y319" s="13">
        <v>6.48</v>
      </c>
      <c r="Z319" s="13"/>
      <c r="AA319" s="13"/>
      <c r="AB319" s="13"/>
      <c r="AC319" s="14">
        <v>1051.1486486486488</v>
      </c>
      <c r="AD319" s="14">
        <v>254.7069271758437</v>
      </c>
      <c r="AE319" s="14">
        <v>750.25125628140711</v>
      </c>
      <c r="AF319" s="14">
        <v>555.40166204986156</v>
      </c>
      <c r="AG319" s="15">
        <v>0.28278776575791298</v>
      </c>
      <c r="AH319" s="15">
        <v>0.28681728644584958</v>
      </c>
      <c r="AI319" s="15">
        <v>0.29972912156506337</v>
      </c>
      <c r="AJ319" s="41">
        <f t="shared" si="8"/>
        <v>1864.95</v>
      </c>
      <c r="AK319" s="44">
        <f t="shared" si="9"/>
        <v>0.73488648924411193</v>
      </c>
      <c r="AL319" s="10"/>
      <c r="AM319" s="10"/>
    </row>
    <row r="320" spans="1:39" s="16" customFormat="1" ht="19" customHeight="1">
      <c r="A320" s="9" t="s">
        <v>382</v>
      </c>
      <c r="B320" s="10" t="s">
        <v>304</v>
      </c>
      <c r="C320" s="10"/>
      <c r="D320" s="10"/>
      <c r="E320" s="11" t="s">
        <v>1341</v>
      </c>
      <c r="F320" s="11" t="s">
        <v>249</v>
      </c>
      <c r="G320" s="12" t="s">
        <v>250</v>
      </c>
      <c r="H320" s="13">
        <v>53.81</v>
      </c>
      <c r="I320" s="13">
        <v>40.96</v>
      </c>
      <c r="J320" s="13">
        <v>217.16</v>
      </c>
      <c r="K320" s="13">
        <v>770.83</v>
      </c>
      <c r="L320" s="13">
        <v>144.4</v>
      </c>
      <c r="M320" s="13">
        <v>418.48</v>
      </c>
      <c r="N320" s="13">
        <v>757.2</v>
      </c>
      <c r="O320" s="13">
        <v>176.53</v>
      </c>
      <c r="P320" s="13">
        <v>15.93</v>
      </c>
      <c r="Q320" s="13">
        <v>170.14</v>
      </c>
      <c r="R320" s="13">
        <v>22.9</v>
      </c>
      <c r="S320" s="13">
        <v>136.93</v>
      </c>
      <c r="T320" s="13">
        <v>733.39</v>
      </c>
      <c r="U320" s="13">
        <v>26.3</v>
      </c>
      <c r="V320" s="13">
        <v>70.78</v>
      </c>
      <c r="W320" s="13">
        <v>9.1300000000000008</v>
      </c>
      <c r="X320" s="13">
        <v>54.71</v>
      </c>
      <c r="Y320" s="13">
        <v>8.85</v>
      </c>
      <c r="Z320" s="13"/>
      <c r="AA320" s="13"/>
      <c r="AB320" s="13"/>
      <c r="AC320" s="14">
        <v>1192.7702702702704</v>
      </c>
      <c r="AD320" s="14">
        <v>282.94849023090586</v>
      </c>
      <c r="AE320" s="14">
        <v>854.97487437185919</v>
      </c>
      <c r="AF320" s="14">
        <v>634.34903047091404</v>
      </c>
      <c r="AG320" s="15">
        <v>0.27635127444568286</v>
      </c>
      <c r="AH320" s="15">
        <v>0.2801897876037211</v>
      </c>
      <c r="AI320" s="15">
        <v>0.29279259168573324</v>
      </c>
      <c r="AJ320" s="41">
        <f t="shared" si="8"/>
        <v>1889.5900000000001</v>
      </c>
      <c r="AK320" s="44">
        <f t="shared" si="9"/>
        <v>0.57061045282864509</v>
      </c>
      <c r="AL320" s="10"/>
      <c r="AM320" s="10"/>
    </row>
    <row r="321" spans="1:39" s="16" customFormat="1" ht="19" customHeight="1">
      <c r="A321" s="9" t="s">
        <v>383</v>
      </c>
      <c r="B321" s="10" t="s">
        <v>304</v>
      </c>
      <c r="C321" s="10"/>
      <c r="D321" s="10"/>
      <c r="E321" s="11" t="s">
        <v>1341</v>
      </c>
      <c r="F321" s="11" t="s">
        <v>249</v>
      </c>
      <c r="G321" s="12" t="s">
        <v>250</v>
      </c>
      <c r="H321" s="13">
        <v>68.260000000000005</v>
      </c>
      <c r="I321" s="13">
        <v>46.01</v>
      </c>
      <c r="J321" s="13">
        <v>214.38</v>
      </c>
      <c r="K321" s="13">
        <v>766.58</v>
      </c>
      <c r="L321" s="13">
        <v>147.05000000000001</v>
      </c>
      <c r="M321" s="13">
        <v>413.51</v>
      </c>
      <c r="N321" s="13">
        <v>784.72</v>
      </c>
      <c r="O321" s="13">
        <v>186.25</v>
      </c>
      <c r="P321" s="13">
        <v>18.02</v>
      </c>
      <c r="Q321" s="13">
        <v>181.42</v>
      </c>
      <c r="R321" s="13">
        <v>23.73</v>
      </c>
      <c r="S321" s="13">
        <v>142.52000000000001</v>
      </c>
      <c r="T321" s="13">
        <v>757.52</v>
      </c>
      <c r="U321" s="13">
        <v>28.26</v>
      </c>
      <c r="V321" s="13">
        <v>74.48</v>
      </c>
      <c r="W321" s="13">
        <v>9.4600000000000009</v>
      </c>
      <c r="X321" s="13">
        <v>60.52</v>
      </c>
      <c r="Y321" s="13">
        <v>9.1999999999999993</v>
      </c>
      <c r="Z321" s="13"/>
      <c r="AA321" s="13"/>
      <c r="AB321" s="13"/>
      <c r="AC321" s="14">
        <v>1258.4459459459461</v>
      </c>
      <c r="AD321" s="14">
        <v>320.07104795737126</v>
      </c>
      <c r="AE321" s="14">
        <v>911.65829145728628</v>
      </c>
      <c r="AF321" s="14">
        <v>657.3407202216066</v>
      </c>
      <c r="AG321" s="15">
        <v>0.29498218789745451</v>
      </c>
      <c r="AH321" s="15">
        <v>0.29882234234405963</v>
      </c>
      <c r="AI321" s="15">
        <v>0.31581045447538481</v>
      </c>
      <c r="AJ321" s="41">
        <f t="shared" si="8"/>
        <v>1912.73</v>
      </c>
      <c r="AK321" s="44">
        <f t="shared" si="9"/>
        <v>0.54587337628049426</v>
      </c>
      <c r="AL321" s="10"/>
      <c r="AM321" s="10"/>
    </row>
    <row r="322" spans="1:39" s="16" customFormat="1" ht="19" customHeight="1">
      <c r="A322" s="9" t="s">
        <v>380</v>
      </c>
      <c r="B322" s="10" t="s">
        <v>304</v>
      </c>
      <c r="C322" s="10"/>
      <c r="D322" s="10"/>
      <c r="E322" s="11" t="s">
        <v>1341</v>
      </c>
      <c r="F322" s="11" t="s">
        <v>249</v>
      </c>
      <c r="G322" s="12" t="s">
        <v>250</v>
      </c>
      <c r="H322" s="13">
        <v>41.1</v>
      </c>
      <c r="I322" s="13">
        <v>20.059999999999999</v>
      </c>
      <c r="J322" s="13">
        <v>174.91</v>
      </c>
      <c r="K322" s="13">
        <v>707.9</v>
      </c>
      <c r="L322" s="13">
        <v>137.35</v>
      </c>
      <c r="M322" s="13">
        <v>371.84</v>
      </c>
      <c r="N322" s="13">
        <v>757.5</v>
      </c>
      <c r="O322" s="13">
        <v>181.99</v>
      </c>
      <c r="P322" s="13">
        <v>16.5</v>
      </c>
      <c r="Q322" s="13">
        <v>175.54</v>
      </c>
      <c r="R322" s="13">
        <v>23.28</v>
      </c>
      <c r="S322" s="13">
        <v>138.07</v>
      </c>
      <c r="T322" s="13">
        <v>743.92</v>
      </c>
      <c r="U322" s="13">
        <v>26.82</v>
      </c>
      <c r="V322" s="13">
        <v>67.67</v>
      </c>
      <c r="W322" s="13">
        <v>8.08</v>
      </c>
      <c r="X322" s="13">
        <v>47.36</v>
      </c>
      <c r="Y322" s="13">
        <v>6.45</v>
      </c>
      <c r="Z322" s="13"/>
      <c r="AA322" s="13"/>
      <c r="AB322" s="13"/>
      <c r="AC322" s="14">
        <v>1229.6621621621623</v>
      </c>
      <c r="AD322" s="14">
        <v>293.0728241563055</v>
      </c>
      <c r="AE322" s="14">
        <v>882.11055276381899</v>
      </c>
      <c r="AF322" s="14">
        <v>644.8753462603878</v>
      </c>
      <c r="AG322" s="15">
        <v>0.27756095349169985</v>
      </c>
      <c r="AH322" s="15">
        <v>0.28139808380447234</v>
      </c>
      <c r="AI322" s="15">
        <v>0.29554690693440422</v>
      </c>
      <c r="AJ322" s="41">
        <f t="shared" si="8"/>
        <v>1777.6599999999999</v>
      </c>
      <c r="AK322" s="44">
        <f t="shared" si="9"/>
        <v>0.49983869233250888</v>
      </c>
      <c r="AL322" s="10"/>
      <c r="AM322" s="10"/>
    </row>
    <row r="323" spans="1:39" s="16" customFormat="1" ht="19" customHeight="1">
      <c r="A323" s="9" t="s">
        <v>381</v>
      </c>
      <c r="B323" s="10" t="s">
        <v>304</v>
      </c>
      <c r="C323" s="10"/>
      <c r="D323" s="10"/>
      <c r="E323" s="11" t="s">
        <v>1341</v>
      </c>
      <c r="F323" s="11" t="s">
        <v>249</v>
      </c>
      <c r="G323" s="12" t="s">
        <v>250</v>
      </c>
      <c r="H323" s="13">
        <v>54.42</v>
      </c>
      <c r="I323" s="13">
        <v>33.82</v>
      </c>
      <c r="J323" s="13">
        <v>256.77999999999997</v>
      </c>
      <c r="K323" s="13">
        <v>783.41</v>
      </c>
      <c r="L323" s="13">
        <v>134.96</v>
      </c>
      <c r="M323" s="13">
        <v>432.15</v>
      </c>
      <c r="N323" s="13">
        <v>689.8</v>
      </c>
      <c r="O323" s="13">
        <v>155.57</v>
      </c>
      <c r="P323" s="13">
        <v>14.34</v>
      </c>
      <c r="Q323" s="13">
        <v>149.30000000000001</v>
      </c>
      <c r="R323" s="13">
        <v>20.05</v>
      </c>
      <c r="S323" s="13">
        <v>115.99</v>
      </c>
      <c r="T323" s="13">
        <v>588.04999999999995</v>
      </c>
      <c r="U323" s="13">
        <v>23.41</v>
      </c>
      <c r="V323" s="13">
        <v>57.58</v>
      </c>
      <c r="W323" s="13">
        <v>7.27</v>
      </c>
      <c r="X323" s="13">
        <v>43.61</v>
      </c>
      <c r="Y323" s="13">
        <v>6.48</v>
      </c>
      <c r="Z323" s="13"/>
      <c r="AA323" s="13"/>
      <c r="AB323" s="13"/>
      <c r="AC323" s="14">
        <v>1051.1486486486488</v>
      </c>
      <c r="AD323" s="14">
        <v>254.7069271758437</v>
      </c>
      <c r="AE323" s="14">
        <v>750.25125628140711</v>
      </c>
      <c r="AF323" s="14">
        <v>555.40166204986156</v>
      </c>
      <c r="AG323" s="15">
        <v>0.28278776575791298</v>
      </c>
      <c r="AH323" s="15">
        <v>0.28681728644584958</v>
      </c>
      <c r="AI323" s="15">
        <v>0.29972912156506337</v>
      </c>
      <c r="AJ323" s="41">
        <f t="shared" si="8"/>
        <v>1864.95</v>
      </c>
      <c r="AK323" s="44">
        <f t="shared" si="9"/>
        <v>0.73488648924411193</v>
      </c>
      <c r="AL323" s="10"/>
      <c r="AM323" s="10"/>
    </row>
    <row r="324" spans="1:39" s="16" customFormat="1" ht="19" customHeight="1">
      <c r="A324" s="9" t="s">
        <v>382</v>
      </c>
      <c r="B324" s="10" t="s">
        <v>304</v>
      </c>
      <c r="C324" s="10"/>
      <c r="D324" s="10"/>
      <c r="E324" s="11" t="s">
        <v>1341</v>
      </c>
      <c r="F324" s="11" t="s">
        <v>249</v>
      </c>
      <c r="G324" s="12" t="s">
        <v>250</v>
      </c>
      <c r="H324" s="13">
        <v>53.81</v>
      </c>
      <c r="I324" s="13">
        <v>40.96</v>
      </c>
      <c r="J324" s="13">
        <v>217.16</v>
      </c>
      <c r="K324" s="13">
        <v>770.83</v>
      </c>
      <c r="L324" s="13">
        <v>144.4</v>
      </c>
      <c r="M324" s="13">
        <v>418.48</v>
      </c>
      <c r="N324" s="13">
        <v>757.2</v>
      </c>
      <c r="O324" s="13">
        <v>176.53</v>
      </c>
      <c r="P324" s="13">
        <v>15.93</v>
      </c>
      <c r="Q324" s="13">
        <v>170.14</v>
      </c>
      <c r="R324" s="13">
        <v>22.9</v>
      </c>
      <c r="S324" s="13">
        <v>136.93</v>
      </c>
      <c r="T324" s="13">
        <v>733.39</v>
      </c>
      <c r="U324" s="13">
        <v>26.3</v>
      </c>
      <c r="V324" s="13">
        <v>70.78</v>
      </c>
      <c r="W324" s="13">
        <v>9.1300000000000008</v>
      </c>
      <c r="X324" s="13">
        <v>54.71</v>
      </c>
      <c r="Y324" s="13">
        <v>8.85</v>
      </c>
      <c r="Z324" s="13"/>
      <c r="AA324" s="13"/>
      <c r="AB324" s="13"/>
      <c r="AC324" s="14">
        <v>1192.7702702702704</v>
      </c>
      <c r="AD324" s="14">
        <v>282.94849023090586</v>
      </c>
      <c r="AE324" s="14">
        <v>854.97487437185919</v>
      </c>
      <c r="AF324" s="14">
        <v>634.34903047091404</v>
      </c>
      <c r="AG324" s="15">
        <v>0.27635127444568286</v>
      </c>
      <c r="AH324" s="15">
        <v>0.2801897876037211</v>
      </c>
      <c r="AI324" s="15">
        <v>0.29279259168573324</v>
      </c>
      <c r="AJ324" s="41">
        <f t="shared" si="8"/>
        <v>1889.5900000000001</v>
      </c>
      <c r="AK324" s="44">
        <f t="shared" si="9"/>
        <v>0.57061045282864509</v>
      </c>
      <c r="AL324" s="10"/>
      <c r="AM324" s="10"/>
    </row>
    <row r="325" spans="1:39" s="16" customFormat="1" ht="19" customHeight="1">
      <c r="A325" s="9" t="s">
        <v>383</v>
      </c>
      <c r="B325" s="10" t="s">
        <v>304</v>
      </c>
      <c r="C325" s="10"/>
      <c r="D325" s="10"/>
      <c r="E325" s="11" t="s">
        <v>1341</v>
      </c>
      <c r="F325" s="11" t="s">
        <v>249</v>
      </c>
      <c r="G325" s="12" t="s">
        <v>250</v>
      </c>
      <c r="H325" s="13">
        <v>68.260000000000005</v>
      </c>
      <c r="I325" s="13">
        <v>46.01</v>
      </c>
      <c r="J325" s="13">
        <v>214.38</v>
      </c>
      <c r="K325" s="13">
        <v>766.58</v>
      </c>
      <c r="L325" s="13">
        <v>147.05000000000001</v>
      </c>
      <c r="M325" s="13">
        <v>413.51</v>
      </c>
      <c r="N325" s="13">
        <v>784.72</v>
      </c>
      <c r="O325" s="13">
        <v>186.25</v>
      </c>
      <c r="P325" s="13">
        <v>18.02</v>
      </c>
      <c r="Q325" s="13">
        <v>181.42</v>
      </c>
      <c r="R325" s="13">
        <v>23.73</v>
      </c>
      <c r="S325" s="13">
        <v>142.52000000000001</v>
      </c>
      <c r="T325" s="13">
        <v>757.52</v>
      </c>
      <c r="U325" s="13">
        <v>28.26</v>
      </c>
      <c r="V325" s="13">
        <v>74.48</v>
      </c>
      <c r="W325" s="13">
        <v>9.4600000000000009</v>
      </c>
      <c r="X325" s="13">
        <v>60.52</v>
      </c>
      <c r="Y325" s="13">
        <v>9.1999999999999993</v>
      </c>
      <c r="Z325" s="13"/>
      <c r="AA325" s="13"/>
      <c r="AB325" s="13"/>
      <c r="AC325" s="14">
        <v>1258.4459459459461</v>
      </c>
      <c r="AD325" s="14">
        <v>320.07104795737126</v>
      </c>
      <c r="AE325" s="14">
        <v>911.65829145728628</v>
      </c>
      <c r="AF325" s="14">
        <v>657.3407202216066</v>
      </c>
      <c r="AG325" s="15">
        <v>0.29498218789745451</v>
      </c>
      <c r="AH325" s="15">
        <v>0.29882234234405963</v>
      </c>
      <c r="AI325" s="15">
        <v>0.31581045447538481</v>
      </c>
      <c r="AJ325" s="41">
        <f t="shared" si="8"/>
        <v>1912.73</v>
      </c>
      <c r="AK325" s="44">
        <f t="shared" si="9"/>
        <v>0.54587337628049426</v>
      </c>
      <c r="AL325" s="10"/>
      <c r="AM325" s="10"/>
    </row>
    <row r="326" spans="1:39" s="16" customFormat="1" ht="19" customHeight="1">
      <c r="A326" s="9" t="s">
        <v>384</v>
      </c>
      <c r="B326" s="10" t="s">
        <v>304</v>
      </c>
      <c r="C326" s="10"/>
      <c r="D326" s="10"/>
      <c r="E326" s="11" t="s">
        <v>1341</v>
      </c>
      <c r="F326" s="11" t="s">
        <v>249</v>
      </c>
      <c r="G326" s="12" t="s">
        <v>250</v>
      </c>
      <c r="H326" s="13">
        <v>58.36</v>
      </c>
      <c r="I326" s="13">
        <v>39.03</v>
      </c>
      <c r="J326" s="13">
        <v>289.42</v>
      </c>
      <c r="K326" s="13">
        <v>837.49</v>
      </c>
      <c r="L326" s="13">
        <v>147.06</v>
      </c>
      <c r="M326" s="13">
        <v>459.4</v>
      </c>
      <c r="N326" s="13">
        <v>732.63</v>
      </c>
      <c r="O326" s="13">
        <v>162.05000000000001</v>
      </c>
      <c r="P326" s="13">
        <v>15.45</v>
      </c>
      <c r="Q326" s="13">
        <v>159.38999999999999</v>
      </c>
      <c r="R326" s="13">
        <v>21.15</v>
      </c>
      <c r="S326" s="13">
        <v>117.54</v>
      </c>
      <c r="T326" s="13">
        <v>606.87</v>
      </c>
      <c r="U326" s="13">
        <v>23.62</v>
      </c>
      <c r="V326" s="13">
        <v>60.93</v>
      </c>
      <c r="W326" s="13">
        <v>7.54</v>
      </c>
      <c r="X326" s="13">
        <v>45.17</v>
      </c>
      <c r="Y326" s="13">
        <v>6.77</v>
      </c>
      <c r="Z326" s="13"/>
      <c r="AA326" s="13"/>
      <c r="AB326" s="13"/>
      <c r="AC326" s="14">
        <v>1094.9324324324325</v>
      </c>
      <c r="AD326" s="14">
        <v>274.42273534635882</v>
      </c>
      <c r="AE326" s="14">
        <v>800.95477386934658</v>
      </c>
      <c r="AF326" s="14">
        <v>585.87257617728528</v>
      </c>
      <c r="AG326" s="15">
        <v>0.28949268124622535</v>
      </c>
      <c r="AH326" s="15">
        <v>0.29303698129174899</v>
      </c>
      <c r="AI326" s="15">
        <v>0.30871719478620313</v>
      </c>
      <c r="AJ326" s="41">
        <f t="shared" ref="AJ326:AJ389" si="10">J326+K326+L326+N326</f>
        <v>2006.6</v>
      </c>
      <c r="AK326" s="44">
        <f t="shared" ref="AK326:AK389" si="11">M326/T326</f>
        <v>0.75699902779837525</v>
      </c>
      <c r="AL326" s="10"/>
      <c r="AM326" s="10"/>
    </row>
    <row r="327" spans="1:39" s="16" customFormat="1" ht="19" customHeight="1">
      <c r="A327" s="9" t="s">
        <v>385</v>
      </c>
      <c r="B327" s="10" t="s">
        <v>304</v>
      </c>
      <c r="C327" s="10"/>
      <c r="D327" s="10"/>
      <c r="E327" s="11" t="s">
        <v>1341</v>
      </c>
      <c r="F327" s="11" t="s">
        <v>249</v>
      </c>
      <c r="G327" s="12" t="s">
        <v>250</v>
      </c>
      <c r="H327" s="13">
        <v>78.12</v>
      </c>
      <c r="I327" s="13">
        <v>77.06</v>
      </c>
      <c r="J327" s="13">
        <v>227.06</v>
      </c>
      <c r="K327" s="13">
        <v>796.24</v>
      </c>
      <c r="L327" s="13">
        <v>144.13999999999999</v>
      </c>
      <c r="M327" s="13">
        <v>415.13</v>
      </c>
      <c r="N327" s="13">
        <v>756.42</v>
      </c>
      <c r="O327" s="13">
        <v>182.94</v>
      </c>
      <c r="P327" s="13">
        <v>14.3</v>
      </c>
      <c r="Q327" s="13">
        <v>186.46</v>
      </c>
      <c r="R327" s="13">
        <v>25.08</v>
      </c>
      <c r="S327" s="13">
        <v>146.44999999999999</v>
      </c>
      <c r="T327" s="13">
        <v>805.41</v>
      </c>
      <c r="U327" s="13">
        <v>29.62</v>
      </c>
      <c r="V327" s="13">
        <v>76.59</v>
      </c>
      <c r="W327" s="13">
        <v>9.33</v>
      </c>
      <c r="X327" s="13">
        <v>52.61</v>
      </c>
      <c r="Y327" s="13">
        <v>7.14</v>
      </c>
      <c r="Z327" s="13"/>
      <c r="AA327" s="13"/>
      <c r="AB327" s="13"/>
      <c r="AC327" s="14">
        <v>1236.081081081081</v>
      </c>
      <c r="AD327" s="14">
        <v>253.99644760213147</v>
      </c>
      <c r="AE327" s="14">
        <v>936.9849246231156</v>
      </c>
      <c r="AF327" s="14">
        <v>694.73684210526312</v>
      </c>
      <c r="AG327" s="15">
        <v>0.2337678164725808</v>
      </c>
      <c r="AH327" s="15">
        <v>0.23601405204067941</v>
      </c>
      <c r="AI327" s="15">
        <v>0.24899438865211135</v>
      </c>
      <c r="AJ327" s="41">
        <f t="shared" si="10"/>
        <v>1923.8600000000001</v>
      </c>
      <c r="AK327" s="44">
        <f t="shared" si="11"/>
        <v>0.51542692541686841</v>
      </c>
      <c r="AL327" s="10"/>
      <c r="AM327" s="10"/>
    </row>
    <row r="328" spans="1:39" s="16" customFormat="1" ht="19" customHeight="1">
      <c r="A328" s="9" t="s">
        <v>386</v>
      </c>
      <c r="B328" s="10" t="s">
        <v>304</v>
      </c>
      <c r="C328" s="10"/>
      <c r="D328" s="10"/>
      <c r="E328" s="11" t="s">
        <v>1341</v>
      </c>
      <c r="F328" s="11" t="s">
        <v>249</v>
      </c>
      <c r="G328" s="12" t="s">
        <v>250</v>
      </c>
      <c r="H328" s="13">
        <v>51.25</v>
      </c>
      <c r="I328" s="13">
        <v>99.34</v>
      </c>
      <c r="J328" s="13">
        <v>1092.81</v>
      </c>
      <c r="K328" s="13">
        <v>2636.5</v>
      </c>
      <c r="L328" s="13">
        <v>345.84</v>
      </c>
      <c r="M328" s="13">
        <v>285.18</v>
      </c>
      <c r="N328" s="13">
        <v>1494.41</v>
      </c>
      <c r="O328" s="13">
        <v>278.64</v>
      </c>
      <c r="P328" s="13">
        <v>12.82</v>
      </c>
      <c r="Q328" s="13">
        <v>242.84</v>
      </c>
      <c r="R328" s="13">
        <v>30.89</v>
      </c>
      <c r="S328" s="13">
        <v>187.5</v>
      </c>
      <c r="T328" s="13">
        <v>1028.4000000000001</v>
      </c>
      <c r="U328" s="13">
        <v>35.950000000000003</v>
      </c>
      <c r="V328" s="13">
        <v>96.72</v>
      </c>
      <c r="W328" s="13">
        <v>11.97</v>
      </c>
      <c r="X328" s="13">
        <v>74.78</v>
      </c>
      <c r="Y328" s="13">
        <v>11.27</v>
      </c>
      <c r="Z328" s="13"/>
      <c r="AA328" s="13"/>
      <c r="AB328" s="13"/>
      <c r="AC328" s="14">
        <v>1882.7027027027027</v>
      </c>
      <c r="AD328" s="14">
        <v>227.708703374778</v>
      </c>
      <c r="AE328" s="14">
        <v>1220.3015075376884</v>
      </c>
      <c r="AF328" s="14">
        <v>855.6786703601108</v>
      </c>
      <c r="AG328" s="15">
        <v>0.14676660935444705</v>
      </c>
      <c r="AH328" s="15">
        <v>0.15022948671589459</v>
      </c>
      <c r="AI328" s="15">
        <v>0.15730948085101842</v>
      </c>
      <c r="AJ328" s="41">
        <f t="shared" si="10"/>
        <v>5569.56</v>
      </c>
      <c r="AK328" s="44">
        <f t="shared" si="11"/>
        <v>0.27730455075845972</v>
      </c>
      <c r="AL328" s="10"/>
      <c r="AM328" s="10"/>
    </row>
    <row r="329" spans="1:39" s="16" customFormat="1" ht="19" customHeight="1">
      <c r="A329" s="9" t="s">
        <v>387</v>
      </c>
      <c r="B329" s="10" t="s">
        <v>304</v>
      </c>
      <c r="C329" s="10"/>
      <c r="D329" s="10"/>
      <c r="E329" s="11" t="s">
        <v>1341</v>
      </c>
      <c r="F329" s="11" t="s">
        <v>249</v>
      </c>
      <c r="G329" s="12" t="s">
        <v>250</v>
      </c>
      <c r="H329" s="13">
        <v>53.27</v>
      </c>
      <c r="I329" s="13">
        <v>102.83</v>
      </c>
      <c r="J329" s="13">
        <v>1068.22</v>
      </c>
      <c r="K329" s="13">
        <v>2651.39</v>
      </c>
      <c r="L329" s="13">
        <v>348.83</v>
      </c>
      <c r="M329" s="13">
        <v>279.63</v>
      </c>
      <c r="N329" s="13">
        <v>1396.41</v>
      </c>
      <c r="O329" s="13">
        <v>263.11</v>
      </c>
      <c r="P329" s="13">
        <v>11.78</v>
      </c>
      <c r="Q329" s="13">
        <v>234.32</v>
      </c>
      <c r="R329" s="13">
        <v>29.23</v>
      </c>
      <c r="S329" s="13">
        <v>172.28</v>
      </c>
      <c r="T329" s="13">
        <v>929.6</v>
      </c>
      <c r="U329" s="13">
        <v>34.090000000000003</v>
      </c>
      <c r="V329" s="13">
        <v>83.92</v>
      </c>
      <c r="W329" s="13">
        <v>10.65</v>
      </c>
      <c r="X329" s="13">
        <v>63.63</v>
      </c>
      <c r="Y329" s="13">
        <v>8.7100000000000009</v>
      </c>
      <c r="Z329" s="13"/>
      <c r="AA329" s="13"/>
      <c r="AB329" s="13"/>
      <c r="AC329" s="14">
        <v>1777.7702702702704</v>
      </c>
      <c r="AD329" s="14">
        <v>209.23623445825933</v>
      </c>
      <c r="AE329" s="14">
        <v>1177.4874371859296</v>
      </c>
      <c r="AF329" s="14">
        <v>809.6952908587258</v>
      </c>
      <c r="AG329" s="15">
        <v>0.14160269943995091</v>
      </c>
      <c r="AH329" s="15">
        <v>0.1446175283864736</v>
      </c>
      <c r="AI329" s="15">
        <v>0.1529722302940216</v>
      </c>
      <c r="AJ329" s="41">
        <f t="shared" si="10"/>
        <v>5464.8499999999995</v>
      </c>
      <c r="AK329" s="44">
        <f t="shared" si="11"/>
        <v>0.3008067986230637</v>
      </c>
      <c r="AL329" s="10"/>
      <c r="AM329" s="10"/>
    </row>
    <row r="330" spans="1:39" s="16" customFormat="1" ht="19" customHeight="1">
      <c r="A330" s="9" t="s">
        <v>388</v>
      </c>
      <c r="B330" s="10" t="s">
        <v>304</v>
      </c>
      <c r="C330" s="10"/>
      <c r="D330" s="10"/>
      <c r="E330" s="11" t="s">
        <v>1341</v>
      </c>
      <c r="F330" s="11" t="s">
        <v>249</v>
      </c>
      <c r="G330" s="12" t="s">
        <v>250</v>
      </c>
      <c r="H330" s="13">
        <v>56.88</v>
      </c>
      <c r="I330" s="13">
        <v>95.11</v>
      </c>
      <c r="J330" s="13">
        <v>1142.06</v>
      </c>
      <c r="K330" s="13">
        <v>2581.62</v>
      </c>
      <c r="L330" s="13">
        <v>345.04</v>
      </c>
      <c r="M330" s="13">
        <v>261.27999999999997</v>
      </c>
      <c r="N330" s="13">
        <v>1445</v>
      </c>
      <c r="O330" s="13">
        <v>267.3</v>
      </c>
      <c r="P330" s="13">
        <v>12.84</v>
      </c>
      <c r="Q330" s="13">
        <v>253.95</v>
      </c>
      <c r="R330" s="13">
        <v>30.34</v>
      </c>
      <c r="S330" s="13">
        <v>170.91</v>
      </c>
      <c r="T330" s="13">
        <v>999.53</v>
      </c>
      <c r="U330" s="13">
        <v>35.409999999999997</v>
      </c>
      <c r="V330" s="13">
        <v>85.82</v>
      </c>
      <c r="W330" s="13">
        <v>11</v>
      </c>
      <c r="X330" s="13">
        <v>64.66</v>
      </c>
      <c r="Y330" s="13">
        <v>9.5299999999999994</v>
      </c>
      <c r="Z330" s="13"/>
      <c r="AA330" s="13"/>
      <c r="AB330" s="13"/>
      <c r="AC330" s="14">
        <v>1806.0810810810813</v>
      </c>
      <c r="AD330" s="14">
        <v>228.06394316163411</v>
      </c>
      <c r="AE330" s="14">
        <v>1276.1306532663316</v>
      </c>
      <c r="AF330" s="14">
        <v>840.44321329639888</v>
      </c>
      <c r="AG330" s="15">
        <v>0.14798720063267903</v>
      </c>
      <c r="AH330" s="15">
        <v>0.15022438572019778</v>
      </c>
      <c r="AI330" s="15">
        <v>0.16295299316230658</v>
      </c>
      <c r="AJ330" s="41">
        <f t="shared" si="10"/>
        <v>5513.7199999999993</v>
      </c>
      <c r="AK330" s="44">
        <f t="shared" si="11"/>
        <v>0.26140285934389162</v>
      </c>
      <c r="AL330" s="10"/>
      <c r="AM330" s="10"/>
    </row>
    <row r="331" spans="1:39" s="16" customFormat="1" ht="19" customHeight="1">
      <c r="A331" s="9" t="s">
        <v>389</v>
      </c>
      <c r="B331" s="10" t="s">
        <v>304</v>
      </c>
      <c r="C331" s="10"/>
      <c r="D331" s="10"/>
      <c r="E331" s="11" t="s">
        <v>1341</v>
      </c>
      <c r="F331" s="11" t="s">
        <v>249</v>
      </c>
      <c r="G331" s="12" t="s">
        <v>250</v>
      </c>
      <c r="H331" s="13">
        <v>50.23</v>
      </c>
      <c r="I331" s="13">
        <v>113.37</v>
      </c>
      <c r="J331" s="13">
        <v>1135.8900000000001</v>
      </c>
      <c r="K331" s="13">
        <v>2635.41</v>
      </c>
      <c r="L331" s="13">
        <v>310.29000000000002</v>
      </c>
      <c r="M331" s="13">
        <v>272.06</v>
      </c>
      <c r="N331" s="13">
        <v>1174.32</v>
      </c>
      <c r="O331" s="13">
        <v>197.5</v>
      </c>
      <c r="P331" s="13">
        <v>13.08</v>
      </c>
      <c r="Q331" s="13">
        <v>162.06</v>
      </c>
      <c r="R331" s="13">
        <v>20.93</v>
      </c>
      <c r="S331" s="13">
        <v>124.48</v>
      </c>
      <c r="T331" s="13">
        <v>679.71</v>
      </c>
      <c r="U331" s="13">
        <v>24.29</v>
      </c>
      <c r="V331" s="13">
        <v>64.25</v>
      </c>
      <c r="W331" s="13">
        <v>9.14</v>
      </c>
      <c r="X331" s="13">
        <v>54.8</v>
      </c>
      <c r="Y331" s="13">
        <v>7.75</v>
      </c>
      <c r="Z331" s="13"/>
      <c r="AA331" s="13"/>
      <c r="AB331" s="13"/>
      <c r="AC331" s="14">
        <v>1334.4594594594596</v>
      </c>
      <c r="AD331" s="14">
        <v>232.32682060390766</v>
      </c>
      <c r="AE331" s="14">
        <v>814.3718592964824</v>
      </c>
      <c r="AF331" s="14">
        <v>579.77839335180056</v>
      </c>
      <c r="AG331" s="15">
        <v>0.21623551236996344</v>
      </c>
      <c r="AH331" s="15">
        <v>0.22286161725722153</v>
      </c>
      <c r="AI331" s="15">
        <v>0.22986618297827524</v>
      </c>
      <c r="AJ331" s="41">
        <f t="shared" si="10"/>
        <v>5255.91</v>
      </c>
      <c r="AK331" s="44">
        <f t="shared" si="11"/>
        <v>0.40025893395712875</v>
      </c>
      <c r="AL331" s="10"/>
      <c r="AM331" s="10"/>
    </row>
    <row r="332" spans="1:39" s="16" customFormat="1" ht="19" customHeight="1">
      <c r="A332" s="9" t="s">
        <v>390</v>
      </c>
      <c r="B332" s="10" t="s">
        <v>304</v>
      </c>
      <c r="C332" s="10"/>
      <c r="D332" s="10"/>
      <c r="E332" s="11" t="s">
        <v>1341</v>
      </c>
      <c r="F332" s="11" t="s">
        <v>249</v>
      </c>
      <c r="G332" s="12" t="s">
        <v>250</v>
      </c>
      <c r="H332" s="13">
        <v>53.59</v>
      </c>
      <c r="I332" s="13">
        <v>117.64</v>
      </c>
      <c r="J332" s="13">
        <v>1109.1199999999999</v>
      </c>
      <c r="K332" s="13">
        <v>2662.01</v>
      </c>
      <c r="L332" s="13">
        <v>329.74</v>
      </c>
      <c r="M332" s="13">
        <v>275.26</v>
      </c>
      <c r="N332" s="13">
        <v>1248.7</v>
      </c>
      <c r="O332" s="13">
        <v>217.49</v>
      </c>
      <c r="P332" s="13">
        <v>12.42</v>
      </c>
      <c r="Q332" s="13">
        <v>182.47</v>
      </c>
      <c r="R332" s="13">
        <v>23.96</v>
      </c>
      <c r="S332" s="13">
        <v>138.97999999999999</v>
      </c>
      <c r="T332" s="13">
        <v>750.29</v>
      </c>
      <c r="U332" s="13">
        <v>26.2</v>
      </c>
      <c r="V332" s="13">
        <v>72.63</v>
      </c>
      <c r="W332" s="13">
        <v>9.08</v>
      </c>
      <c r="X332" s="13">
        <v>55.35</v>
      </c>
      <c r="Y332" s="13">
        <v>7.72</v>
      </c>
      <c r="Z332" s="13"/>
      <c r="AA332" s="13"/>
      <c r="AB332" s="13"/>
      <c r="AC332" s="14">
        <v>1469.5270270270271</v>
      </c>
      <c r="AD332" s="14">
        <v>220.60390763765542</v>
      </c>
      <c r="AE332" s="14">
        <v>916.93467336683409</v>
      </c>
      <c r="AF332" s="14">
        <v>663.7119113573408</v>
      </c>
      <c r="AG332" s="15">
        <v>0.184879487151415</v>
      </c>
      <c r="AH332" s="15">
        <v>0.19004446011307949</v>
      </c>
      <c r="AI332" s="15">
        <v>0.19565980308430297</v>
      </c>
      <c r="AJ332" s="41">
        <f t="shared" si="10"/>
        <v>5349.57</v>
      </c>
      <c r="AK332" s="44">
        <f t="shared" si="11"/>
        <v>0.36687147636247319</v>
      </c>
      <c r="AL332" s="10"/>
      <c r="AM332" s="10"/>
    </row>
    <row r="333" spans="1:39" s="16" customFormat="1" ht="19" customHeight="1">
      <c r="A333" s="9" t="s">
        <v>391</v>
      </c>
      <c r="B333" s="10" t="s">
        <v>304</v>
      </c>
      <c r="C333" s="10"/>
      <c r="D333" s="10"/>
      <c r="E333" s="11" t="s">
        <v>1341</v>
      </c>
      <c r="F333" s="11" t="s">
        <v>249</v>
      </c>
      <c r="G333" s="12" t="s">
        <v>250</v>
      </c>
      <c r="H333" s="13">
        <v>68.92</v>
      </c>
      <c r="I333" s="13">
        <v>111.58</v>
      </c>
      <c r="J333" s="13">
        <v>861.95</v>
      </c>
      <c r="K333" s="13">
        <v>2034.03</v>
      </c>
      <c r="L333" s="13">
        <v>272.97000000000003</v>
      </c>
      <c r="M333" s="13">
        <v>262.32</v>
      </c>
      <c r="N333" s="13">
        <v>1183.22</v>
      </c>
      <c r="O333" s="13">
        <v>251.6</v>
      </c>
      <c r="P333" s="13">
        <v>15.72</v>
      </c>
      <c r="Q333" s="13">
        <v>246.62</v>
      </c>
      <c r="R333" s="13">
        <v>34.520000000000003</v>
      </c>
      <c r="S333" s="13">
        <v>210.77</v>
      </c>
      <c r="T333" s="13">
        <v>1151.92</v>
      </c>
      <c r="U333" s="13">
        <v>41.15</v>
      </c>
      <c r="V333" s="13">
        <v>110.45</v>
      </c>
      <c r="W333" s="13">
        <v>14.61</v>
      </c>
      <c r="X333" s="13">
        <v>90.11</v>
      </c>
      <c r="Y333" s="13">
        <v>13.26</v>
      </c>
      <c r="Z333" s="13"/>
      <c r="AA333" s="13"/>
      <c r="AB333" s="13"/>
      <c r="AC333" s="14">
        <v>1700</v>
      </c>
      <c r="AD333" s="14">
        <v>279.21847246891656</v>
      </c>
      <c r="AE333" s="14">
        <v>1239.2964824120602</v>
      </c>
      <c r="AF333" s="14">
        <v>956.23268698060951</v>
      </c>
      <c r="AG333" s="15">
        <v>0.18999000212444234</v>
      </c>
      <c r="AH333" s="15">
        <v>0.19236766686026555</v>
      </c>
      <c r="AI333" s="15">
        <v>0.19897125437134974</v>
      </c>
      <c r="AJ333" s="41">
        <f t="shared" si="10"/>
        <v>4352.17</v>
      </c>
      <c r="AK333" s="44">
        <f t="shared" si="11"/>
        <v>0.22772414751024375</v>
      </c>
      <c r="AL333" s="10"/>
      <c r="AM333" s="10"/>
    </row>
    <row r="334" spans="1:39" s="16" customFormat="1" ht="19" customHeight="1">
      <c r="A334" s="9" t="s">
        <v>392</v>
      </c>
      <c r="B334" s="10" t="s">
        <v>304</v>
      </c>
      <c r="C334" s="10"/>
      <c r="D334" s="10"/>
      <c r="E334" s="11" t="s">
        <v>1341</v>
      </c>
      <c r="F334" s="11" t="s">
        <v>249</v>
      </c>
      <c r="G334" s="12" t="s">
        <v>250</v>
      </c>
      <c r="H334" s="13">
        <v>125.17</v>
      </c>
      <c r="I334" s="13">
        <v>176.05</v>
      </c>
      <c r="J334" s="13">
        <v>1091.3900000000001</v>
      </c>
      <c r="K334" s="13">
        <v>2519.67</v>
      </c>
      <c r="L334" s="13">
        <v>354.39</v>
      </c>
      <c r="M334" s="13">
        <v>299.22000000000003</v>
      </c>
      <c r="N334" s="13">
        <v>1605.82</v>
      </c>
      <c r="O334" s="13">
        <v>338.72</v>
      </c>
      <c r="P334" s="13">
        <v>23.91</v>
      </c>
      <c r="Q334" s="13">
        <v>348.17</v>
      </c>
      <c r="R334" s="13">
        <v>50.69</v>
      </c>
      <c r="S334" s="13">
        <v>300.68</v>
      </c>
      <c r="T334" s="13">
        <v>1788.06</v>
      </c>
      <c r="U334" s="13">
        <v>61.92</v>
      </c>
      <c r="V334" s="13">
        <v>169.59</v>
      </c>
      <c r="W334" s="13">
        <v>23.34</v>
      </c>
      <c r="X334" s="13">
        <v>148.41999999999999</v>
      </c>
      <c r="Y334" s="13">
        <v>21.19</v>
      </c>
      <c r="Z334" s="13"/>
      <c r="AA334" s="13"/>
      <c r="AB334" s="13"/>
      <c r="AC334" s="14">
        <v>2288.6486486486488</v>
      </c>
      <c r="AD334" s="14">
        <v>424.68916518650093</v>
      </c>
      <c r="AE334" s="14">
        <v>1749.5979899497488</v>
      </c>
      <c r="AF334" s="14">
        <v>1404.1551246537394</v>
      </c>
      <c r="AG334" s="15">
        <v>0.21033344577185253</v>
      </c>
      <c r="AH334" s="15">
        <v>0.21223278988556227</v>
      </c>
      <c r="AI334" s="15">
        <v>0.21838027152250344</v>
      </c>
      <c r="AJ334" s="41">
        <f t="shared" si="10"/>
        <v>5571.27</v>
      </c>
      <c r="AK334" s="44">
        <f t="shared" si="11"/>
        <v>0.16734337773900207</v>
      </c>
      <c r="AL334" s="10"/>
      <c r="AM334" s="10"/>
    </row>
    <row r="335" spans="1:39" s="16" customFormat="1" ht="19" customHeight="1">
      <c r="A335" s="9" t="s">
        <v>393</v>
      </c>
      <c r="B335" s="10" t="s">
        <v>304</v>
      </c>
      <c r="C335" s="10"/>
      <c r="D335" s="10"/>
      <c r="E335" s="11" t="s">
        <v>1341</v>
      </c>
      <c r="F335" s="11" t="s">
        <v>249</v>
      </c>
      <c r="G335" s="12" t="s">
        <v>250</v>
      </c>
      <c r="H335" s="13">
        <v>13.56</v>
      </c>
      <c r="I335" s="13">
        <v>6.15</v>
      </c>
      <c r="J335" s="13">
        <v>311.13</v>
      </c>
      <c r="K335" s="13">
        <v>680.33</v>
      </c>
      <c r="L335" s="13">
        <v>95.37</v>
      </c>
      <c r="M335" s="13">
        <v>549.19000000000005</v>
      </c>
      <c r="N335" s="13">
        <v>432.53</v>
      </c>
      <c r="O335" s="13">
        <v>81.95</v>
      </c>
      <c r="P335" s="13">
        <v>14.65</v>
      </c>
      <c r="Q335" s="13">
        <v>71.25</v>
      </c>
      <c r="R335" s="13">
        <v>7.76</v>
      </c>
      <c r="S335" s="13">
        <v>45.63</v>
      </c>
      <c r="T335" s="13">
        <v>211.66</v>
      </c>
      <c r="U335" s="13">
        <v>8.27</v>
      </c>
      <c r="V335" s="13">
        <v>20.16</v>
      </c>
      <c r="W335" s="13">
        <v>2.4500000000000002</v>
      </c>
      <c r="X335" s="13">
        <v>13.54</v>
      </c>
      <c r="Y335" s="13">
        <v>2.1800000000000002</v>
      </c>
      <c r="Z335" s="13"/>
      <c r="AA335" s="13"/>
      <c r="AB335" s="13"/>
      <c r="AC335" s="14">
        <v>553.71621621621625</v>
      </c>
      <c r="AD335" s="14">
        <v>260.21314387211368</v>
      </c>
      <c r="AE335" s="14">
        <v>358.0402010050251</v>
      </c>
      <c r="AF335" s="14">
        <v>214.95844875346259</v>
      </c>
      <c r="AG335" s="15">
        <v>0.57079531102213654</v>
      </c>
      <c r="AH335" s="15">
        <v>0.5844127906094182</v>
      </c>
      <c r="AI335" s="15">
        <v>0.64419828155585523</v>
      </c>
      <c r="AJ335" s="41">
        <f t="shared" si="10"/>
        <v>1519.36</v>
      </c>
      <c r="AK335" s="44">
        <f t="shared" si="11"/>
        <v>2.5946801474062178</v>
      </c>
      <c r="AL335" s="10"/>
      <c r="AM335" s="10"/>
    </row>
    <row r="336" spans="1:39" s="16" customFormat="1" ht="19" customHeight="1">
      <c r="A336" s="9" t="s">
        <v>394</v>
      </c>
      <c r="B336" s="10" t="s">
        <v>304</v>
      </c>
      <c r="C336" s="10"/>
      <c r="D336" s="10"/>
      <c r="E336" s="11" t="s">
        <v>1341</v>
      </c>
      <c r="F336" s="11" t="s">
        <v>249</v>
      </c>
      <c r="G336" s="12" t="s">
        <v>250</v>
      </c>
      <c r="H336" s="13">
        <v>13.57</v>
      </c>
      <c r="I336" s="13">
        <v>5.67</v>
      </c>
      <c r="J336" s="13">
        <v>307.44</v>
      </c>
      <c r="K336" s="13">
        <v>745.24</v>
      </c>
      <c r="L336" s="13">
        <v>112.77</v>
      </c>
      <c r="M336" s="13">
        <v>552.07000000000005</v>
      </c>
      <c r="N336" s="13">
        <v>495.16</v>
      </c>
      <c r="O336" s="13">
        <v>83.82</v>
      </c>
      <c r="P336" s="13">
        <v>17.14</v>
      </c>
      <c r="Q336" s="13">
        <v>75.42</v>
      </c>
      <c r="R336" s="13">
        <v>8.92</v>
      </c>
      <c r="S336" s="13">
        <v>46.87</v>
      </c>
      <c r="T336" s="13">
        <v>244.26</v>
      </c>
      <c r="U336" s="13">
        <v>8.8699999999999992</v>
      </c>
      <c r="V336" s="13">
        <v>23.97</v>
      </c>
      <c r="W336" s="13">
        <v>3.13</v>
      </c>
      <c r="X336" s="13">
        <v>16.760000000000002</v>
      </c>
      <c r="Y336" s="13">
        <v>2.63</v>
      </c>
      <c r="Z336" s="13"/>
      <c r="AA336" s="13"/>
      <c r="AB336" s="13"/>
      <c r="AC336" s="14">
        <v>566.35135135135135</v>
      </c>
      <c r="AD336" s="14">
        <v>304.44049733570165</v>
      </c>
      <c r="AE336" s="14">
        <v>378.99497487437185</v>
      </c>
      <c r="AF336" s="14">
        <v>247.09141274238226</v>
      </c>
      <c r="AG336" s="15">
        <v>0.64408246774740086</v>
      </c>
      <c r="AH336" s="15">
        <v>0.65711703565860058</v>
      </c>
      <c r="AI336" s="15">
        <v>0.70874919414996218</v>
      </c>
      <c r="AJ336" s="41">
        <f t="shared" si="10"/>
        <v>1660.6100000000001</v>
      </c>
      <c r="AK336" s="44">
        <f t="shared" si="11"/>
        <v>2.2601735855236225</v>
      </c>
      <c r="AL336" s="10"/>
      <c r="AM336" s="10"/>
    </row>
    <row r="337" spans="1:39" s="16" customFormat="1" ht="19" customHeight="1">
      <c r="A337" s="9" t="s">
        <v>395</v>
      </c>
      <c r="B337" s="10" t="s">
        <v>304</v>
      </c>
      <c r="C337" s="10"/>
      <c r="D337" s="10"/>
      <c r="E337" s="11" t="s">
        <v>1341</v>
      </c>
      <c r="F337" s="11" t="s">
        <v>249</v>
      </c>
      <c r="G337" s="12" t="s">
        <v>250</v>
      </c>
      <c r="H337" s="13">
        <v>23.73</v>
      </c>
      <c r="I337" s="13">
        <v>9.69</v>
      </c>
      <c r="J337" s="13">
        <v>345.19</v>
      </c>
      <c r="K337" s="13">
        <v>786.84</v>
      </c>
      <c r="L337" s="13">
        <v>97.38</v>
      </c>
      <c r="M337" s="13">
        <v>556.89</v>
      </c>
      <c r="N337" s="13">
        <v>410.32</v>
      </c>
      <c r="O337" s="13">
        <v>69.83</v>
      </c>
      <c r="P337" s="13">
        <v>15.37</v>
      </c>
      <c r="Q337" s="13">
        <v>59.04</v>
      </c>
      <c r="R337" s="13">
        <v>7.03</v>
      </c>
      <c r="S337" s="13">
        <v>40.81</v>
      </c>
      <c r="T337" s="13">
        <v>201.38</v>
      </c>
      <c r="U337" s="13">
        <v>7.72</v>
      </c>
      <c r="V337" s="13">
        <v>19.829999999999998</v>
      </c>
      <c r="W337" s="13">
        <v>2.39</v>
      </c>
      <c r="X337" s="13">
        <v>15.32</v>
      </c>
      <c r="Y337" s="13">
        <v>2.44</v>
      </c>
      <c r="Z337" s="13"/>
      <c r="AA337" s="13"/>
      <c r="AB337" s="13"/>
      <c r="AC337" s="14">
        <v>471.82432432432432</v>
      </c>
      <c r="AD337" s="14">
        <v>273.00177619893429</v>
      </c>
      <c r="AE337" s="14">
        <v>296.6834170854271</v>
      </c>
      <c r="AF337" s="14">
        <v>194.73684210526315</v>
      </c>
      <c r="AG337" s="15">
        <v>0.71047241683770046</v>
      </c>
      <c r="AH337" s="15">
        <v>0.72967366653957921</v>
      </c>
      <c r="AI337" s="15">
        <v>0.77713394773394995</v>
      </c>
      <c r="AJ337" s="41">
        <f t="shared" si="10"/>
        <v>1639.7299999999998</v>
      </c>
      <c r="AK337" s="44">
        <f t="shared" si="11"/>
        <v>2.7653689542159103</v>
      </c>
      <c r="AL337" s="10"/>
      <c r="AM337" s="10"/>
    </row>
    <row r="338" spans="1:39" s="16" customFormat="1" ht="19" customHeight="1">
      <c r="A338" s="9" t="s">
        <v>396</v>
      </c>
      <c r="B338" s="10" t="s">
        <v>304</v>
      </c>
      <c r="C338" s="10"/>
      <c r="D338" s="10"/>
      <c r="E338" s="11" t="s">
        <v>1341</v>
      </c>
      <c r="F338" s="11" t="s">
        <v>249</v>
      </c>
      <c r="G338" s="12" t="s">
        <v>250</v>
      </c>
      <c r="H338" s="13">
        <v>15.66</v>
      </c>
      <c r="I338" s="13">
        <v>6.38</v>
      </c>
      <c r="J338" s="13">
        <v>356.73</v>
      </c>
      <c r="K338" s="13">
        <v>819.13</v>
      </c>
      <c r="L338" s="13">
        <v>108.28</v>
      </c>
      <c r="M338" s="13">
        <v>539.14</v>
      </c>
      <c r="N338" s="13">
        <v>455.76</v>
      </c>
      <c r="O338" s="13">
        <v>78.61</v>
      </c>
      <c r="P338" s="13">
        <v>16.670000000000002</v>
      </c>
      <c r="Q338" s="13">
        <v>66.42</v>
      </c>
      <c r="R338" s="13">
        <v>7.55</v>
      </c>
      <c r="S338" s="13">
        <v>43.37</v>
      </c>
      <c r="T338" s="13">
        <v>212.05</v>
      </c>
      <c r="U338" s="13">
        <v>8.48</v>
      </c>
      <c r="V338" s="13">
        <v>20.29</v>
      </c>
      <c r="W338" s="13">
        <v>2.78</v>
      </c>
      <c r="X338" s="13">
        <v>16.34</v>
      </c>
      <c r="Y338" s="13">
        <v>2.69</v>
      </c>
      <c r="Z338" s="13"/>
      <c r="AA338" s="13"/>
      <c r="AB338" s="13"/>
      <c r="AC338" s="14">
        <v>531.14864864864865</v>
      </c>
      <c r="AD338" s="14">
        <v>296.09236234458263</v>
      </c>
      <c r="AE338" s="14">
        <v>333.7688442211055</v>
      </c>
      <c r="AF338" s="14">
        <v>209.14127423822714</v>
      </c>
      <c r="AG338" s="15">
        <v>0.68467192486109296</v>
      </c>
      <c r="AH338" s="15">
        <v>0.70322818242660845</v>
      </c>
      <c r="AI338" s="15">
        <v>0.7605654064420706</v>
      </c>
      <c r="AJ338" s="41">
        <f t="shared" si="10"/>
        <v>1739.9</v>
      </c>
      <c r="AK338" s="44">
        <f t="shared" si="11"/>
        <v>2.5425135581230838</v>
      </c>
      <c r="AL338" s="10"/>
      <c r="AM338" s="10"/>
    </row>
    <row r="339" spans="1:39" s="16" customFormat="1" ht="19" customHeight="1">
      <c r="A339" s="9" t="s">
        <v>397</v>
      </c>
      <c r="B339" s="10" t="s">
        <v>304</v>
      </c>
      <c r="C339" s="10"/>
      <c r="D339" s="10"/>
      <c r="E339" s="11" t="s">
        <v>1341</v>
      </c>
      <c r="F339" s="11" t="s">
        <v>249</v>
      </c>
      <c r="G339" s="12" t="s">
        <v>250</v>
      </c>
      <c r="H339" s="13">
        <v>4.29</v>
      </c>
      <c r="I339" s="13">
        <v>1.29</v>
      </c>
      <c r="J339" s="13">
        <v>157.32</v>
      </c>
      <c r="K339" s="13">
        <v>426.35</v>
      </c>
      <c r="L339" s="13">
        <v>68.430000000000007</v>
      </c>
      <c r="M339" s="13">
        <v>471.52</v>
      </c>
      <c r="N339" s="13">
        <v>377.87</v>
      </c>
      <c r="O339" s="13">
        <v>85.07</v>
      </c>
      <c r="P339" s="13">
        <v>21.07</v>
      </c>
      <c r="Q339" s="13">
        <v>82.96</v>
      </c>
      <c r="R339" s="13">
        <v>10.09</v>
      </c>
      <c r="S339" s="13">
        <v>56.77</v>
      </c>
      <c r="T339" s="13">
        <v>279.27</v>
      </c>
      <c r="U339" s="13">
        <v>10.86</v>
      </c>
      <c r="V339" s="13">
        <v>25.41</v>
      </c>
      <c r="W339" s="13">
        <v>3.03</v>
      </c>
      <c r="X339" s="13">
        <v>17.05</v>
      </c>
      <c r="Y339" s="13">
        <v>2.27</v>
      </c>
      <c r="Z339" s="13"/>
      <c r="AA339" s="13"/>
      <c r="AB339" s="13"/>
      <c r="AC339" s="14">
        <v>574.79729729729729</v>
      </c>
      <c r="AD339" s="14">
        <v>374.24511545293075</v>
      </c>
      <c r="AE339" s="14">
        <v>416.88442211055269</v>
      </c>
      <c r="AF339" s="14">
        <v>279.50138504155126</v>
      </c>
      <c r="AG339" s="15">
        <v>0.75476860796909495</v>
      </c>
      <c r="AH339" s="15">
        <v>0.76452369227810613</v>
      </c>
      <c r="AI339" s="15">
        <v>0.8279771304485648</v>
      </c>
      <c r="AJ339" s="41">
        <f t="shared" si="10"/>
        <v>1029.9700000000003</v>
      </c>
      <c r="AK339" s="44">
        <f t="shared" si="11"/>
        <v>1.68840190496652</v>
      </c>
      <c r="AL339" s="10"/>
      <c r="AM339" s="10"/>
    </row>
    <row r="340" spans="1:39" s="16" customFormat="1" ht="19" customHeight="1">
      <c r="A340" s="9" t="s">
        <v>398</v>
      </c>
      <c r="B340" s="10" t="s">
        <v>304</v>
      </c>
      <c r="C340" s="10"/>
      <c r="D340" s="10"/>
      <c r="E340" s="11" t="s">
        <v>1341</v>
      </c>
      <c r="F340" s="11" t="s">
        <v>249</v>
      </c>
      <c r="G340" s="12" t="s">
        <v>250</v>
      </c>
      <c r="H340" s="13">
        <v>66.849999999999994</v>
      </c>
      <c r="I340" s="13">
        <v>31.94</v>
      </c>
      <c r="J340" s="13">
        <v>2785.84</v>
      </c>
      <c r="K340" s="13">
        <v>6735.97</v>
      </c>
      <c r="L340" s="13">
        <v>932.98</v>
      </c>
      <c r="M340" s="13">
        <v>725.33</v>
      </c>
      <c r="N340" s="13">
        <v>3707.67</v>
      </c>
      <c r="O340" s="13">
        <v>579.49</v>
      </c>
      <c r="P340" s="13">
        <v>61.18</v>
      </c>
      <c r="Q340" s="13">
        <v>363.93</v>
      </c>
      <c r="R340" s="13">
        <v>39.92</v>
      </c>
      <c r="S340" s="13">
        <v>210.55</v>
      </c>
      <c r="T340" s="13">
        <v>1112.8499999999999</v>
      </c>
      <c r="U340" s="13">
        <v>38.4</v>
      </c>
      <c r="V340" s="13">
        <v>95.36</v>
      </c>
      <c r="W340" s="13">
        <v>12.29</v>
      </c>
      <c r="X340" s="13">
        <v>67.94</v>
      </c>
      <c r="Y340" s="13">
        <v>8.89</v>
      </c>
      <c r="Z340" s="13"/>
      <c r="AA340" s="13"/>
      <c r="AB340" s="13"/>
      <c r="AC340" s="14">
        <v>3915.4729729729734</v>
      </c>
      <c r="AD340" s="14">
        <v>1086.6785079928952</v>
      </c>
      <c r="AE340" s="14">
        <v>1828.7939698492462</v>
      </c>
      <c r="AF340" s="14">
        <v>1105.8171745152356</v>
      </c>
      <c r="AG340" s="15">
        <v>0.37835237074097344</v>
      </c>
      <c r="AH340" s="15">
        <v>0.40609399918507316</v>
      </c>
      <c r="AI340" s="15">
        <v>0.42300985059564922</v>
      </c>
      <c r="AJ340" s="41">
        <f t="shared" si="10"/>
        <v>14162.460000000001</v>
      </c>
      <c r="AK340" s="44">
        <f t="shared" si="11"/>
        <v>0.65177696904344706</v>
      </c>
      <c r="AL340" s="10"/>
      <c r="AM340" s="10"/>
    </row>
    <row r="341" spans="1:39" s="16" customFormat="1" ht="19" customHeight="1">
      <c r="A341" s="9" t="s">
        <v>399</v>
      </c>
      <c r="B341" s="10" t="s">
        <v>304</v>
      </c>
      <c r="C341" s="10"/>
      <c r="D341" s="10"/>
      <c r="E341" s="11" t="s">
        <v>1341</v>
      </c>
      <c r="F341" s="11" t="s">
        <v>249</v>
      </c>
      <c r="G341" s="12" t="s">
        <v>250</v>
      </c>
      <c r="H341" s="13">
        <v>22.98</v>
      </c>
      <c r="I341" s="13">
        <v>8.6199999999999992</v>
      </c>
      <c r="J341" s="13">
        <v>454.97</v>
      </c>
      <c r="K341" s="13">
        <v>1269.3499999999999</v>
      </c>
      <c r="L341" s="13">
        <v>175.59</v>
      </c>
      <c r="M341" s="13">
        <v>307.60000000000002</v>
      </c>
      <c r="N341" s="13">
        <v>790.55</v>
      </c>
      <c r="O341" s="13">
        <v>148.43</v>
      </c>
      <c r="P341" s="13">
        <v>14.29</v>
      </c>
      <c r="Q341" s="13">
        <v>118.54</v>
      </c>
      <c r="R341" s="13">
        <v>13.51</v>
      </c>
      <c r="S341" s="13">
        <v>72.709999999999994</v>
      </c>
      <c r="T341" s="13">
        <v>380</v>
      </c>
      <c r="U341" s="13">
        <v>13.43</v>
      </c>
      <c r="V341" s="13">
        <v>33.01</v>
      </c>
      <c r="W341" s="13">
        <v>3.86</v>
      </c>
      <c r="X341" s="13">
        <v>23.49</v>
      </c>
      <c r="Y341" s="13">
        <v>3.79</v>
      </c>
      <c r="Z341" s="13"/>
      <c r="AA341" s="13"/>
      <c r="AB341" s="13"/>
      <c r="AC341" s="14">
        <v>1002.9054054054055</v>
      </c>
      <c r="AD341" s="14">
        <v>253.81882770870337</v>
      </c>
      <c r="AE341" s="14">
        <v>595.678391959799</v>
      </c>
      <c r="AF341" s="14">
        <v>374.23822714681438</v>
      </c>
      <c r="AG341" s="15">
        <v>0.31755461068359264</v>
      </c>
      <c r="AH341" s="15">
        <v>0.32838848845046892</v>
      </c>
      <c r="AI341" s="15">
        <v>0.35153437875357069</v>
      </c>
      <c r="AJ341" s="41">
        <f t="shared" si="10"/>
        <v>2690.46</v>
      </c>
      <c r="AK341" s="44">
        <f t="shared" si="11"/>
        <v>0.80947368421052635</v>
      </c>
      <c r="AL341" s="10"/>
      <c r="AM341" s="10"/>
    </row>
    <row r="342" spans="1:39" s="16" customFormat="1" ht="19" customHeight="1">
      <c r="A342" s="9" t="s">
        <v>400</v>
      </c>
      <c r="B342" s="10" t="s">
        <v>304</v>
      </c>
      <c r="C342" s="10"/>
      <c r="D342" s="10"/>
      <c r="E342" s="11" t="s">
        <v>1341</v>
      </c>
      <c r="F342" s="11" t="s">
        <v>249</v>
      </c>
      <c r="G342" s="12" t="s">
        <v>250</v>
      </c>
      <c r="H342" s="13">
        <v>13.79</v>
      </c>
      <c r="I342" s="13">
        <v>7.47</v>
      </c>
      <c r="J342" s="13">
        <v>607.54999999999995</v>
      </c>
      <c r="K342" s="13">
        <v>1464.46</v>
      </c>
      <c r="L342" s="13">
        <v>179.73</v>
      </c>
      <c r="M342" s="13">
        <v>299.18</v>
      </c>
      <c r="N342" s="13">
        <v>738.39</v>
      </c>
      <c r="O342" s="13">
        <v>113.03</v>
      </c>
      <c r="P342" s="13">
        <v>15.39</v>
      </c>
      <c r="Q342" s="13">
        <v>96.42</v>
      </c>
      <c r="R342" s="13">
        <v>11.19</v>
      </c>
      <c r="S342" s="13">
        <v>64.5</v>
      </c>
      <c r="T342" s="13">
        <v>422.55</v>
      </c>
      <c r="U342" s="13">
        <v>13.46</v>
      </c>
      <c r="V342" s="13">
        <v>38.18</v>
      </c>
      <c r="W342" s="13">
        <v>5.85</v>
      </c>
      <c r="X342" s="13">
        <v>42.07</v>
      </c>
      <c r="Y342" s="13">
        <v>8.0399999999999991</v>
      </c>
      <c r="Z342" s="13"/>
      <c r="AA342" s="13"/>
      <c r="AB342" s="13"/>
      <c r="AC342" s="14">
        <v>763.71621621621625</v>
      </c>
      <c r="AD342" s="14">
        <v>273.35701598579044</v>
      </c>
      <c r="AE342" s="14">
        <v>484.5226130653266</v>
      </c>
      <c r="AF342" s="14">
        <v>309.97229916897504</v>
      </c>
      <c r="AG342" s="15">
        <v>0.43798832334534626</v>
      </c>
      <c r="AH342" s="15">
        <v>0.449373226260256</v>
      </c>
      <c r="AI342" s="15">
        <v>0.48343110332606359</v>
      </c>
      <c r="AJ342" s="41">
        <f t="shared" si="10"/>
        <v>2990.13</v>
      </c>
      <c r="AK342" s="44">
        <f t="shared" si="11"/>
        <v>0.70803455212400901</v>
      </c>
      <c r="AL342" s="10"/>
      <c r="AM342" s="10"/>
    </row>
    <row r="343" spans="1:39" s="16" customFormat="1" ht="19" customHeight="1">
      <c r="A343" s="9" t="s">
        <v>401</v>
      </c>
      <c r="B343" s="10" t="s">
        <v>304</v>
      </c>
      <c r="C343" s="10"/>
      <c r="D343" s="10"/>
      <c r="E343" s="11" t="s">
        <v>1341</v>
      </c>
      <c r="F343" s="11" t="s">
        <v>249</v>
      </c>
      <c r="G343" s="12" t="s">
        <v>250</v>
      </c>
      <c r="H343" s="13">
        <v>13.86</v>
      </c>
      <c r="I343" s="13">
        <v>9.27</v>
      </c>
      <c r="J343" s="13">
        <v>493.25</v>
      </c>
      <c r="K343" s="13">
        <v>1228.99</v>
      </c>
      <c r="L343" s="13">
        <v>144.04</v>
      </c>
      <c r="M343" s="13">
        <v>320.52999999999997</v>
      </c>
      <c r="N343" s="13">
        <v>539.70000000000005</v>
      </c>
      <c r="O343" s="13">
        <v>85.73</v>
      </c>
      <c r="P343" s="13">
        <v>13.94</v>
      </c>
      <c r="Q343" s="13">
        <v>74.58</v>
      </c>
      <c r="R343" s="13">
        <v>8.36</v>
      </c>
      <c r="S343" s="13">
        <v>47.59</v>
      </c>
      <c r="T343" s="13">
        <v>326.10000000000002</v>
      </c>
      <c r="U343" s="13">
        <v>10.3</v>
      </c>
      <c r="V343" s="13">
        <v>28.23</v>
      </c>
      <c r="W343" s="13">
        <v>4.2699999999999996</v>
      </c>
      <c r="X343" s="13">
        <v>30.64</v>
      </c>
      <c r="Y343" s="13">
        <v>5.85</v>
      </c>
      <c r="Z343" s="13"/>
      <c r="AA343" s="13"/>
      <c r="AB343" s="13"/>
      <c r="AC343" s="14">
        <v>579.25675675675677</v>
      </c>
      <c r="AD343" s="14">
        <v>247.60213143872116</v>
      </c>
      <c r="AE343" s="14">
        <v>374.77386934673365</v>
      </c>
      <c r="AF343" s="14">
        <v>231.57894736842104</v>
      </c>
      <c r="AG343" s="15">
        <v>0.51906537308973555</v>
      </c>
      <c r="AH343" s="15">
        <v>0.5314154460917927</v>
      </c>
      <c r="AI343" s="15">
        <v>0.58023948872119013</v>
      </c>
      <c r="AJ343" s="41">
        <f t="shared" si="10"/>
        <v>2405.98</v>
      </c>
      <c r="AK343" s="44">
        <f t="shared" si="11"/>
        <v>0.98291934989267082</v>
      </c>
      <c r="AL343" s="10"/>
      <c r="AM343" s="10"/>
    </row>
    <row r="344" spans="1:39" s="16" customFormat="1" ht="19" customHeight="1">
      <c r="A344" s="9" t="s">
        <v>402</v>
      </c>
      <c r="B344" s="10" t="s">
        <v>304</v>
      </c>
      <c r="C344" s="10"/>
      <c r="D344" s="10"/>
      <c r="E344" s="11" t="s">
        <v>1341</v>
      </c>
      <c r="F344" s="11" t="s">
        <v>249</v>
      </c>
      <c r="G344" s="12" t="s">
        <v>250</v>
      </c>
      <c r="H344" s="13">
        <v>9.93</v>
      </c>
      <c r="I344" s="13">
        <v>2.9</v>
      </c>
      <c r="J344" s="13">
        <v>553.17999999999995</v>
      </c>
      <c r="K344" s="13">
        <v>1449.61</v>
      </c>
      <c r="L344" s="13">
        <v>179.14</v>
      </c>
      <c r="M344" s="13">
        <v>329.82</v>
      </c>
      <c r="N344" s="13">
        <v>727</v>
      </c>
      <c r="O344" s="13">
        <v>120.92</v>
      </c>
      <c r="P344" s="13">
        <v>14.51</v>
      </c>
      <c r="Q344" s="13">
        <v>100.2</v>
      </c>
      <c r="R344" s="13">
        <v>10.88</v>
      </c>
      <c r="S344" s="13">
        <v>61.19</v>
      </c>
      <c r="T344" s="13">
        <v>313.99</v>
      </c>
      <c r="U344" s="13">
        <v>11.57</v>
      </c>
      <c r="V344" s="13">
        <v>30.02</v>
      </c>
      <c r="W344" s="13">
        <v>3.88</v>
      </c>
      <c r="X344" s="13">
        <v>26.53</v>
      </c>
      <c r="Y344" s="13">
        <v>4.5599999999999996</v>
      </c>
      <c r="Z344" s="13"/>
      <c r="AA344" s="13"/>
      <c r="AB344" s="13"/>
      <c r="AC344" s="14">
        <v>817.02702702702709</v>
      </c>
      <c r="AD344" s="14">
        <v>257.72646536412077</v>
      </c>
      <c r="AE344" s="14">
        <v>503.5175879396985</v>
      </c>
      <c r="AF344" s="14">
        <v>301.38504155124656</v>
      </c>
      <c r="AG344" s="15">
        <v>0.39033359788546768</v>
      </c>
      <c r="AH344" s="15">
        <v>0.40182178952778541</v>
      </c>
      <c r="AI344" s="15">
        <v>0.43983944176652334</v>
      </c>
      <c r="AJ344" s="41">
        <f t="shared" si="10"/>
        <v>2908.93</v>
      </c>
      <c r="AK344" s="44">
        <f t="shared" si="11"/>
        <v>1.0504156183317939</v>
      </c>
      <c r="AL344" s="10"/>
      <c r="AM344" s="10"/>
    </row>
    <row r="345" spans="1:39" s="16" customFormat="1" ht="19" customHeight="1">
      <c r="A345" s="9" t="s">
        <v>403</v>
      </c>
      <c r="B345" s="10" t="s">
        <v>304</v>
      </c>
      <c r="C345" s="10"/>
      <c r="D345" s="10"/>
      <c r="E345" s="11" t="s">
        <v>1341</v>
      </c>
      <c r="F345" s="11" t="s">
        <v>249</v>
      </c>
      <c r="G345" s="12" t="s">
        <v>250</v>
      </c>
      <c r="H345" s="13">
        <v>78.069999999999993</v>
      </c>
      <c r="I345" s="13">
        <v>31.49</v>
      </c>
      <c r="J345" s="13">
        <v>3183.28</v>
      </c>
      <c r="K345" s="13">
        <v>7670.05</v>
      </c>
      <c r="L345" s="13">
        <v>996.74</v>
      </c>
      <c r="M345" s="13">
        <v>714.23</v>
      </c>
      <c r="N345" s="13">
        <v>3761.02</v>
      </c>
      <c r="O345" s="13">
        <v>547.86</v>
      </c>
      <c r="P345" s="13">
        <v>59.89</v>
      </c>
      <c r="Q345" s="13">
        <v>330.12</v>
      </c>
      <c r="R345" s="13">
        <v>36.65</v>
      </c>
      <c r="S345" s="13">
        <v>187.78</v>
      </c>
      <c r="T345" s="13">
        <v>965.92</v>
      </c>
      <c r="U345" s="13">
        <v>32.57</v>
      </c>
      <c r="V345" s="13">
        <v>80.88</v>
      </c>
      <c r="W345" s="13">
        <v>10.050000000000001</v>
      </c>
      <c r="X345" s="13">
        <v>59.73</v>
      </c>
      <c r="Y345" s="13">
        <v>7.52</v>
      </c>
      <c r="Z345" s="13"/>
      <c r="AA345" s="13"/>
      <c r="AB345" s="13"/>
      <c r="AC345" s="14">
        <v>3701.7567567567571</v>
      </c>
      <c r="AD345" s="14">
        <v>1063.765541740675</v>
      </c>
      <c r="AE345" s="14">
        <v>1658.894472361809</v>
      </c>
      <c r="AF345" s="14">
        <v>1015.2354570637119</v>
      </c>
      <c r="AG345" s="15">
        <v>0.39687922092838196</v>
      </c>
      <c r="AH345" s="15">
        <v>0.42927203709704181</v>
      </c>
      <c r="AI345" s="15">
        <v>0.44230149540012575</v>
      </c>
      <c r="AJ345" s="41">
        <f t="shared" si="10"/>
        <v>15611.09</v>
      </c>
      <c r="AK345" s="44">
        <f t="shared" si="11"/>
        <v>0.73942976644028491</v>
      </c>
      <c r="AL345" s="10"/>
      <c r="AM345" s="10"/>
    </row>
    <row r="346" spans="1:39" s="16" customFormat="1" ht="19" customHeight="1">
      <c r="A346" s="9" t="s">
        <v>404</v>
      </c>
      <c r="B346" s="10" t="s">
        <v>405</v>
      </c>
      <c r="C346" s="10"/>
      <c r="D346" s="10"/>
      <c r="E346" s="11" t="s">
        <v>1341</v>
      </c>
      <c r="F346" s="11" t="s">
        <v>249</v>
      </c>
      <c r="G346" s="12" t="s">
        <v>250</v>
      </c>
      <c r="H346" s="13">
        <v>54.49</v>
      </c>
      <c r="I346" s="13">
        <v>28.96</v>
      </c>
      <c r="J346" s="13">
        <v>1022.83</v>
      </c>
      <c r="K346" s="13">
        <v>958.2</v>
      </c>
      <c r="L346" s="13">
        <v>88.76</v>
      </c>
      <c r="M346" s="13">
        <v>359.02</v>
      </c>
      <c r="N346" s="13">
        <v>386.14</v>
      </c>
      <c r="O346" s="13">
        <v>48.33</v>
      </c>
      <c r="P346" s="13">
        <v>7.83</v>
      </c>
      <c r="Q346" s="13">
        <v>29.49</v>
      </c>
      <c r="R346" s="13">
        <v>2.4700000000000002</v>
      </c>
      <c r="S346" s="13">
        <v>9.19</v>
      </c>
      <c r="T346" s="13">
        <v>97.93</v>
      </c>
      <c r="U346" s="13">
        <v>3.61</v>
      </c>
      <c r="V346" s="13">
        <v>6.01</v>
      </c>
      <c r="W346" s="13">
        <v>0.9</v>
      </c>
      <c r="X346" s="13">
        <v>5.57</v>
      </c>
      <c r="Y346" s="13">
        <v>1.03</v>
      </c>
      <c r="Z346" s="13"/>
      <c r="AA346" s="13"/>
      <c r="AB346" s="13"/>
      <c r="AC346" s="14">
        <v>326.55405405405406</v>
      </c>
      <c r="AD346" s="14">
        <v>139.07637655417409</v>
      </c>
      <c r="AE346" s="14">
        <v>148.19095477386932</v>
      </c>
      <c r="AF346" s="14">
        <v>68.421052631578959</v>
      </c>
      <c r="AG346" s="15">
        <v>0.58589926789344671</v>
      </c>
      <c r="AH346" s="15">
        <v>0.63221526715679222</v>
      </c>
      <c r="AI346" s="15">
        <v>0.71705653333174968</v>
      </c>
      <c r="AJ346" s="41">
        <f t="shared" si="10"/>
        <v>2455.9300000000003</v>
      </c>
      <c r="AK346" s="44">
        <f t="shared" si="11"/>
        <v>3.6660880220565706</v>
      </c>
      <c r="AL346" s="10"/>
      <c r="AM346" s="10"/>
    </row>
    <row r="347" spans="1:39" s="16" customFormat="1" ht="19" customHeight="1">
      <c r="A347" s="9" t="s">
        <v>406</v>
      </c>
      <c r="B347" s="10" t="s">
        <v>405</v>
      </c>
      <c r="C347" s="10"/>
      <c r="D347" s="10"/>
      <c r="E347" s="11" t="s">
        <v>1341</v>
      </c>
      <c r="F347" s="11" t="s">
        <v>249</v>
      </c>
      <c r="G347" s="12" t="s">
        <v>250</v>
      </c>
      <c r="H347" s="13">
        <v>74.09</v>
      </c>
      <c r="I347" s="13">
        <v>13.11</v>
      </c>
      <c r="J347" s="13">
        <v>1401.27</v>
      </c>
      <c r="K347" s="13">
        <v>2778.94</v>
      </c>
      <c r="L347" s="13">
        <v>234.65</v>
      </c>
      <c r="M347" s="13">
        <v>456.37</v>
      </c>
      <c r="N347" s="13">
        <v>586.91999999999996</v>
      </c>
      <c r="O347" s="13">
        <v>81</v>
      </c>
      <c r="P347" s="13">
        <v>12.72</v>
      </c>
      <c r="Q347" s="13">
        <v>43.64</v>
      </c>
      <c r="R347" s="13">
        <v>3.35</v>
      </c>
      <c r="S347" s="13">
        <v>20.47</v>
      </c>
      <c r="T347" s="13">
        <v>130.61000000000001</v>
      </c>
      <c r="U347" s="13">
        <v>4.7300000000000004</v>
      </c>
      <c r="V347" s="13">
        <v>9.67</v>
      </c>
      <c r="W347" s="13">
        <v>1.58</v>
      </c>
      <c r="X347" s="13">
        <v>9.74</v>
      </c>
      <c r="Y347" s="13">
        <v>1.32</v>
      </c>
      <c r="Z347" s="13"/>
      <c r="AA347" s="13"/>
      <c r="AB347" s="13"/>
      <c r="AC347" s="14">
        <v>547.29729729729729</v>
      </c>
      <c r="AD347" s="14">
        <v>225.93250444049735</v>
      </c>
      <c r="AE347" s="14">
        <v>219.2964824120603</v>
      </c>
      <c r="AF347" s="14">
        <v>92.797783933518005</v>
      </c>
      <c r="AG347" s="15">
        <v>0.58944518053918005</v>
      </c>
      <c r="AH347" s="15">
        <v>0.65215560613885215</v>
      </c>
      <c r="AI347" s="15">
        <v>0.74584854356641417</v>
      </c>
      <c r="AJ347" s="41">
        <f t="shared" si="10"/>
        <v>5001.78</v>
      </c>
      <c r="AK347" s="44">
        <f t="shared" si="11"/>
        <v>3.4941428680805449</v>
      </c>
      <c r="AL347" s="10"/>
      <c r="AM347" s="10"/>
    </row>
    <row r="348" spans="1:39" s="16" customFormat="1" ht="19" customHeight="1">
      <c r="A348" s="9" t="s">
        <v>407</v>
      </c>
      <c r="B348" s="10" t="s">
        <v>405</v>
      </c>
      <c r="C348" s="10"/>
      <c r="D348" s="10"/>
      <c r="E348" s="11" t="s">
        <v>1341</v>
      </c>
      <c r="F348" s="11" t="s">
        <v>249</v>
      </c>
      <c r="G348" s="12" t="s">
        <v>250</v>
      </c>
      <c r="H348" s="13">
        <v>41.08</v>
      </c>
      <c r="I348" s="13">
        <v>20.68</v>
      </c>
      <c r="J348" s="13">
        <v>781.49</v>
      </c>
      <c r="K348" s="13">
        <v>1114.4100000000001</v>
      </c>
      <c r="L348" s="13">
        <v>135.01</v>
      </c>
      <c r="M348" s="13">
        <v>412.3</v>
      </c>
      <c r="N348" s="13">
        <v>582.82000000000005</v>
      </c>
      <c r="O348" s="13">
        <v>82.7</v>
      </c>
      <c r="P348" s="13">
        <v>12.7</v>
      </c>
      <c r="Q348" s="13">
        <v>60.71</v>
      </c>
      <c r="R348" s="13">
        <v>6.81</v>
      </c>
      <c r="S348" s="13">
        <v>31.97</v>
      </c>
      <c r="T348" s="13">
        <v>200.33</v>
      </c>
      <c r="U348" s="13">
        <v>7.13</v>
      </c>
      <c r="V348" s="13">
        <v>16.36</v>
      </c>
      <c r="W348" s="13">
        <v>2.16</v>
      </c>
      <c r="X348" s="13">
        <v>14.38</v>
      </c>
      <c r="Y348" s="13">
        <v>1.94</v>
      </c>
      <c r="Z348" s="13"/>
      <c r="AA348" s="13"/>
      <c r="AB348" s="13"/>
      <c r="AC348" s="14">
        <v>558.78378378378386</v>
      </c>
      <c r="AD348" s="14">
        <v>225.57726465364121</v>
      </c>
      <c r="AE348" s="14">
        <v>305.0753768844221</v>
      </c>
      <c r="AF348" s="14">
        <v>188.64265927977837</v>
      </c>
      <c r="AG348" s="15">
        <v>0.52225472605778556</v>
      </c>
      <c r="AH348" s="15">
        <v>0.54634862043662746</v>
      </c>
      <c r="AI348" s="15">
        <v>0.57976611223618713</v>
      </c>
      <c r="AJ348" s="41">
        <f t="shared" si="10"/>
        <v>2613.73</v>
      </c>
      <c r="AK348" s="44">
        <f t="shared" si="11"/>
        <v>2.0581041281884889</v>
      </c>
      <c r="AL348" s="10"/>
      <c r="AM348" s="10"/>
    </row>
    <row r="349" spans="1:39" s="16" customFormat="1" ht="19" customHeight="1">
      <c r="A349" s="9" t="s">
        <v>408</v>
      </c>
      <c r="B349" s="10" t="s">
        <v>405</v>
      </c>
      <c r="C349" s="10"/>
      <c r="D349" s="10"/>
      <c r="E349" s="11" t="s">
        <v>1341</v>
      </c>
      <c r="F349" s="11" t="s">
        <v>249</v>
      </c>
      <c r="G349" s="12" t="s">
        <v>250</v>
      </c>
      <c r="H349" s="13">
        <v>26.1</v>
      </c>
      <c r="I349" s="13">
        <v>7.17</v>
      </c>
      <c r="J349" s="13">
        <v>957.78</v>
      </c>
      <c r="K349" s="13">
        <v>1552.91</v>
      </c>
      <c r="L349" s="13">
        <v>200.22</v>
      </c>
      <c r="M349" s="13">
        <v>435.69</v>
      </c>
      <c r="N349" s="13">
        <v>823.01</v>
      </c>
      <c r="O349" s="13">
        <v>121.58</v>
      </c>
      <c r="P349" s="13">
        <v>14.26</v>
      </c>
      <c r="Q349" s="13">
        <v>84.06</v>
      </c>
      <c r="R349" s="13">
        <v>7.82</v>
      </c>
      <c r="S349" s="13">
        <v>36.79</v>
      </c>
      <c r="T349" s="13">
        <v>189.34</v>
      </c>
      <c r="U349" s="13">
        <v>6.61</v>
      </c>
      <c r="V349" s="13">
        <v>15.99</v>
      </c>
      <c r="W349" s="13">
        <v>1.92</v>
      </c>
      <c r="X349" s="13">
        <v>11.35</v>
      </c>
      <c r="Y349" s="13">
        <v>1.85</v>
      </c>
      <c r="Z349" s="13"/>
      <c r="AA349" s="13"/>
      <c r="AB349" s="13"/>
      <c r="AC349" s="14">
        <v>821.48648648648657</v>
      </c>
      <c r="AD349" s="14">
        <v>253.28596802841921</v>
      </c>
      <c r="AE349" s="14">
        <v>422.41206030150755</v>
      </c>
      <c r="AF349" s="14">
        <v>216.62049861495845</v>
      </c>
      <c r="AG349" s="15">
        <v>0.40724537974974967</v>
      </c>
      <c r="AH349" s="15">
        <v>0.42997456342752027</v>
      </c>
      <c r="AI349" s="15">
        <v>0.48081462012482634</v>
      </c>
      <c r="AJ349" s="41">
        <f t="shared" si="10"/>
        <v>3533.92</v>
      </c>
      <c r="AK349" s="44">
        <f t="shared" si="11"/>
        <v>2.3010985528678569</v>
      </c>
      <c r="AL349" s="10"/>
      <c r="AM349" s="10"/>
    </row>
    <row r="350" spans="1:39" s="16" customFormat="1" ht="19" customHeight="1">
      <c r="A350" s="9" t="s">
        <v>409</v>
      </c>
      <c r="B350" s="10" t="s">
        <v>405</v>
      </c>
      <c r="C350" s="10"/>
      <c r="D350" s="10"/>
      <c r="E350" s="11" t="s">
        <v>1341</v>
      </c>
      <c r="F350" s="11" t="s">
        <v>249</v>
      </c>
      <c r="G350" s="12" t="s">
        <v>250</v>
      </c>
      <c r="H350" s="13">
        <v>29.53</v>
      </c>
      <c r="I350" s="13">
        <v>10.38</v>
      </c>
      <c r="J350" s="13">
        <v>830.37</v>
      </c>
      <c r="K350" s="13">
        <v>1338.67</v>
      </c>
      <c r="L350" s="13">
        <v>133.22</v>
      </c>
      <c r="M350" s="13">
        <v>423.1</v>
      </c>
      <c r="N350" s="13">
        <v>504.49</v>
      </c>
      <c r="O350" s="13">
        <v>69.55</v>
      </c>
      <c r="P350" s="13">
        <v>10.3</v>
      </c>
      <c r="Q350" s="13">
        <v>45.67</v>
      </c>
      <c r="R350" s="13">
        <v>4.54</v>
      </c>
      <c r="S350" s="13">
        <v>23.23</v>
      </c>
      <c r="T350" s="13">
        <v>129.71</v>
      </c>
      <c r="U350" s="13">
        <v>4.4800000000000004</v>
      </c>
      <c r="V350" s="13">
        <v>11.12</v>
      </c>
      <c r="W350" s="13">
        <v>1.19</v>
      </c>
      <c r="X350" s="13">
        <v>9.44</v>
      </c>
      <c r="Y350" s="13">
        <v>1.43</v>
      </c>
      <c r="Z350" s="13"/>
      <c r="AA350" s="13"/>
      <c r="AB350" s="13"/>
      <c r="AC350" s="14">
        <v>469.93243243243245</v>
      </c>
      <c r="AD350" s="14">
        <v>182.94849023090589</v>
      </c>
      <c r="AE350" s="14">
        <v>229.49748743718592</v>
      </c>
      <c r="AF350" s="14">
        <v>125.76177285318559</v>
      </c>
      <c r="AG350" s="15">
        <v>0.5231360141556699</v>
      </c>
      <c r="AH350" s="15">
        <v>0.55708588243281687</v>
      </c>
      <c r="AI350" s="15">
        <v>0.60411877603613462</v>
      </c>
      <c r="AJ350" s="41">
        <f t="shared" si="10"/>
        <v>2806.75</v>
      </c>
      <c r="AK350" s="44">
        <f t="shared" si="11"/>
        <v>3.2618919127283941</v>
      </c>
      <c r="AL350" s="10"/>
      <c r="AM350" s="10"/>
    </row>
    <row r="351" spans="1:39" s="16" customFormat="1" ht="19" customHeight="1">
      <c r="A351" s="9" t="s">
        <v>410</v>
      </c>
      <c r="B351" s="10" t="s">
        <v>405</v>
      </c>
      <c r="C351" s="10"/>
      <c r="D351" s="10"/>
      <c r="E351" s="11" t="s">
        <v>1341</v>
      </c>
      <c r="F351" s="11" t="s">
        <v>249</v>
      </c>
      <c r="G351" s="12" t="s">
        <v>250</v>
      </c>
      <c r="H351" s="13">
        <v>121.31</v>
      </c>
      <c r="I351" s="13">
        <v>14.58</v>
      </c>
      <c r="J351" s="13">
        <v>999.59</v>
      </c>
      <c r="K351" s="13">
        <v>1535.49</v>
      </c>
      <c r="L351" s="13">
        <v>167.27</v>
      </c>
      <c r="M351" s="13">
        <v>418.45</v>
      </c>
      <c r="N351" s="13">
        <v>664.44</v>
      </c>
      <c r="O351" s="13">
        <v>87.35</v>
      </c>
      <c r="P351" s="13">
        <v>12.64</v>
      </c>
      <c r="Q351" s="13">
        <v>52.99</v>
      </c>
      <c r="R351" s="13">
        <v>5.33</v>
      </c>
      <c r="S351" s="13">
        <v>26.89</v>
      </c>
      <c r="T351" s="13">
        <v>158.41</v>
      </c>
      <c r="U351" s="13">
        <v>4.6399999999999997</v>
      </c>
      <c r="V351" s="13">
        <v>12.06</v>
      </c>
      <c r="W351" s="13">
        <v>1.7</v>
      </c>
      <c r="X351" s="13">
        <v>9.2799999999999994</v>
      </c>
      <c r="Y351" s="13">
        <v>1.65</v>
      </c>
      <c r="Z351" s="13"/>
      <c r="AA351" s="13"/>
      <c r="AB351" s="13"/>
      <c r="AC351" s="14">
        <v>590.20270270270271</v>
      </c>
      <c r="AD351" s="14">
        <v>224.51154529307286</v>
      </c>
      <c r="AE351" s="14">
        <v>266.2814070351759</v>
      </c>
      <c r="AF351" s="14">
        <v>147.64542936288089</v>
      </c>
      <c r="AG351" s="15">
        <v>0.5242631888682282</v>
      </c>
      <c r="AH351" s="15">
        <v>0.56632751273270665</v>
      </c>
      <c r="AI351" s="15">
        <v>0.60371395439764763</v>
      </c>
      <c r="AJ351" s="41">
        <f t="shared" si="10"/>
        <v>3366.79</v>
      </c>
      <c r="AK351" s="44">
        <f t="shared" si="11"/>
        <v>2.6415630326368285</v>
      </c>
      <c r="AL351" s="10"/>
      <c r="AM351" s="10"/>
    </row>
    <row r="352" spans="1:39" s="16" customFormat="1" ht="19" customHeight="1">
      <c r="A352" s="9" t="s">
        <v>411</v>
      </c>
      <c r="B352" s="10" t="s">
        <v>405</v>
      </c>
      <c r="C352" s="10"/>
      <c r="D352" s="10"/>
      <c r="E352" s="11" t="s">
        <v>1341</v>
      </c>
      <c r="F352" s="11" t="s">
        <v>249</v>
      </c>
      <c r="G352" s="12" t="s">
        <v>250</v>
      </c>
      <c r="H352" s="13">
        <v>64.94</v>
      </c>
      <c r="I352" s="13">
        <v>12.81</v>
      </c>
      <c r="J352" s="13">
        <v>960.46</v>
      </c>
      <c r="K352" s="13">
        <v>1239.95</v>
      </c>
      <c r="L352" s="13">
        <v>130.15</v>
      </c>
      <c r="M352" s="13">
        <v>401.89</v>
      </c>
      <c r="N352" s="13">
        <v>512.79999999999995</v>
      </c>
      <c r="O352" s="13">
        <v>73.58</v>
      </c>
      <c r="P352" s="13">
        <v>11.19</v>
      </c>
      <c r="Q352" s="13">
        <v>51.14</v>
      </c>
      <c r="R352" s="13">
        <v>5.2</v>
      </c>
      <c r="S352" s="13">
        <v>24.59</v>
      </c>
      <c r="T352" s="13">
        <v>152.16999999999999</v>
      </c>
      <c r="U352" s="13">
        <v>5.08</v>
      </c>
      <c r="V352" s="13">
        <v>11.66</v>
      </c>
      <c r="W352" s="13">
        <v>1.6</v>
      </c>
      <c r="X352" s="13">
        <v>11.18</v>
      </c>
      <c r="Y352" s="13">
        <v>2.06</v>
      </c>
      <c r="Z352" s="13"/>
      <c r="AA352" s="13"/>
      <c r="AB352" s="13"/>
      <c r="AC352" s="14">
        <v>497.16216216216219</v>
      </c>
      <c r="AD352" s="14">
        <v>198.75666074600355</v>
      </c>
      <c r="AE352" s="14">
        <v>256.98492462311555</v>
      </c>
      <c r="AF352" s="14">
        <v>144.0443213296399</v>
      </c>
      <c r="AG352" s="15">
        <v>0.52710317185802236</v>
      </c>
      <c r="AH352" s="15">
        <v>0.55605638758874598</v>
      </c>
      <c r="AI352" s="15">
        <v>0.60416783350777459</v>
      </c>
      <c r="AJ352" s="41">
        <f t="shared" si="10"/>
        <v>2843.3599999999997</v>
      </c>
      <c r="AK352" s="44">
        <f t="shared" si="11"/>
        <v>2.6410593415259251</v>
      </c>
      <c r="AL352" s="10"/>
      <c r="AM352" s="10"/>
    </row>
    <row r="353" spans="1:39" s="16" customFormat="1" ht="19" customHeight="1">
      <c r="A353" s="9" t="s">
        <v>412</v>
      </c>
      <c r="B353" s="10" t="s">
        <v>405</v>
      </c>
      <c r="C353" s="10"/>
      <c r="D353" s="10"/>
      <c r="E353" s="11" t="s">
        <v>1341</v>
      </c>
      <c r="F353" s="11" t="s">
        <v>249</v>
      </c>
      <c r="G353" s="12" t="s">
        <v>250</v>
      </c>
      <c r="H353" s="13">
        <v>51.3</v>
      </c>
      <c r="I353" s="13">
        <v>56.1</v>
      </c>
      <c r="J353" s="13">
        <v>813.58</v>
      </c>
      <c r="K353" s="13">
        <v>1195.9100000000001</v>
      </c>
      <c r="L353" s="13">
        <v>116.67</v>
      </c>
      <c r="M353" s="13">
        <v>406.82</v>
      </c>
      <c r="N353" s="13">
        <v>427.39</v>
      </c>
      <c r="O353" s="13">
        <v>56.18</v>
      </c>
      <c r="P353" s="13">
        <v>10.33</v>
      </c>
      <c r="Q353" s="13">
        <v>38.58</v>
      </c>
      <c r="R353" s="13">
        <v>3.83</v>
      </c>
      <c r="S353" s="13">
        <v>19.47</v>
      </c>
      <c r="T353" s="13">
        <v>112.89</v>
      </c>
      <c r="U353" s="13">
        <v>3.87</v>
      </c>
      <c r="V353" s="13">
        <v>9.58</v>
      </c>
      <c r="W353" s="13">
        <v>1.248</v>
      </c>
      <c r="X353" s="13">
        <v>8.33</v>
      </c>
      <c r="Y353" s="13">
        <v>1.3140000000000001</v>
      </c>
      <c r="Z353" s="13"/>
      <c r="AA353" s="13"/>
      <c r="AB353" s="13"/>
      <c r="AC353" s="14">
        <v>379.59459459459464</v>
      </c>
      <c r="AD353" s="14">
        <v>183.48134991119008</v>
      </c>
      <c r="AE353" s="14">
        <v>193.86934673366832</v>
      </c>
      <c r="AF353" s="14">
        <v>106.09418282548476</v>
      </c>
      <c r="AG353" s="15">
        <v>0.63990544718891551</v>
      </c>
      <c r="AH353" s="15">
        <v>0.67635910921097975</v>
      </c>
      <c r="AI353" s="15">
        <v>0.73928981527411908</v>
      </c>
      <c r="AJ353" s="41">
        <f t="shared" si="10"/>
        <v>2553.5500000000002</v>
      </c>
      <c r="AK353" s="44">
        <f t="shared" si="11"/>
        <v>3.6036850031003631</v>
      </c>
      <c r="AL353" s="10"/>
      <c r="AM353" s="10"/>
    </row>
    <row r="354" spans="1:39" s="16" customFormat="1" ht="19" customHeight="1">
      <c r="A354" s="9" t="s">
        <v>413</v>
      </c>
      <c r="B354" s="10" t="s">
        <v>405</v>
      </c>
      <c r="C354" s="10"/>
      <c r="D354" s="10"/>
      <c r="E354" s="11" t="s">
        <v>1341</v>
      </c>
      <c r="F354" s="11" t="s">
        <v>249</v>
      </c>
      <c r="G354" s="12" t="s">
        <v>250</v>
      </c>
      <c r="H354" s="13">
        <v>46.55</v>
      </c>
      <c r="I354" s="13">
        <v>37.51</v>
      </c>
      <c r="J354" s="13">
        <v>701.36</v>
      </c>
      <c r="K354" s="13">
        <v>1026.96</v>
      </c>
      <c r="L354" s="13">
        <v>101.33</v>
      </c>
      <c r="M354" s="13">
        <v>414.36</v>
      </c>
      <c r="N354" s="13" t="s">
        <v>414</v>
      </c>
      <c r="O354" s="13">
        <v>48.13</v>
      </c>
      <c r="P354" s="13">
        <v>8.35</v>
      </c>
      <c r="Q354" s="13">
        <v>33</v>
      </c>
      <c r="R354" s="13">
        <v>3.37</v>
      </c>
      <c r="S354" s="13">
        <v>17.32</v>
      </c>
      <c r="T354" s="13">
        <v>95.87</v>
      </c>
      <c r="U354" s="13">
        <v>3.02</v>
      </c>
      <c r="V354" s="13">
        <v>8.56</v>
      </c>
      <c r="W354" s="13">
        <v>0.89300000000000002</v>
      </c>
      <c r="X354" s="13">
        <v>6.62</v>
      </c>
      <c r="Y354" s="13">
        <v>1.22</v>
      </c>
      <c r="Z354" s="13"/>
      <c r="AA354" s="13"/>
      <c r="AB354" s="13"/>
      <c r="AC354" s="14">
        <v>325.20270270270271</v>
      </c>
      <c r="AD354" s="14">
        <v>148.31261101243339</v>
      </c>
      <c r="AE354" s="14">
        <v>165.8291457286432</v>
      </c>
      <c r="AF354" s="14">
        <v>93.35180055401662</v>
      </c>
      <c r="AG354" s="15">
        <v>0.60408550478440037</v>
      </c>
      <c r="AH354" s="15">
        <v>0.63866126337161022</v>
      </c>
      <c r="AI354" s="15">
        <v>0.69135496116318573</v>
      </c>
      <c r="AJ354" s="41"/>
      <c r="AK354" s="44">
        <f t="shared" si="11"/>
        <v>4.3221028476061329</v>
      </c>
      <c r="AL354" s="10"/>
      <c r="AM354" s="10"/>
    </row>
    <row r="355" spans="1:39" s="16" customFormat="1" ht="19" customHeight="1">
      <c r="A355" s="9" t="s">
        <v>415</v>
      </c>
      <c r="B355" s="10" t="s">
        <v>405</v>
      </c>
      <c r="C355" s="10"/>
      <c r="D355" s="10"/>
      <c r="E355" s="11" t="s">
        <v>1341</v>
      </c>
      <c r="F355" s="11" t="s">
        <v>249</v>
      </c>
      <c r="G355" s="12" t="s">
        <v>250</v>
      </c>
      <c r="H355" s="13">
        <v>23.13</v>
      </c>
      <c r="I355" s="13">
        <v>18.75</v>
      </c>
      <c r="J355" s="13">
        <v>707.39</v>
      </c>
      <c r="K355" s="13">
        <v>1301.28</v>
      </c>
      <c r="L355" s="13">
        <v>136.78</v>
      </c>
      <c r="M355" s="13">
        <v>398.48</v>
      </c>
      <c r="N355" s="13">
        <v>526.49</v>
      </c>
      <c r="O355" s="13">
        <v>73.77</v>
      </c>
      <c r="P355" s="13">
        <v>9.41</v>
      </c>
      <c r="Q355" s="13">
        <v>49.69</v>
      </c>
      <c r="R355" s="13">
        <v>4.91</v>
      </c>
      <c r="S355" s="13">
        <v>24.88</v>
      </c>
      <c r="T355" s="13">
        <v>136.99</v>
      </c>
      <c r="U355" s="13">
        <v>4.43</v>
      </c>
      <c r="V355" s="13">
        <v>11.34</v>
      </c>
      <c r="W355" s="13">
        <v>1.5620000000000001</v>
      </c>
      <c r="X355" s="13">
        <v>9.4499999999999993</v>
      </c>
      <c r="Y355" s="13">
        <v>1.7</v>
      </c>
      <c r="Z355" s="13"/>
      <c r="AA355" s="13"/>
      <c r="AB355" s="13"/>
      <c r="AC355" s="14">
        <v>498.44594594594594</v>
      </c>
      <c r="AD355" s="14">
        <v>167.14031971580818</v>
      </c>
      <c r="AE355" s="14">
        <v>249.69849246231152</v>
      </c>
      <c r="AF355" s="14">
        <v>136.01108033240999</v>
      </c>
      <c r="AG355" s="15">
        <v>0.44681297122628832</v>
      </c>
      <c r="AH355" s="15">
        <v>0.47376637546418321</v>
      </c>
      <c r="AI355" s="15">
        <v>0.51698477488056782</v>
      </c>
      <c r="AJ355" s="41">
        <f t="shared" si="10"/>
        <v>2671.9400000000005</v>
      </c>
      <c r="AK355" s="44">
        <f t="shared" si="11"/>
        <v>2.9088254617125338</v>
      </c>
      <c r="AL355" s="10"/>
      <c r="AM355" s="10"/>
    </row>
    <row r="356" spans="1:39" s="16" customFormat="1" ht="19" customHeight="1">
      <c r="A356" s="9" t="s">
        <v>416</v>
      </c>
      <c r="B356" s="10" t="s">
        <v>405</v>
      </c>
      <c r="C356" s="10"/>
      <c r="D356" s="10"/>
      <c r="E356" s="11" t="s">
        <v>1341</v>
      </c>
      <c r="F356" s="11" t="s">
        <v>249</v>
      </c>
      <c r="G356" s="12" t="s">
        <v>250</v>
      </c>
      <c r="H356" s="13">
        <v>134.66</v>
      </c>
      <c r="I356" s="13">
        <v>38.26</v>
      </c>
      <c r="J356" s="13">
        <v>1317.28</v>
      </c>
      <c r="K356" s="13">
        <v>1686.98</v>
      </c>
      <c r="L356" s="13">
        <v>142.97</v>
      </c>
      <c r="M356" s="13">
        <v>517.16</v>
      </c>
      <c r="N356" s="13">
        <v>457.66</v>
      </c>
      <c r="O356" s="13">
        <v>53.96</v>
      </c>
      <c r="P356" s="13">
        <v>14.58</v>
      </c>
      <c r="Q356" s="13">
        <v>43.35</v>
      </c>
      <c r="R356" s="13">
        <v>4.6500000000000004</v>
      </c>
      <c r="S356" s="13">
        <v>25.66</v>
      </c>
      <c r="T356" s="13">
        <v>156.54</v>
      </c>
      <c r="U356" s="13">
        <v>4.9400000000000004</v>
      </c>
      <c r="V356" s="13">
        <v>13.14</v>
      </c>
      <c r="W356" s="13">
        <v>1.8380000000000001</v>
      </c>
      <c r="X356" s="13">
        <v>12.01</v>
      </c>
      <c r="Y356" s="13">
        <v>2.15</v>
      </c>
      <c r="Z356" s="13"/>
      <c r="AA356" s="13"/>
      <c r="AB356" s="13"/>
      <c r="AC356" s="14">
        <v>364.59459459459464</v>
      </c>
      <c r="AD356" s="14">
        <v>258.96980461811722</v>
      </c>
      <c r="AE356" s="14">
        <v>217.8391959798995</v>
      </c>
      <c r="AF356" s="14">
        <v>128.80886426592798</v>
      </c>
      <c r="AG356" s="15">
        <v>0.88926778909128068</v>
      </c>
      <c r="AH356" s="15">
        <v>0.9189164023932338</v>
      </c>
      <c r="AI356" s="15">
        <v>1.0047555072231167</v>
      </c>
      <c r="AJ356" s="41">
        <f t="shared" si="10"/>
        <v>3604.89</v>
      </c>
      <c r="AK356" s="44">
        <f t="shared" si="11"/>
        <v>3.3036923470039605</v>
      </c>
      <c r="AL356" s="10"/>
      <c r="AM356" s="10"/>
    </row>
    <row r="357" spans="1:39" s="16" customFormat="1" ht="19" customHeight="1">
      <c r="A357" s="9" t="s">
        <v>417</v>
      </c>
      <c r="B357" s="10" t="s">
        <v>405</v>
      </c>
      <c r="C357" s="10"/>
      <c r="D357" s="10"/>
      <c r="E357" s="11" t="s">
        <v>1341</v>
      </c>
      <c r="F357" s="11" t="s">
        <v>249</v>
      </c>
      <c r="G357" s="12" t="s">
        <v>250</v>
      </c>
      <c r="H357" s="13">
        <v>230.23</v>
      </c>
      <c r="I357" s="13">
        <v>196.48</v>
      </c>
      <c r="J357" s="13">
        <v>426.65</v>
      </c>
      <c r="K357" s="13">
        <v>1007.71</v>
      </c>
      <c r="L357" s="13">
        <v>122.84</v>
      </c>
      <c r="M357" s="13">
        <v>158.78</v>
      </c>
      <c r="N357" s="13">
        <v>543.88</v>
      </c>
      <c r="O357" s="13">
        <v>133.19</v>
      </c>
      <c r="P357" s="13">
        <v>63.4</v>
      </c>
      <c r="Q357" s="13">
        <v>159.75</v>
      </c>
      <c r="R357" s="13">
        <v>21.95</v>
      </c>
      <c r="S357" s="13">
        <v>136.46</v>
      </c>
      <c r="T357" s="13">
        <v>911.51</v>
      </c>
      <c r="U357" s="13">
        <v>29.86</v>
      </c>
      <c r="V357" s="13">
        <v>86.66</v>
      </c>
      <c r="W357" s="13">
        <v>11.95</v>
      </c>
      <c r="X357" s="13">
        <v>85.94</v>
      </c>
      <c r="Y357" s="13">
        <v>15.22</v>
      </c>
      <c r="Z357" s="13"/>
      <c r="AA357" s="13"/>
      <c r="AB357" s="13"/>
      <c r="AC357" s="14">
        <v>899.93243243243251</v>
      </c>
      <c r="AD357" s="14">
        <v>1126.1101243339256</v>
      </c>
      <c r="AE357" s="14">
        <v>802.7638190954774</v>
      </c>
      <c r="AF357" s="14">
        <v>608.03324099722988</v>
      </c>
      <c r="AG357" s="15">
        <v>1.3227375385638087</v>
      </c>
      <c r="AH357" s="15">
        <v>1.3248966929405905</v>
      </c>
      <c r="AI357" s="15">
        <v>1.4260403696036426</v>
      </c>
      <c r="AJ357" s="41">
        <f t="shared" si="10"/>
        <v>2101.08</v>
      </c>
      <c r="AK357" s="44">
        <f t="shared" si="11"/>
        <v>0.17419446851927023</v>
      </c>
      <c r="AL357" s="10"/>
      <c r="AM357" s="10"/>
    </row>
    <row r="358" spans="1:39" s="16" customFormat="1" ht="19" customHeight="1">
      <c r="A358" s="9" t="s">
        <v>418</v>
      </c>
      <c r="B358" s="10" t="s">
        <v>405</v>
      </c>
      <c r="C358" s="10"/>
      <c r="D358" s="10"/>
      <c r="E358" s="11" t="s">
        <v>1341</v>
      </c>
      <c r="F358" s="11" t="s">
        <v>249</v>
      </c>
      <c r="G358" s="12" t="s">
        <v>250</v>
      </c>
      <c r="H358" s="13">
        <v>121.61</v>
      </c>
      <c r="I358" s="13">
        <v>53.77</v>
      </c>
      <c r="J358" s="13">
        <v>129.36000000000001</v>
      </c>
      <c r="K358" s="13">
        <v>412.73</v>
      </c>
      <c r="L358" s="13">
        <v>66.47</v>
      </c>
      <c r="M358" s="13">
        <v>154.6</v>
      </c>
      <c r="N358" s="13">
        <v>320</v>
      </c>
      <c r="O358" s="13">
        <v>77.73</v>
      </c>
      <c r="P358" s="13">
        <v>17.73</v>
      </c>
      <c r="Q358" s="13">
        <v>91.27</v>
      </c>
      <c r="R358" s="13">
        <v>12.78</v>
      </c>
      <c r="S358" s="13">
        <v>85.21</v>
      </c>
      <c r="T358" s="13">
        <v>643.14</v>
      </c>
      <c r="U358" s="13">
        <v>19.47</v>
      </c>
      <c r="V358" s="13">
        <v>58.96</v>
      </c>
      <c r="W358" s="13">
        <v>9.4499999999999993</v>
      </c>
      <c r="X358" s="13">
        <v>69.86</v>
      </c>
      <c r="Y358" s="13">
        <v>13.57</v>
      </c>
      <c r="Z358" s="13"/>
      <c r="AA358" s="13"/>
      <c r="AB358" s="13"/>
      <c r="AC358" s="14">
        <v>525.20270270270271</v>
      </c>
      <c r="AD358" s="14">
        <v>314.92007104795738</v>
      </c>
      <c r="AE358" s="14">
        <v>458.64321608040194</v>
      </c>
      <c r="AF358" s="14">
        <v>354.01662049861494</v>
      </c>
      <c r="AG358" s="15">
        <v>0.64018168909512663</v>
      </c>
      <c r="AH358" s="15">
        <v>0.64165174181967011</v>
      </c>
      <c r="AI358" s="15">
        <v>0.68387147438019424</v>
      </c>
      <c r="AJ358" s="41">
        <f t="shared" si="10"/>
        <v>928.56000000000006</v>
      </c>
      <c r="AK358" s="44">
        <f t="shared" si="11"/>
        <v>0.24038312031594986</v>
      </c>
      <c r="AL358" s="10"/>
      <c r="AM358" s="10"/>
    </row>
    <row r="359" spans="1:39" s="16" customFormat="1" ht="19" customHeight="1">
      <c r="A359" s="9" t="s">
        <v>419</v>
      </c>
      <c r="B359" s="10" t="s">
        <v>405</v>
      </c>
      <c r="C359" s="10"/>
      <c r="D359" s="10"/>
      <c r="E359" s="11" t="s">
        <v>1341</v>
      </c>
      <c r="F359" s="11" t="s">
        <v>249</v>
      </c>
      <c r="G359" s="12" t="s">
        <v>250</v>
      </c>
      <c r="H359" s="13">
        <v>155.35</v>
      </c>
      <c r="I359" s="13">
        <v>69.209999999999994</v>
      </c>
      <c r="J359" s="13">
        <v>907.53</v>
      </c>
      <c r="K359" s="13">
        <v>1092.02</v>
      </c>
      <c r="L359" s="13">
        <v>82.46</v>
      </c>
      <c r="M359" s="13">
        <v>443.99</v>
      </c>
      <c r="N359" s="13">
        <v>257.58999999999997</v>
      </c>
      <c r="O359" s="13">
        <v>36.979999999999997</v>
      </c>
      <c r="P359" s="13">
        <v>11.32</v>
      </c>
      <c r="Q359" s="13">
        <v>32.92</v>
      </c>
      <c r="R359" s="13">
        <v>3.81</v>
      </c>
      <c r="S359" s="13">
        <v>23.78</v>
      </c>
      <c r="T359" s="13">
        <v>158.13</v>
      </c>
      <c r="U359" s="13">
        <v>4.96</v>
      </c>
      <c r="V359" s="13">
        <v>14.22</v>
      </c>
      <c r="W359" s="13">
        <v>2.15</v>
      </c>
      <c r="X359" s="13">
        <v>13.6</v>
      </c>
      <c r="Y359" s="13">
        <v>2.35</v>
      </c>
      <c r="Z359" s="13"/>
      <c r="AA359" s="13"/>
      <c r="AB359" s="13"/>
      <c r="AC359" s="14">
        <v>249.86486486486487</v>
      </c>
      <c r="AD359" s="14">
        <v>201.06571936056841</v>
      </c>
      <c r="AE359" s="14">
        <v>165.42713567839195</v>
      </c>
      <c r="AF359" s="14">
        <v>105.54016620498615</v>
      </c>
      <c r="AG359" s="15">
        <v>0.96831010035130893</v>
      </c>
      <c r="AH359" s="15">
        <v>0.98896759431327164</v>
      </c>
      <c r="AI359" s="15">
        <v>1.0724950918253282</v>
      </c>
      <c r="AJ359" s="41">
        <f t="shared" si="10"/>
        <v>2339.6</v>
      </c>
      <c r="AK359" s="44">
        <f t="shared" si="11"/>
        <v>2.8077531145260228</v>
      </c>
      <c r="AL359" s="10"/>
      <c r="AM359" s="10"/>
    </row>
    <row r="360" spans="1:39" s="16" customFormat="1" ht="19" customHeight="1">
      <c r="A360" s="9" t="s">
        <v>420</v>
      </c>
      <c r="B360" s="10" t="s">
        <v>405</v>
      </c>
      <c r="C360" s="10"/>
      <c r="D360" s="10"/>
      <c r="E360" s="11" t="s">
        <v>1341</v>
      </c>
      <c r="F360" s="11" t="s">
        <v>249</v>
      </c>
      <c r="G360" s="12" t="s">
        <v>250</v>
      </c>
      <c r="H360" s="13">
        <v>100.62</v>
      </c>
      <c r="I360" s="13">
        <v>42.94</v>
      </c>
      <c r="J360" s="13">
        <v>614.48</v>
      </c>
      <c r="K360" s="13">
        <v>677.79</v>
      </c>
      <c r="L360" s="13">
        <v>50.28</v>
      </c>
      <c r="M360" s="13">
        <v>462.49</v>
      </c>
      <c r="N360" s="13">
        <v>166.43</v>
      </c>
      <c r="O360" s="13">
        <v>20.02</v>
      </c>
      <c r="P360" s="13">
        <v>6.03</v>
      </c>
      <c r="Q360" s="13">
        <v>20.190000000000001</v>
      </c>
      <c r="R360" s="13">
        <v>2.1800000000000002</v>
      </c>
      <c r="S360" s="13">
        <v>12.63</v>
      </c>
      <c r="T360" s="13">
        <v>89.23</v>
      </c>
      <c r="U360" s="13">
        <v>2.76</v>
      </c>
      <c r="V360" s="13">
        <v>7.41</v>
      </c>
      <c r="W360" s="13">
        <v>0.96099999999999997</v>
      </c>
      <c r="X360" s="13">
        <v>6.24</v>
      </c>
      <c r="Y360" s="13">
        <v>1.29</v>
      </c>
      <c r="Z360" s="13"/>
      <c r="AA360" s="13"/>
      <c r="AB360" s="13"/>
      <c r="AC360" s="14">
        <v>135.27027027027029</v>
      </c>
      <c r="AD360" s="14">
        <v>107.10479573712257</v>
      </c>
      <c r="AE360" s="14">
        <v>101.4572864321608</v>
      </c>
      <c r="AF360" s="14">
        <v>60.387811634349035</v>
      </c>
      <c r="AG360" s="15">
        <v>0.90487814117690046</v>
      </c>
      <c r="AH360" s="15">
        <v>0.9142524169917392</v>
      </c>
      <c r="AI360" s="15">
        <v>1.0359948148163749</v>
      </c>
      <c r="AJ360" s="41">
        <f t="shared" si="10"/>
        <v>1508.98</v>
      </c>
      <c r="AK360" s="44">
        <f t="shared" si="11"/>
        <v>5.1831222682954161</v>
      </c>
      <c r="AL360" s="10"/>
      <c r="AM360" s="10"/>
    </row>
    <row r="361" spans="1:39" s="16" customFormat="1" ht="19" customHeight="1">
      <c r="A361" s="9" t="s">
        <v>421</v>
      </c>
      <c r="B361" s="10" t="s">
        <v>405</v>
      </c>
      <c r="C361" s="10"/>
      <c r="D361" s="10"/>
      <c r="E361" s="11" t="s">
        <v>1341</v>
      </c>
      <c r="F361" s="11" t="s">
        <v>249</v>
      </c>
      <c r="G361" s="12" t="s">
        <v>250</v>
      </c>
      <c r="H361" s="13">
        <v>39.92</v>
      </c>
      <c r="I361" s="13">
        <v>23.32</v>
      </c>
      <c r="J361" s="13">
        <v>874.56</v>
      </c>
      <c r="K361" s="13">
        <v>1067.22</v>
      </c>
      <c r="L361" s="13">
        <v>77.680000000000007</v>
      </c>
      <c r="M361" s="13">
        <v>379.7</v>
      </c>
      <c r="N361" s="13">
        <v>221.18</v>
      </c>
      <c r="O361" s="13">
        <v>22.04</v>
      </c>
      <c r="P361" s="13">
        <v>5.83</v>
      </c>
      <c r="Q361" s="13">
        <v>18.79</v>
      </c>
      <c r="R361" s="13">
        <v>2.04</v>
      </c>
      <c r="S361" s="13">
        <v>12.08</v>
      </c>
      <c r="T361" s="13">
        <v>94.5</v>
      </c>
      <c r="U361" s="13">
        <v>2.91</v>
      </c>
      <c r="V361" s="13">
        <v>8.33</v>
      </c>
      <c r="W361" s="13">
        <v>1.2709999999999999</v>
      </c>
      <c r="X361" s="13">
        <v>9.89</v>
      </c>
      <c r="Y361" s="13">
        <v>2.12</v>
      </c>
      <c r="Z361" s="13"/>
      <c r="AA361" s="13"/>
      <c r="AB361" s="13"/>
      <c r="AC361" s="14">
        <v>148.91891891891893</v>
      </c>
      <c r="AD361" s="14">
        <v>103.55239786856129</v>
      </c>
      <c r="AE361" s="14">
        <v>94.422110552763812</v>
      </c>
      <c r="AF361" s="14">
        <v>56.50969529085873</v>
      </c>
      <c r="AG361" s="15">
        <v>0.85108868071597865</v>
      </c>
      <c r="AH361" s="15">
        <v>0.87326965786574062</v>
      </c>
      <c r="AI361" s="15">
        <v>0.96047468277557613</v>
      </c>
      <c r="AJ361" s="41">
        <f t="shared" si="10"/>
        <v>2240.64</v>
      </c>
      <c r="AK361" s="44">
        <f t="shared" si="11"/>
        <v>4.0179894179894182</v>
      </c>
      <c r="AL361" s="10"/>
      <c r="AM361" s="10"/>
    </row>
    <row r="362" spans="1:39" s="16" customFormat="1" ht="19" customHeight="1">
      <c r="A362" s="9" t="s">
        <v>422</v>
      </c>
      <c r="B362" s="10" t="s">
        <v>405</v>
      </c>
      <c r="C362" s="10"/>
      <c r="D362" s="10"/>
      <c r="E362" s="11" t="s">
        <v>1341</v>
      </c>
      <c r="F362" s="11" t="s">
        <v>249</v>
      </c>
      <c r="G362" s="12" t="s">
        <v>250</v>
      </c>
      <c r="H362" s="13">
        <v>134.93</v>
      </c>
      <c r="I362" s="13">
        <v>33.94</v>
      </c>
      <c r="J362" s="13">
        <v>1584.48</v>
      </c>
      <c r="K362" s="13">
        <v>1819.93</v>
      </c>
      <c r="L362" s="13">
        <v>158.18</v>
      </c>
      <c r="M362" s="13">
        <v>500.42</v>
      </c>
      <c r="N362" s="13">
        <v>499.24</v>
      </c>
      <c r="O362" s="13">
        <v>58.53</v>
      </c>
      <c r="P362" s="13">
        <v>15.97</v>
      </c>
      <c r="Q362" s="13">
        <v>44.34</v>
      </c>
      <c r="R362" s="13">
        <v>4.93</v>
      </c>
      <c r="S362" s="13">
        <v>27.7</v>
      </c>
      <c r="T362" s="13">
        <v>176.21</v>
      </c>
      <c r="U362" s="13">
        <v>5.8</v>
      </c>
      <c r="V362" s="13">
        <v>16.05</v>
      </c>
      <c r="W362" s="13">
        <v>1.98</v>
      </c>
      <c r="X362" s="13">
        <v>12.94</v>
      </c>
      <c r="Y362" s="13">
        <v>2.66</v>
      </c>
      <c r="Z362" s="13"/>
      <c r="AA362" s="13"/>
      <c r="AB362" s="13"/>
      <c r="AC362" s="14">
        <v>395.47297297297303</v>
      </c>
      <c r="AD362" s="14">
        <v>283.65896980461815</v>
      </c>
      <c r="AE362" s="14">
        <v>222.8140703517588</v>
      </c>
      <c r="AF362" s="14">
        <v>136.56509695290859</v>
      </c>
      <c r="AG362" s="15">
        <v>0.91756401130222953</v>
      </c>
      <c r="AH362" s="15">
        <v>0.95557947021564338</v>
      </c>
      <c r="AI362" s="15">
        <v>1.0223636738240005</v>
      </c>
      <c r="AJ362" s="41">
        <f t="shared" si="10"/>
        <v>4061.83</v>
      </c>
      <c r="AK362" s="44">
        <f t="shared" si="11"/>
        <v>2.8399069292321659</v>
      </c>
      <c r="AL362" s="10"/>
      <c r="AM362" s="10"/>
    </row>
    <row r="363" spans="1:39" s="16" customFormat="1" ht="19" customHeight="1">
      <c r="A363" s="9" t="s">
        <v>423</v>
      </c>
      <c r="B363" s="10" t="s">
        <v>405</v>
      </c>
      <c r="C363" s="10"/>
      <c r="D363" s="10"/>
      <c r="E363" s="11" t="s">
        <v>1341</v>
      </c>
      <c r="F363" s="11" t="s">
        <v>249</v>
      </c>
      <c r="G363" s="12" t="s">
        <v>250</v>
      </c>
      <c r="H363" s="13">
        <v>73.87</v>
      </c>
      <c r="I363" s="13">
        <v>16.38</v>
      </c>
      <c r="J363" s="13">
        <v>1368.02</v>
      </c>
      <c r="K363" s="13">
        <v>2334.62</v>
      </c>
      <c r="L363" s="13">
        <v>248.34</v>
      </c>
      <c r="M363" s="13">
        <v>584.45000000000005</v>
      </c>
      <c r="N363" s="13">
        <v>934.8</v>
      </c>
      <c r="O363" s="13">
        <v>120.01</v>
      </c>
      <c r="P363" s="13">
        <v>15.03</v>
      </c>
      <c r="Q363" s="13">
        <v>80.19</v>
      </c>
      <c r="R363" s="13">
        <v>7.46</v>
      </c>
      <c r="S363" s="13">
        <v>35.619999999999997</v>
      </c>
      <c r="T363" s="13">
        <v>199.84</v>
      </c>
      <c r="U363" s="13">
        <v>6.4</v>
      </c>
      <c r="V363" s="13">
        <v>16.420000000000002</v>
      </c>
      <c r="W363" s="13">
        <v>1.97</v>
      </c>
      <c r="X363" s="13">
        <v>12.93</v>
      </c>
      <c r="Y363" s="13">
        <v>2.0299999999999998</v>
      </c>
      <c r="Z363" s="13"/>
      <c r="AA363" s="13"/>
      <c r="AB363" s="13"/>
      <c r="AC363" s="14">
        <v>810.87837837837844</v>
      </c>
      <c r="AD363" s="14">
        <v>266.9626998223801</v>
      </c>
      <c r="AE363" s="14">
        <v>402.964824120603</v>
      </c>
      <c r="AF363" s="14">
        <v>206.64819944598338</v>
      </c>
      <c r="AG363" s="15">
        <v>0.43986356602364229</v>
      </c>
      <c r="AH363" s="15">
        <v>0.46702395465346613</v>
      </c>
      <c r="AI363" s="15">
        <v>0.51928155574200041</v>
      </c>
      <c r="AJ363" s="41">
        <f t="shared" si="10"/>
        <v>4885.78</v>
      </c>
      <c r="AK363" s="44">
        <f t="shared" si="11"/>
        <v>2.9245896717373903</v>
      </c>
      <c r="AL363" s="10"/>
      <c r="AM363" s="10"/>
    </row>
    <row r="364" spans="1:39" s="16" customFormat="1" ht="19" customHeight="1">
      <c r="A364" s="9" t="s">
        <v>424</v>
      </c>
      <c r="B364" s="10" t="s">
        <v>405</v>
      </c>
      <c r="C364" s="10"/>
      <c r="D364" s="10"/>
      <c r="E364" s="11" t="s">
        <v>1341</v>
      </c>
      <c r="F364" s="11" t="s">
        <v>249</v>
      </c>
      <c r="G364" s="12" t="s">
        <v>250</v>
      </c>
      <c r="H364" s="13">
        <v>53.84</v>
      </c>
      <c r="I364" s="13">
        <v>18.03</v>
      </c>
      <c r="J364" s="13">
        <v>1305.77</v>
      </c>
      <c r="K364" s="13">
        <v>2111.0700000000002</v>
      </c>
      <c r="L364" s="13">
        <v>207.37</v>
      </c>
      <c r="M364" s="13">
        <v>572.92999999999995</v>
      </c>
      <c r="N364" s="13">
        <v>682.52</v>
      </c>
      <c r="O364" s="13">
        <v>74.41</v>
      </c>
      <c r="P364" s="13">
        <v>11.63</v>
      </c>
      <c r="Q364" s="13">
        <v>45.62</v>
      </c>
      <c r="R364" s="13">
        <v>4.43</v>
      </c>
      <c r="S364" s="13">
        <v>22.82</v>
      </c>
      <c r="T364" s="13">
        <v>146.54</v>
      </c>
      <c r="U364" s="13">
        <v>4.3499999999999996</v>
      </c>
      <c r="V364" s="13">
        <v>11.98</v>
      </c>
      <c r="W364" s="13">
        <v>1.587</v>
      </c>
      <c r="X364" s="13">
        <v>10.09</v>
      </c>
      <c r="Y364" s="13">
        <v>1.88</v>
      </c>
      <c r="Z364" s="13"/>
      <c r="AA364" s="13"/>
      <c r="AB364" s="13"/>
      <c r="AC364" s="14">
        <v>502.77027027027026</v>
      </c>
      <c r="AD364" s="14">
        <v>206.57193605683838</v>
      </c>
      <c r="AE364" s="14">
        <v>229.24623115577887</v>
      </c>
      <c r="AF364" s="14">
        <v>122.7146814404432</v>
      </c>
      <c r="AG364" s="15">
        <v>0.56439147383812638</v>
      </c>
      <c r="AH364" s="15">
        <v>0.60846474943016005</v>
      </c>
      <c r="AI364" s="15">
        <v>0.65744498854491795</v>
      </c>
      <c r="AJ364" s="41">
        <f t="shared" si="10"/>
        <v>4306.7299999999996</v>
      </c>
      <c r="AK364" s="44">
        <f t="shared" si="11"/>
        <v>3.9097174832810153</v>
      </c>
      <c r="AL364" s="10"/>
      <c r="AM364" s="10"/>
    </row>
    <row r="365" spans="1:39" s="16" customFormat="1" ht="19" customHeight="1">
      <c r="A365" s="9" t="s">
        <v>425</v>
      </c>
      <c r="B365" s="10" t="s">
        <v>405</v>
      </c>
      <c r="C365" s="10"/>
      <c r="D365" s="10"/>
      <c r="E365" s="11" t="s">
        <v>1341</v>
      </c>
      <c r="F365" s="11" t="s">
        <v>249</v>
      </c>
      <c r="G365" s="12" t="s">
        <v>250</v>
      </c>
      <c r="H365" s="13">
        <v>77.69</v>
      </c>
      <c r="I365" s="13">
        <v>71.069999999999993</v>
      </c>
      <c r="J365" s="13">
        <v>1310.58</v>
      </c>
      <c r="K365" s="13">
        <v>1909.39</v>
      </c>
      <c r="L365" s="13">
        <v>183.32</v>
      </c>
      <c r="M365" s="13">
        <v>343.63</v>
      </c>
      <c r="N365" s="13">
        <v>625.39</v>
      </c>
      <c r="O365" s="13">
        <v>78.8</v>
      </c>
      <c r="P365" s="13">
        <v>10.82</v>
      </c>
      <c r="Q365" s="13">
        <v>55.06</v>
      </c>
      <c r="R365" s="13">
        <v>5.8</v>
      </c>
      <c r="S365" s="13">
        <v>27.58</v>
      </c>
      <c r="T365" s="13">
        <v>161.15</v>
      </c>
      <c r="U365" s="13">
        <v>5.2</v>
      </c>
      <c r="V365" s="13">
        <v>13.74</v>
      </c>
      <c r="W365" s="13">
        <v>1.61</v>
      </c>
      <c r="X365" s="13">
        <v>11.24</v>
      </c>
      <c r="Y365" s="13">
        <v>2.11</v>
      </c>
      <c r="Z365" s="13"/>
      <c r="AA365" s="13"/>
      <c r="AB365" s="13"/>
      <c r="AC365" s="14">
        <v>532.43243243243239</v>
      </c>
      <c r="AD365" s="14">
        <v>192.18472468916519</v>
      </c>
      <c r="AE365" s="14">
        <v>276.68341708542715</v>
      </c>
      <c r="AF365" s="14">
        <v>160.66481994459832</v>
      </c>
      <c r="AG365" s="15">
        <v>0.47504872090612316</v>
      </c>
      <c r="AH365" s="15">
        <v>0.50072012798081289</v>
      </c>
      <c r="AI365" s="15">
        <v>0.53814866538678674</v>
      </c>
      <c r="AJ365" s="41">
        <f t="shared" si="10"/>
        <v>4028.6800000000003</v>
      </c>
      <c r="AK365" s="44">
        <f t="shared" si="11"/>
        <v>2.1323611542041574</v>
      </c>
      <c r="AL365" s="10"/>
      <c r="AM365" s="10"/>
    </row>
    <row r="366" spans="1:39" s="16" customFormat="1" ht="19" customHeight="1">
      <c r="A366" s="9" t="s">
        <v>426</v>
      </c>
      <c r="B366" s="10" t="s">
        <v>405</v>
      </c>
      <c r="C366" s="10"/>
      <c r="D366" s="10"/>
      <c r="E366" s="11" t="s">
        <v>1341</v>
      </c>
      <c r="F366" s="11" t="s">
        <v>249</v>
      </c>
      <c r="G366" s="12" t="s">
        <v>250</v>
      </c>
      <c r="H366" s="13">
        <v>69.98</v>
      </c>
      <c r="I366" s="13">
        <v>19.07</v>
      </c>
      <c r="J366" s="13">
        <v>1901.48</v>
      </c>
      <c r="K366" s="13">
        <v>2683.01</v>
      </c>
      <c r="L366" s="13">
        <v>233.97</v>
      </c>
      <c r="M366" s="13">
        <v>331.21</v>
      </c>
      <c r="N366" s="13">
        <v>761.88</v>
      </c>
      <c r="O366" s="13">
        <v>88.38</v>
      </c>
      <c r="P366" s="13">
        <v>7.43</v>
      </c>
      <c r="Q366" s="13">
        <v>56.15</v>
      </c>
      <c r="R366" s="13">
        <v>5.0599999999999996</v>
      </c>
      <c r="S366" s="13">
        <v>24.56</v>
      </c>
      <c r="T366" s="13">
        <v>106.58</v>
      </c>
      <c r="U366" s="13">
        <v>4.1500000000000004</v>
      </c>
      <c r="V366" s="13">
        <v>9.4</v>
      </c>
      <c r="W366" s="13">
        <v>1.26</v>
      </c>
      <c r="X366" s="13">
        <v>7.14</v>
      </c>
      <c r="Y366" s="13">
        <v>1.31</v>
      </c>
      <c r="Z366" s="13"/>
      <c r="AA366" s="13"/>
      <c r="AB366" s="13"/>
      <c r="AC366" s="14">
        <v>597.16216216216219</v>
      </c>
      <c r="AD366" s="14">
        <v>131.97158081705152</v>
      </c>
      <c r="AE366" s="14">
        <v>282.1608040201005</v>
      </c>
      <c r="AF366" s="14">
        <v>140.16620498614958</v>
      </c>
      <c r="AG366" s="15">
        <v>0.30016634591048985</v>
      </c>
      <c r="AH366" s="15">
        <v>0.32150367080805531</v>
      </c>
      <c r="AI366" s="15">
        <v>0.358265063476364</v>
      </c>
      <c r="AJ366" s="41">
        <f t="shared" si="10"/>
        <v>5580.34</v>
      </c>
      <c r="AK366" s="44">
        <f t="shared" si="11"/>
        <v>3.1076186901857756</v>
      </c>
      <c r="AL366" s="10"/>
      <c r="AM366" s="10"/>
    </row>
    <row r="367" spans="1:39" s="16" customFormat="1" ht="19" customHeight="1">
      <c r="A367" s="9" t="s">
        <v>427</v>
      </c>
      <c r="B367" s="10" t="s">
        <v>405</v>
      </c>
      <c r="C367" s="10"/>
      <c r="D367" s="10"/>
      <c r="E367" s="11" t="s">
        <v>1341</v>
      </c>
      <c r="F367" s="11" t="s">
        <v>249</v>
      </c>
      <c r="G367" s="12" t="s">
        <v>250</v>
      </c>
      <c r="H367" s="13">
        <v>128.77000000000001</v>
      </c>
      <c r="I367" s="13">
        <v>32.200000000000003</v>
      </c>
      <c r="J367" s="13">
        <v>2546.83</v>
      </c>
      <c r="K367" s="13">
        <v>3740.99</v>
      </c>
      <c r="L367" s="13">
        <v>329.24</v>
      </c>
      <c r="M367" s="13">
        <v>340.3</v>
      </c>
      <c r="N367" s="13">
        <v>1113.6600000000001</v>
      </c>
      <c r="O367" s="13">
        <v>134.97</v>
      </c>
      <c r="P367" s="13">
        <v>12.59</v>
      </c>
      <c r="Q367" s="13">
        <v>88.9</v>
      </c>
      <c r="R367" s="13">
        <v>8.19</v>
      </c>
      <c r="S367" s="13">
        <v>39.909999999999997</v>
      </c>
      <c r="T367" s="13">
        <v>185.68</v>
      </c>
      <c r="U367" s="13">
        <v>7.06</v>
      </c>
      <c r="V367" s="13">
        <v>16.38</v>
      </c>
      <c r="W367" s="13">
        <v>2.02</v>
      </c>
      <c r="X367" s="13">
        <v>12.16</v>
      </c>
      <c r="Y367" s="13">
        <v>2</v>
      </c>
      <c r="Z367" s="13"/>
      <c r="AA367" s="13"/>
      <c r="AB367" s="13"/>
      <c r="AC367" s="14">
        <v>911.95945945945948</v>
      </c>
      <c r="AD367" s="14">
        <v>223.62344582593252</v>
      </c>
      <c r="AE367" s="14">
        <v>446.73366834170855</v>
      </c>
      <c r="AF367" s="14">
        <v>226.86980609418282</v>
      </c>
      <c r="AG367" s="15">
        <v>0.32917432384136958</v>
      </c>
      <c r="AH367" s="15">
        <v>0.35035250476620311</v>
      </c>
      <c r="AI367" s="15">
        <v>0.38988938727150552</v>
      </c>
      <c r="AJ367" s="41">
        <f t="shared" si="10"/>
        <v>7730.7199999999993</v>
      </c>
      <c r="AK367" s="44">
        <f t="shared" si="11"/>
        <v>1.8327229642395519</v>
      </c>
      <c r="AL367" s="10"/>
      <c r="AM367" s="10"/>
    </row>
    <row r="368" spans="1:39" s="16" customFormat="1" ht="19" customHeight="1">
      <c r="A368" s="9" t="s">
        <v>428</v>
      </c>
      <c r="B368" s="10" t="s">
        <v>405</v>
      </c>
      <c r="C368" s="10"/>
      <c r="D368" s="10"/>
      <c r="E368" s="11" t="s">
        <v>1341</v>
      </c>
      <c r="F368" s="11" t="s">
        <v>249</v>
      </c>
      <c r="G368" s="12" t="s">
        <v>250</v>
      </c>
      <c r="H368" s="13">
        <v>90.74</v>
      </c>
      <c r="I368" s="13">
        <v>25.71</v>
      </c>
      <c r="J368" s="13">
        <v>2056.52</v>
      </c>
      <c r="K368" s="13">
        <v>2783.62</v>
      </c>
      <c r="L368" s="13">
        <v>250.23</v>
      </c>
      <c r="M368" s="13">
        <v>332.37</v>
      </c>
      <c r="N368" s="13">
        <v>827.89</v>
      </c>
      <c r="O368" s="13">
        <v>97.72</v>
      </c>
      <c r="P368" s="13">
        <v>8.9700000000000006</v>
      </c>
      <c r="Q368" s="13">
        <v>63.48</v>
      </c>
      <c r="R368" s="13">
        <v>5.89</v>
      </c>
      <c r="S368" s="13">
        <v>28.9</v>
      </c>
      <c r="T368" s="13">
        <v>136.29</v>
      </c>
      <c r="U368" s="13">
        <v>5.26</v>
      </c>
      <c r="V368" s="13">
        <v>12.43</v>
      </c>
      <c r="W368" s="13">
        <v>1.54</v>
      </c>
      <c r="X368" s="13">
        <v>9.08</v>
      </c>
      <c r="Y368" s="13">
        <v>1.52</v>
      </c>
      <c r="Z368" s="13"/>
      <c r="AA368" s="13"/>
      <c r="AB368" s="13"/>
      <c r="AC368" s="14">
        <v>660.27027027027032</v>
      </c>
      <c r="AD368" s="14">
        <v>159.32504440497337</v>
      </c>
      <c r="AE368" s="14">
        <v>318.99497487437185</v>
      </c>
      <c r="AF368" s="14">
        <v>163.15789473684211</v>
      </c>
      <c r="AG368" s="15">
        <v>0.32539711828829437</v>
      </c>
      <c r="AH368" s="15">
        <v>0.34716125996798192</v>
      </c>
      <c r="AI368" s="15">
        <v>0.38453291680274054</v>
      </c>
      <c r="AJ368" s="41">
        <f t="shared" si="10"/>
        <v>5918.2599999999993</v>
      </c>
      <c r="AK368" s="44">
        <f t="shared" si="11"/>
        <v>2.4386968963240152</v>
      </c>
      <c r="AL368" s="10"/>
      <c r="AM368" s="10"/>
    </row>
    <row r="369" spans="1:39" s="16" customFormat="1" ht="19" customHeight="1">
      <c r="A369" s="9" t="s">
        <v>429</v>
      </c>
      <c r="B369" s="10" t="s">
        <v>405</v>
      </c>
      <c r="C369" s="10"/>
      <c r="D369" s="10"/>
      <c r="E369" s="11" t="s">
        <v>1341</v>
      </c>
      <c r="F369" s="11" t="s">
        <v>249</v>
      </c>
      <c r="G369" s="12" t="s">
        <v>250</v>
      </c>
      <c r="H369" s="13">
        <v>62.59</v>
      </c>
      <c r="I369" s="13">
        <v>20.73</v>
      </c>
      <c r="J369" s="13">
        <v>1638.47</v>
      </c>
      <c r="K369" s="13">
        <v>2341.63</v>
      </c>
      <c r="L369" s="13">
        <v>209.96</v>
      </c>
      <c r="M369" s="13">
        <v>353.68</v>
      </c>
      <c r="N369" s="13">
        <v>678.26</v>
      </c>
      <c r="O369" s="13">
        <v>79.400000000000006</v>
      </c>
      <c r="P369" s="13">
        <v>6.82</v>
      </c>
      <c r="Q369" s="13">
        <v>48.89</v>
      </c>
      <c r="R369" s="13">
        <v>4.46</v>
      </c>
      <c r="S369" s="13">
        <v>21.25</v>
      </c>
      <c r="T369" s="13">
        <v>106.41</v>
      </c>
      <c r="U369" s="13">
        <v>3.72</v>
      </c>
      <c r="V369" s="13">
        <v>8.8000000000000007</v>
      </c>
      <c r="W369" s="13">
        <v>1.1299999999999999</v>
      </c>
      <c r="X369" s="13">
        <v>6.84</v>
      </c>
      <c r="Y369" s="13">
        <v>1.18</v>
      </c>
      <c r="Z369" s="13"/>
      <c r="AA369" s="13"/>
      <c r="AB369" s="13"/>
      <c r="AC369" s="14">
        <v>536.48648648648657</v>
      </c>
      <c r="AD369" s="14">
        <v>121.13676731793963</v>
      </c>
      <c r="AE369" s="14">
        <v>245.67839195979897</v>
      </c>
      <c r="AF369" s="14">
        <v>123.54570637119113</v>
      </c>
      <c r="AG369" s="15">
        <v>0.30974739637650089</v>
      </c>
      <c r="AH369" s="15">
        <v>0.33366688417310458</v>
      </c>
      <c r="AI369" s="15">
        <v>0.36837846715808298</v>
      </c>
      <c r="AJ369" s="41">
        <f t="shared" si="10"/>
        <v>4868.3200000000006</v>
      </c>
      <c r="AK369" s="44">
        <f t="shared" si="11"/>
        <v>3.323747768066911</v>
      </c>
      <c r="AL369" s="10"/>
      <c r="AM369" s="10"/>
    </row>
    <row r="370" spans="1:39" s="16" customFormat="1" ht="19" customHeight="1">
      <c r="A370" s="9" t="s">
        <v>430</v>
      </c>
      <c r="B370" s="10" t="s">
        <v>405</v>
      </c>
      <c r="C370" s="10"/>
      <c r="D370" s="10"/>
      <c r="E370" s="11" t="s">
        <v>1341</v>
      </c>
      <c r="F370" s="11" t="s">
        <v>249</v>
      </c>
      <c r="G370" s="12" t="s">
        <v>250</v>
      </c>
      <c r="H370" s="13">
        <v>106.55</v>
      </c>
      <c r="I370" s="13">
        <v>29.15</v>
      </c>
      <c r="J370" s="13">
        <v>1932.72</v>
      </c>
      <c r="K370" s="13">
        <v>2888.86</v>
      </c>
      <c r="L370" s="13">
        <v>278.95999999999998</v>
      </c>
      <c r="M370" s="13">
        <v>345.07</v>
      </c>
      <c r="N370" s="13">
        <v>946.63</v>
      </c>
      <c r="O370" s="13">
        <v>116.42</v>
      </c>
      <c r="P370" s="13">
        <v>13.12</v>
      </c>
      <c r="Q370" s="13">
        <v>70.709999999999994</v>
      </c>
      <c r="R370" s="13">
        <v>6.73</v>
      </c>
      <c r="S370" s="13">
        <v>32.74</v>
      </c>
      <c r="T370" s="13">
        <v>177.61</v>
      </c>
      <c r="U370" s="13">
        <v>5.69</v>
      </c>
      <c r="V370" s="13">
        <v>14.91</v>
      </c>
      <c r="W370" s="13">
        <v>1.82</v>
      </c>
      <c r="X370" s="13">
        <v>12.93</v>
      </c>
      <c r="Y370" s="13">
        <v>1.96</v>
      </c>
      <c r="Z370" s="13"/>
      <c r="AA370" s="13"/>
      <c r="AB370" s="13"/>
      <c r="AC370" s="14">
        <v>786.62162162162167</v>
      </c>
      <c r="AD370" s="14">
        <v>233.0373001776199</v>
      </c>
      <c r="AE370" s="14">
        <v>355.32663316582909</v>
      </c>
      <c r="AF370" s="14">
        <v>186.42659279778394</v>
      </c>
      <c r="AG370" s="15">
        <v>0.40813985957882964</v>
      </c>
      <c r="AH370" s="15">
        <v>0.44078684012485991</v>
      </c>
      <c r="AI370" s="15">
        <v>0.47871705482767402</v>
      </c>
      <c r="AJ370" s="41">
        <f t="shared" si="10"/>
        <v>6047.17</v>
      </c>
      <c r="AK370" s="44">
        <f t="shared" si="11"/>
        <v>1.9428523168740497</v>
      </c>
      <c r="AL370" s="10"/>
      <c r="AM370" s="10"/>
    </row>
    <row r="371" spans="1:39" s="16" customFormat="1" ht="19" customHeight="1">
      <c r="A371" s="9" t="s">
        <v>431</v>
      </c>
      <c r="B371" s="10" t="s">
        <v>405</v>
      </c>
      <c r="C371" s="10"/>
      <c r="D371" s="10"/>
      <c r="E371" s="11" t="s">
        <v>1341</v>
      </c>
      <c r="F371" s="11" t="s">
        <v>249</v>
      </c>
      <c r="G371" s="12" t="s">
        <v>250</v>
      </c>
      <c r="H371" s="13">
        <v>49.08</v>
      </c>
      <c r="I371" s="13">
        <v>92.83</v>
      </c>
      <c r="J371" s="13">
        <v>2314.5500000000002</v>
      </c>
      <c r="K371" s="13">
        <v>2622.01</v>
      </c>
      <c r="L371" s="13">
        <v>183.14</v>
      </c>
      <c r="M371" s="13">
        <v>348.62</v>
      </c>
      <c r="N371" s="13">
        <v>518.15</v>
      </c>
      <c r="O371" s="13">
        <v>47.16</v>
      </c>
      <c r="P371" s="13">
        <v>6.91</v>
      </c>
      <c r="Q371" s="13">
        <v>27.2</v>
      </c>
      <c r="R371" s="13">
        <v>2.39</v>
      </c>
      <c r="S371" s="13">
        <v>10.27</v>
      </c>
      <c r="T371" s="13">
        <v>51.36</v>
      </c>
      <c r="U371" s="13">
        <v>1.85</v>
      </c>
      <c r="V371" s="13">
        <v>4.3099999999999996</v>
      </c>
      <c r="W371" s="13">
        <v>0.51200000000000001</v>
      </c>
      <c r="X371" s="13">
        <v>4.22</v>
      </c>
      <c r="Y371" s="13">
        <v>0.748</v>
      </c>
      <c r="Z371" s="13"/>
      <c r="AA371" s="13"/>
      <c r="AB371" s="13"/>
      <c r="AC371" s="14">
        <v>318.64864864864865</v>
      </c>
      <c r="AD371" s="14">
        <v>122.7353463587922</v>
      </c>
      <c r="AE371" s="14">
        <v>136.68341708542712</v>
      </c>
      <c r="AF371" s="14">
        <v>66.204986149584485</v>
      </c>
      <c r="AG371" s="15">
        <v>0.53910258290692148</v>
      </c>
      <c r="AH371" s="15">
        <v>0.58810611915876088</v>
      </c>
      <c r="AI371" s="15">
        <v>0.65032637179951924</v>
      </c>
      <c r="AJ371" s="41">
        <f t="shared" si="10"/>
        <v>5637.85</v>
      </c>
      <c r="AK371" s="44">
        <f t="shared" si="11"/>
        <v>6.7877725856697824</v>
      </c>
      <c r="AL371" s="10"/>
      <c r="AM371" s="10"/>
    </row>
    <row r="372" spans="1:39" s="16" customFormat="1" ht="19" customHeight="1">
      <c r="A372" s="9" t="s">
        <v>432</v>
      </c>
      <c r="B372" s="10" t="s">
        <v>405</v>
      </c>
      <c r="C372" s="10"/>
      <c r="D372" s="10"/>
      <c r="E372" s="11" t="s">
        <v>1341</v>
      </c>
      <c r="F372" s="11" t="s">
        <v>249</v>
      </c>
      <c r="G372" s="12" t="s">
        <v>250</v>
      </c>
      <c r="H372" s="13">
        <v>75.19</v>
      </c>
      <c r="I372" s="13">
        <v>24.59</v>
      </c>
      <c r="J372" s="13">
        <v>2128.2399999999998</v>
      </c>
      <c r="K372" s="13">
        <v>2868.74</v>
      </c>
      <c r="L372" s="13">
        <v>266.20999999999998</v>
      </c>
      <c r="M372" s="13">
        <v>324.25</v>
      </c>
      <c r="N372" s="13">
        <v>943.9</v>
      </c>
      <c r="O372" s="13">
        <v>123.28</v>
      </c>
      <c r="P372" s="13">
        <v>8.41</v>
      </c>
      <c r="Q372" s="13">
        <v>83.94</v>
      </c>
      <c r="R372" s="13">
        <v>7.77</v>
      </c>
      <c r="S372" s="13">
        <v>36.83</v>
      </c>
      <c r="T372" s="13">
        <v>163.62</v>
      </c>
      <c r="U372" s="13">
        <v>6.35</v>
      </c>
      <c r="V372" s="13">
        <v>14.28</v>
      </c>
      <c r="W372" s="13">
        <v>1.5</v>
      </c>
      <c r="X372" s="13">
        <v>8.33</v>
      </c>
      <c r="Y372" s="13">
        <v>1.42</v>
      </c>
      <c r="Z372" s="13"/>
      <c r="AA372" s="13"/>
      <c r="AB372" s="13"/>
      <c r="AC372" s="14">
        <v>832.97297297297303</v>
      </c>
      <c r="AD372" s="14">
        <v>149.3783303730018</v>
      </c>
      <c r="AE372" s="14">
        <v>421.80904522613059</v>
      </c>
      <c r="AF372" s="14">
        <v>215.23545706371189</v>
      </c>
      <c r="AG372" s="15">
        <v>0.23809447092235753</v>
      </c>
      <c r="AH372" s="15">
        <v>0.25200792680875406</v>
      </c>
      <c r="AI372" s="15">
        <v>0.28155444540065172</v>
      </c>
      <c r="AJ372" s="41">
        <f t="shared" si="10"/>
        <v>6207.0899999999992</v>
      </c>
      <c r="AK372" s="44">
        <f t="shared" si="11"/>
        <v>1.9817259503728151</v>
      </c>
      <c r="AL372" s="10"/>
      <c r="AM372" s="10"/>
    </row>
    <row r="373" spans="1:39" s="16" customFormat="1" ht="19" customHeight="1">
      <c r="A373" s="9" t="s">
        <v>433</v>
      </c>
      <c r="B373" s="10" t="s">
        <v>405</v>
      </c>
      <c r="C373" s="10"/>
      <c r="D373" s="10"/>
      <c r="E373" s="11" t="s">
        <v>1341</v>
      </c>
      <c r="F373" s="11" t="s">
        <v>249</v>
      </c>
      <c r="G373" s="12" t="s">
        <v>250</v>
      </c>
      <c r="H373" s="13">
        <v>174.92</v>
      </c>
      <c r="I373" s="13">
        <v>48.27</v>
      </c>
      <c r="J373" s="13">
        <v>3231.46</v>
      </c>
      <c r="K373" s="13">
        <v>4369.6899999999996</v>
      </c>
      <c r="L373" s="13">
        <v>392.76</v>
      </c>
      <c r="M373" s="13">
        <v>354.03</v>
      </c>
      <c r="N373" s="13">
        <v>1370.35</v>
      </c>
      <c r="O373" s="13">
        <v>170.66</v>
      </c>
      <c r="P373" s="13">
        <v>14.05</v>
      </c>
      <c r="Q373" s="13">
        <v>102.76</v>
      </c>
      <c r="R373" s="13">
        <v>9.15</v>
      </c>
      <c r="S373" s="13">
        <v>42.64</v>
      </c>
      <c r="T373" s="13">
        <v>177.39</v>
      </c>
      <c r="U373" s="13">
        <v>7.3</v>
      </c>
      <c r="V373" s="13">
        <v>15.26</v>
      </c>
      <c r="W373" s="13">
        <v>1.65</v>
      </c>
      <c r="X373" s="13">
        <v>8.8000000000000007</v>
      </c>
      <c r="Y373" s="13">
        <v>1.65</v>
      </c>
      <c r="Z373" s="13"/>
      <c r="AA373" s="13"/>
      <c r="AB373" s="13"/>
      <c r="AC373" s="14">
        <v>1153.1081081081081</v>
      </c>
      <c r="AD373" s="14">
        <v>249.55595026642987</v>
      </c>
      <c r="AE373" s="14">
        <v>516.3819095477387</v>
      </c>
      <c r="AF373" s="14">
        <v>253.46260387811634</v>
      </c>
      <c r="AG373" s="15">
        <v>0.29896069773071748</v>
      </c>
      <c r="AH373" s="15">
        <v>0.32340550400517559</v>
      </c>
      <c r="AI373" s="15">
        <v>0.35860522659268251</v>
      </c>
      <c r="AJ373" s="41">
        <f t="shared" si="10"/>
        <v>9364.26</v>
      </c>
      <c r="AK373" s="44">
        <f t="shared" si="11"/>
        <v>1.995772027735498</v>
      </c>
      <c r="AL373" s="10"/>
      <c r="AM373" s="10"/>
    </row>
    <row r="374" spans="1:39" s="16" customFormat="1" ht="19" customHeight="1">
      <c r="A374" s="9" t="s">
        <v>434</v>
      </c>
      <c r="B374" s="10" t="s">
        <v>405</v>
      </c>
      <c r="C374" s="10"/>
      <c r="D374" s="10"/>
      <c r="E374" s="11" t="s">
        <v>1341</v>
      </c>
      <c r="F374" s="11" t="s">
        <v>249</v>
      </c>
      <c r="G374" s="12" t="s">
        <v>250</v>
      </c>
      <c r="H374" s="13">
        <v>71.41</v>
      </c>
      <c r="I374" s="13">
        <v>24.92</v>
      </c>
      <c r="J374" s="13">
        <v>1666.93</v>
      </c>
      <c r="K374" s="13">
        <v>2608.59</v>
      </c>
      <c r="L374" s="13">
        <v>286.79000000000002</v>
      </c>
      <c r="M374" s="13">
        <v>316.2</v>
      </c>
      <c r="N374" s="13">
        <v>1170.04</v>
      </c>
      <c r="O374" s="13">
        <v>171.27</v>
      </c>
      <c r="P374" s="13">
        <v>6.66</v>
      </c>
      <c r="Q374" s="13">
        <v>109.6</v>
      </c>
      <c r="R374" s="13">
        <v>10.29</v>
      </c>
      <c r="S374" s="13">
        <v>49.86</v>
      </c>
      <c r="T374" s="13">
        <v>199.68</v>
      </c>
      <c r="U374" s="13">
        <v>7.99</v>
      </c>
      <c r="V374" s="13">
        <v>16.14</v>
      </c>
      <c r="W374" s="13">
        <v>1.7</v>
      </c>
      <c r="X374" s="13">
        <v>9.2899999999999991</v>
      </c>
      <c r="Y374" s="13">
        <v>1.4039999999999999</v>
      </c>
      <c r="Z374" s="13"/>
      <c r="AA374" s="13"/>
      <c r="AB374" s="13"/>
      <c r="AC374" s="14">
        <v>1157.2297297297298</v>
      </c>
      <c r="AD374" s="14">
        <v>118.29484902309059</v>
      </c>
      <c r="AE374" s="14">
        <v>550.7537688442211</v>
      </c>
      <c r="AF374" s="14">
        <v>285.04155124653738</v>
      </c>
      <c r="AG374" s="15">
        <v>0.13851989685129709</v>
      </c>
      <c r="AH374" s="15">
        <v>0.148175808056799</v>
      </c>
      <c r="AI374" s="15">
        <v>0.16307349862042042</v>
      </c>
      <c r="AJ374" s="41">
        <f t="shared" si="10"/>
        <v>5732.35</v>
      </c>
      <c r="AK374" s="44">
        <f t="shared" si="11"/>
        <v>1.5835336538461537</v>
      </c>
      <c r="AL374" s="10"/>
      <c r="AM374" s="10"/>
    </row>
    <row r="375" spans="1:39" s="16" customFormat="1" ht="19" customHeight="1">
      <c r="A375" s="9" t="s">
        <v>435</v>
      </c>
      <c r="B375" s="10" t="s">
        <v>405</v>
      </c>
      <c r="C375" s="10"/>
      <c r="D375" s="10"/>
      <c r="E375" s="11" t="s">
        <v>1341</v>
      </c>
      <c r="F375" s="11" t="s">
        <v>249</v>
      </c>
      <c r="G375" s="12" t="s">
        <v>250</v>
      </c>
      <c r="H375" s="13">
        <v>76.34</v>
      </c>
      <c r="I375" s="13">
        <v>56.52</v>
      </c>
      <c r="J375" s="13">
        <v>2210.59</v>
      </c>
      <c r="K375" s="13">
        <v>2928.88</v>
      </c>
      <c r="L375" s="13">
        <v>256.52999999999997</v>
      </c>
      <c r="M375" s="13">
        <v>327.51</v>
      </c>
      <c r="N375" s="13">
        <v>835</v>
      </c>
      <c r="O375" s="13">
        <v>89.88</v>
      </c>
      <c r="P375" s="13">
        <v>7.59</v>
      </c>
      <c r="Q375" s="13">
        <v>55.64</v>
      </c>
      <c r="R375" s="13">
        <v>5.13</v>
      </c>
      <c r="S375" s="13">
        <v>22.81</v>
      </c>
      <c r="T375" s="13">
        <v>122.26</v>
      </c>
      <c r="U375" s="13">
        <v>4.16</v>
      </c>
      <c r="V375" s="13">
        <v>9.89</v>
      </c>
      <c r="W375" s="13">
        <v>1.1140000000000001</v>
      </c>
      <c r="X375" s="13">
        <v>7.27</v>
      </c>
      <c r="Y375" s="13">
        <v>1.2470000000000001</v>
      </c>
      <c r="Z375" s="13"/>
      <c r="AA375" s="13"/>
      <c r="AB375" s="13"/>
      <c r="AC375" s="14">
        <v>607.29729729729729</v>
      </c>
      <c r="AD375" s="14">
        <v>134.81349911190054</v>
      </c>
      <c r="AE375" s="14">
        <v>279.59798994974875</v>
      </c>
      <c r="AF375" s="14">
        <v>142.10526315789474</v>
      </c>
      <c r="AG375" s="15">
        <v>0.30401221215272511</v>
      </c>
      <c r="AH375" s="15">
        <v>0.32716413187216919</v>
      </c>
      <c r="AI375" s="15">
        <v>0.36024317475864392</v>
      </c>
      <c r="AJ375" s="41">
        <f t="shared" si="10"/>
        <v>6231</v>
      </c>
      <c r="AK375" s="44">
        <f t="shared" si="11"/>
        <v>2.6787992802224765</v>
      </c>
      <c r="AL375" s="10"/>
      <c r="AM375" s="10"/>
    </row>
    <row r="376" spans="1:39" s="16" customFormat="1" ht="19" customHeight="1">
      <c r="A376" s="9" t="s">
        <v>436</v>
      </c>
      <c r="B376" s="10" t="s">
        <v>405</v>
      </c>
      <c r="C376" s="10"/>
      <c r="D376" s="10"/>
      <c r="E376" s="11" t="s">
        <v>1341</v>
      </c>
      <c r="F376" s="11" t="s">
        <v>249</v>
      </c>
      <c r="G376" s="12" t="s">
        <v>250</v>
      </c>
      <c r="H376" s="13">
        <v>47.15</v>
      </c>
      <c r="I376" s="13">
        <v>20.59</v>
      </c>
      <c r="J376" s="13">
        <v>1541.64</v>
      </c>
      <c r="K376" s="13">
        <v>2069.88</v>
      </c>
      <c r="L376" s="13">
        <v>181.32</v>
      </c>
      <c r="M376" s="13">
        <v>290.93</v>
      </c>
      <c r="N376" s="13">
        <v>601.54</v>
      </c>
      <c r="O376" s="13">
        <v>77.599999999999994</v>
      </c>
      <c r="P376" s="13">
        <v>4.63</v>
      </c>
      <c r="Q376" s="13">
        <v>57.1</v>
      </c>
      <c r="R376" s="13">
        <v>4.5</v>
      </c>
      <c r="S376" s="13">
        <v>20.65</v>
      </c>
      <c r="T376" s="13">
        <v>87.04</v>
      </c>
      <c r="U376" s="13">
        <v>3.66</v>
      </c>
      <c r="V376" s="13">
        <v>8.2100000000000009</v>
      </c>
      <c r="W376" s="13">
        <v>0.54</v>
      </c>
      <c r="X376" s="13">
        <v>4.45</v>
      </c>
      <c r="Y376" s="13">
        <v>0.79</v>
      </c>
      <c r="Z376" s="13"/>
      <c r="AA376" s="13"/>
      <c r="AB376" s="13"/>
      <c r="AC376" s="14">
        <v>524.32432432432427</v>
      </c>
      <c r="AD376" s="14">
        <v>82.238010657193612</v>
      </c>
      <c r="AE376" s="14">
        <v>286.93467336683415</v>
      </c>
      <c r="AF376" s="14">
        <v>124.65373961218836</v>
      </c>
      <c r="AG376" s="15">
        <v>0.20274169134947739</v>
      </c>
      <c r="AH376" s="15">
        <v>0.2120220734403114</v>
      </c>
      <c r="AI376" s="15">
        <v>0.25318471802163606</v>
      </c>
      <c r="AJ376" s="41">
        <f t="shared" si="10"/>
        <v>4394.380000000001</v>
      </c>
      <c r="AK376" s="44">
        <f t="shared" si="11"/>
        <v>3.3424862132352939</v>
      </c>
      <c r="AL376" s="10"/>
      <c r="AM376" s="10"/>
    </row>
    <row r="377" spans="1:39" s="16" customFormat="1" ht="19" customHeight="1">
      <c r="A377" s="9" t="s">
        <v>437</v>
      </c>
      <c r="B377" s="10" t="s">
        <v>405</v>
      </c>
      <c r="C377" s="10"/>
      <c r="D377" s="10"/>
      <c r="E377" s="11" t="s">
        <v>1341</v>
      </c>
      <c r="F377" s="11" t="s">
        <v>249</v>
      </c>
      <c r="G377" s="12" t="s">
        <v>250</v>
      </c>
      <c r="H377" s="13">
        <v>92.45</v>
      </c>
      <c r="I377" s="13">
        <v>36.200000000000003</v>
      </c>
      <c r="J377" s="13">
        <v>2444.98</v>
      </c>
      <c r="K377" s="13">
        <v>2967.4</v>
      </c>
      <c r="L377" s="13">
        <v>255.1</v>
      </c>
      <c r="M377" s="13">
        <v>337.68</v>
      </c>
      <c r="N377" s="13">
        <v>894.41</v>
      </c>
      <c r="O377" s="13">
        <v>107.8</v>
      </c>
      <c r="P377" s="13">
        <v>8.4600000000000009</v>
      </c>
      <c r="Q377" s="13">
        <v>70.22</v>
      </c>
      <c r="R377" s="13">
        <v>6.05</v>
      </c>
      <c r="S377" s="13">
        <v>27.66</v>
      </c>
      <c r="T377" s="13">
        <v>120.34</v>
      </c>
      <c r="U377" s="13">
        <v>4.72</v>
      </c>
      <c r="V377" s="13">
        <v>9.2799999999999994</v>
      </c>
      <c r="W377" s="13">
        <v>1.1299999999999999</v>
      </c>
      <c r="X377" s="13">
        <v>6.42</v>
      </c>
      <c r="Y377" s="13">
        <v>1.008</v>
      </c>
      <c r="Z377" s="13"/>
      <c r="AA377" s="13"/>
      <c r="AB377" s="13"/>
      <c r="AC377" s="14">
        <v>728.37837837837844</v>
      </c>
      <c r="AD377" s="14">
        <v>150.26642984014211</v>
      </c>
      <c r="AE377" s="14">
        <v>352.8643216080402</v>
      </c>
      <c r="AF377" s="14">
        <v>167.59002770083103</v>
      </c>
      <c r="AG377" s="15">
        <v>0.27795134217697759</v>
      </c>
      <c r="AH377" s="15">
        <v>0.29640093623109021</v>
      </c>
      <c r="AI377" s="15">
        <v>0.33667268346629731</v>
      </c>
      <c r="AJ377" s="41">
        <f t="shared" si="10"/>
        <v>6561.89</v>
      </c>
      <c r="AK377" s="44">
        <f t="shared" si="11"/>
        <v>2.8060495263420311</v>
      </c>
      <c r="AL377" s="10"/>
      <c r="AM377" s="10"/>
    </row>
    <row r="378" spans="1:39" s="16" customFormat="1" ht="19" customHeight="1">
      <c r="A378" s="29" t="s">
        <v>438</v>
      </c>
      <c r="B378" s="29" t="s">
        <v>1363</v>
      </c>
      <c r="C378" s="29"/>
      <c r="D378" s="29"/>
      <c r="E378" s="30" t="s">
        <v>183</v>
      </c>
      <c r="F378" s="30" t="s">
        <v>249</v>
      </c>
      <c r="G378" s="31" t="s">
        <v>439</v>
      </c>
      <c r="H378" s="32">
        <v>2.1999999999999999E-2</v>
      </c>
      <c r="I378" s="33">
        <v>0.54800000000000004</v>
      </c>
      <c r="J378" s="34">
        <v>4.5999999999999996</v>
      </c>
      <c r="K378" s="26">
        <v>9.6999999999999993</v>
      </c>
      <c r="L378" s="26">
        <v>2.61</v>
      </c>
      <c r="M378" s="32">
        <v>527</v>
      </c>
      <c r="N378" s="26">
        <v>15.2</v>
      </c>
      <c r="O378" s="26">
        <v>5.98</v>
      </c>
      <c r="P378" s="26">
        <v>2.0699999999999998</v>
      </c>
      <c r="Q378" s="26">
        <v>6.35</v>
      </c>
      <c r="R378" s="26">
        <v>1.24</v>
      </c>
      <c r="S378" s="26">
        <v>7.2</v>
      </c>
      <c r="T378" s="26">
        <v>44.2</v>
      </c>
      <c r="U378" s="26">
        <v>1.87</v>
      </c>
      <c r="V378" s="26">
        <v>4.4400000000000004</v>
      </c>
      <c r="W378" s="26">
        <v>0.71099999999999997</v>
      </c>
      <c r="X378" s="26">
        <v>3.64</v>
      </c>
      <c r="Y378" s="26">
        <v>0.85</v>
      </c>
      <c r="Z378" s="32">
        <v>159</v>
      </c>
      <c r="AA378" s="13"/>
      <c r="AB378" s="13"/>
      <c r="AC378" s="14">
        <v>40.405405405405411</v>
      </c>
      <c r="AD378" s="14">
        <v>36.767317939609235</v>
      </c>
      <c r="AE378" s="14">
        <v>31.909547738693465</v>
      </c>
      <c r="AF378" s="14">
        <v>34.34903047091413</v>
      </c>
      <c r="AG378" s="15">
        <v>1.0168662590804585</v>
      </c>
      <c r="AH378" s="15">
        <v>1.0239574069147017</v>
      </c>
      <c r="AI378" s="15">
        <v>0.96057396299132669</v>
      </c>
      <c r="AJ378" s="41">
        <f t="shared" si="10"/>
        <v>32.11</v>
      </c>
      <c r="AK378" s="44">
        <f t="shared" si="11"/>
        <v>11.923076923076922</v>
      </c>
      <c r="AL378" s="10"/>
      <c r="AM378" s="10"/>
    </row>
    <row r="379" spans="1:39" s="16" customFormat="1" ht="19" customHeight="1">
      <c r="A379" s="29" t="s">
        <v>440</v>
      </c>
      <c r="B379" s="29" t="s">
        <v>1363</v>
      </c>
      <c r="C379" s="29"/>
      <c r="D379" s="29"/>
      <c r="E379" s="30" t="s">
        <v>183</v>
      </c>
      <c r="F379" s="30" t="s">
        <v>249</v>
      </c>
      <c r="G379" s="31" t="s">
        <v>439</v>
      </c>
      <c r="H379" s="32">
        <v>0.161</v>
      </c>
      <c r="I379" s="33">
        <v>4.16</v>
      </c>
      <c r="J379" s="34">
        <v>2.82</v>
      </c>
      <c r="K379" s="26">
        <v>6.33</v>
      </c>
      <c r="L379" s="26">
        <v>1.6539999999999999</v>
      </c>
      <c r="M379" s="32">
        <v>579.29999999999995</v>
      </c>
      <c r="N379" s="26">
        <v>10.07</v>
      </c>
      <c r="O379" s="26">
        <v>4.34</v>
      </c>
      <c r="P379" s="26">
        <v>2.39</v>
      </c>
      <c r="Q379" s="26">
        <v>7.28</v>
      </c>
      <c r="R379" s="26">
        <v>1.645</v>
      </c>
      <c r="S379" s="26">
        <v>13.43</v>
      </c>
      <c r="T379" s="26">
        <v>115.6</v>
      </c>
      <c r="U379" s="26">
        <v>3.8</v>
      </c>
      <c r="V379" s="26">
        <v>12.72</v>
      </c>
      <c r="W379" s="26">
        <v>2.0499999999999998</v>
      </c>
      <c r="X379" s="26">
        <v>14.01</v>
      </c>
      <c r="Y379" s="26">
        <v>2.59</v>
      </c>
      <c r="Z379" s="32">
        <v>158.5</v>
      </c>
      <c r="AA379" s="13"/>
      <c r="AB379" s="13"/>
      <c r="AC379" s="14">
        <v>29.324324324324326</v>
      </c>
      <c r="AD379" s="14">
        <v>42.451154529307288</v>
      </c>
      <c r="AE379" s="14">
        <v>36.582914572864318</v>
      </c>
      <c r="AF379" s="14">
        <v>45.56786703601108</v>
      </c>
      <c r="AG379" s="15">
        <v>1.2882091630489498</v>
      </c>
      <c r="AH379" s="15">
        <v>1.296093544705043</v>
      </c>
      <c r="AI379" s="15">
        <v>1.2498309164089867</v>
      </c>
      <c r="AJ379" s="41">
        <f t="shared" si="10"/>
        <v>20.874000000000002</v>
      </c>
      <c r="AK379" s="44">
        <f t="shared" si="11"/>
        <v>5.0112456747404845</v>
      </c>
      <c r="AL379" s="10"/>
      <c r="AM379" s="10"/>
    </row>
    <row r="380" spans="1:39" s="16" customFormat="1" ht="19" customHeight="1">
      <c r="A380" s="29" t="s">
        <v>441</v>
      </c>
      <c r="B380" s="29" t="s">
        <v>1363</v>
      </c>
      <c r="C380" s="29"/>
      <c r="D380" s="29"/>
      <c r="E380" s="30" t="s">
        <v>183</v>
      </c>
      <c r="F380" s="30" t="s">
        <v>249</v>
      </c>
      <c r="G380" s="31" t="s">
        <v>439</v>
      </c>
      <c r="H380" s="32">
        <v>4.3400000000000001E-2</v>
      </c>
      <c r="I380" s="33">
        <v>3.53</v>
      </c>
      <c r="J380" s="34">
        <v>1.105</v>
      </c>
      <c r="K380" s="26">
        <v>4.51</v>
      </c>
      <c r="L380" s="26">
        <v>1.04</v>
      </c>
      <c r="M380" s="32">
        <v>488.1</v>
      </c>
      <c r="N380" s="26">
        <v>8.08</v>
      </c>
      <c r="O380" s="26">
        <v>4.68</v>
      </c>
      <c r="P380" s="26">
        <v>2.21</v>
      </c>
      <c r="Q380" s="26">
        <v>10.65</v>
      </c>
      <c r="R380" s="26">
        <v>2.605</v>
      </c>
      <c r="S380" s="26">
        <v>21.74</v>
      </c>
      <c r="T380" s="26">
        <v>177.7</v>
      </c>
      <c r="U380" s="26">
        <v>5.75</v>
      </c>
      <c r="V380" s="26">
        <v>19.66</v>
      </c>
      <c r="W380" s="26">
        <v>3.0030000000000001</v>
      </c>
      <c r="X380" s="26">
        <v>18.14</v>
      </c>
      <c r="Y380" s="26">
        <v>3.17</v>
      </c>
      <c r="Z380" s="32">
        <v>145</v>
      </c>
      <c r="AA380" s="13"/>
      <c r="AB380" s="13"/>
      <c r="AC380" s="14">
        <v>31.621621621621621</v>
      </c>
      <c r="AD380" s="14">
        <v>39.253996447602134</v>
      </c>
      <c r="AE380" s="14">
        <v>53.517587939698494</v>
      </c>
      <c r="AF380" s="14">
        <v>72.1606648199446</v>
      </c>
      <c r="AG380" s="15">
        <v>0.9221132460556869</v>
      </c>
      <c r="AH380" s="15">
        <v>0.95420907876568917</v>
      </c>
      <c r="AI380" s="15">
        <v>0.94288981661079529</v>
      </c>
      <c r="AJ380" s="41">
        <f t="shared" si="10"/>
        <v>14.734999999999999</v>
      </c>
      <c r="AK380" s="44">
        <f t="shared" si="11"/>
        <v>2.7467642093415874</v>
      </c>
      <c r="AL380" s="10"/>
      <c r="AM380" s="10"/>
    </row>
    <row r="381" spans="1:39" s="16" customFormat="1" ht="19" customHeight="1">
      <c r="A381" s="29" t="s">
        <v>442</v>
      </c>
      <c r="B381" s="29" t="s">
        <v>1363</v>
      </c>
      <c r="C381" s="29"/>
      <c r="D381" s="29"/>
      <c r="E381" s="30" t="s">
        <v>183</v>
      </c>
      <c r="F381" s="30" t="s">
        <v>249</v>
      </c>
      <c r="G381" s="31" t="s">
        <v>439</v>
      </c>
      <c r="H381" s="32">
        <v>0.13600000000000001</v>
      </c>
      <c r="I381" s="33">
        <v>6.93</v>
      </c>
      <c r="J381" s="34">
        <v>4.59</v>
      </c>
      <c r="K381" s="26">
        <v>11.71</v>
      </c>
      <c r="L381" s="26">
        <v>2.67</v>
      </c>
      <c r="M381" s="32">
        <v>607.5</v>
      </c>
      <c r="N381" s="26">
        <v>15.84</v>
      </c>
      <c r="O381" s="26">
        <v>8.25</v>
      </c>
      <c r="P381" s="26">
        <v>4.04</v>
      </c>
      <c r="Q381" s="26">
        <v>14.3</v>
      </c>
      <c r="R381" s="26">
        <v>3.45</v>
      </c>
      <c r="S381" s="26">
        <v>28</v>
      </c>
      <c r="T381" s="26">
        <v>221</v>
      </c>
      <c r="U381" s="26">
        <v>6.79</v>
      </c>
      <c r="V381" s="26">
        <v>22.9</v>
      </c>
      <c r="W381" s="26">
        <v>3.4</v>
      </c>
      <c r="X381" s="26">
        <v>21.7</v>
      </c>
      <c r="Y381" s="26">
        <v>3.75</v>
      </c>
      <c r="Z381" s="32">
        <v>148.80000000000001</v>
      </c>
      <c r="AA381" s="13"/>
      <c r="AB381" s="13"/>
      <c r="AC381" s="14">
        <v>55.743243243243249</v>
      </c>
      <c r="AD381" s="14">
        <v>71.758436944937841</v>
      </c>
      <c r="AE381" s="14">
        <v>71.859296482412063</v>
      </c>
      <c r="AF381" s="14">
        <v>95.56786703601108</v>
      </c>
      <c r="AG381" s="15">
        <v>1.1247180048174283</v>
      </c>
      <c r="AH381" s="15">
        <v>1.1337971817819521</v>
      </c>
      <c r="AI381" s="15">
        <v>1.0755753750061903</v>
      </c>
      <c r="AJ381" s="41">
        <f t="shared" si="10"/>
        <v>34.81</v>
      </c>
      <c r="AK381" s="44">
        <f t="shared" si="11"/>
        <v>2.748868778280543</v>
      </c>
      <c r="AL381" s="10"/>
      <c r="AM381" s="10"/>
    </row>
    <row r="382" spans="1:39" s="16" customFormat="1" ht="19" customHeight="1">
      <c r="A382" s="29" t="s">
        <v>443</v>
      </c>
      <c r="B382" s="29" t="s">
        <v>1363</v>
      </c>
      <c r="C382" s="29"/>
      <c r="D382" s="29"/>
      <c r="E382" s="30" t="s">
        <v>183</v>
      </c>
      <c r="F382" s="30" t="s">
        <v>249</v>
      </c>
      <c r="G382" s="31" t="s">
        <v>439</v>
      </c>
      <c r="H382" s="32">
        <v>1.2290000000000001</v>
      </c>
      <c r="I382" s="33">
        <v>19.670000000000002</v>
      </c>
      <c r="J382" s="34">
        <v>7.84</v>
      </c>
      <c r="K382" s="26">
        <v>19.72</v>
      </c>
      <c r="L382" s="26">
        <v>5.4</v>
      </c>
      <c r="M382" s="32">
        <v>636</v>
      </c>
      <c r="N382" s="26">
        <v>35</v>
      </c>
      <c r="O382" s="26">
        <v>20.5</v>
      </c>
      <c r="P382" s="26">
        <v>8.31</v>
      </c>
      <c r="Q382" s="26">
        <v>34</v>
      </c>
      <c r="R382" s="26">
        <v>8.1199999999999992</v>
      </c>
      <c r="S382" s="26">
        <v>68.900000000000006</v>
      </c>
      <c r="T382" s="26">
        <v>530</v>
      </c>
      <c r="U382" s="26">
        <v>18.93</v>
      </c>
      <c r="V382" s="26">
        <v>63.2</v>
      </c>
      <c r="W382" s="26">
        <v>9.5399999999999991</v>
      </c>
      <c r="X382" s="26">
        <v>63.5</v>
      </c>
      <c r="Y382" s="26">
        <v>10.25</v>
      </c>
      <c r="Z382" s="32">
        <v>154.6</v>
      </c>
      <c r="AA382" s="13"/>
      <c r="AB382" s="13"/>
      <c r="AC382" s="14">
        <v>138.51351351351352</v>
      </c>
      <c r="AD382" s="14">
        <v>147.60213143872116</v>
      </c>
      <c r="AE382" s="14">
        <v>170.8542713567839</v>
      </c>
      <c r="AF382" s="14">
        <v>224.93074792243766</v>
      </c>
      <c r="AG382" s="15">
        <v>0.95421785109657364</v>
      </c>
      <c r="AH382" s="15">
        <v>0.95947493926205163</v>
      </c>
      <c r="AI382" s="15">
        <v>0.90659834712580734</v>
      </c>
      <c r="AJ382" s="41">
        <f t="shared" si="10"/>
        <v>67.960000000000008</v>
      </c>
      <c r="AK382" s="44">
        <f t="shared" si="11"/>
        <v>1.2</v>
      </c>
      <c r="AL382" s="10"/>
      <c r="AM382" s="10"/>
    </row>
    <row r="383" spans="1:39" s="16" customFormat="1" ht="19" customHeight="1">
      <c r="A383" s="29" t="s">
        <v>444</v>
      </c>
      <c r="B383" s="29" t="s">
        <v>1363</v>
      </c>
      <c r="C383" s="29"/>
      <c r="D383" s="29"/>
      <c r="E383" s="30" t="s">
        <v>183</v>
      </c>
      <c r="F383" s="30" t="s">
        <v>249</v>
      </c>
      <c r="G383" s="31" t="s">
        <v>439</v>
      </c>
      <c r="H383" s="32">
        <v>3.0599999999999999E-2</v>
      </c>
      <c r="I383" s="33">
        <v>4.24</v>
      </c>
      <c r="J383" s="34">
        <v>0.8</v>
      </c>
      <c r="K383" s="26">
        <v>3.23</v>
      </c>
      <c r="L383" s="26">
        <v>0.70099999999999996</v>
      </c>
      <c r="M383" s="32">
        <v>865</v>
      </c>
      <c r="N383" s="26">
        <v>6.18</v>
      </c>
      <c r="O383" s="26">
        <v>4.72</v>
      </c>
      <c r="P383" s="26">
        <v>2.67</v>
      </c>
      <c r="Q383" s="26">
        <v>11.3</v>
      </c>
      <c r="R383" s="26">
        <v>3.11</v>
      </c>
      <c r="S383" s="26">
        <v>27.7</v>
      </c>
      <c r="T383" s="26">
        <v>228</v>
      </c>
      <c r="U383" s="26">
        <v>7.19</v>
      </c>
      <c r="V383" s="26">
        <v>25.7</v>
      </c>
      <c r="W383" s="26">
        <v>4.0199999999999996</v>
      </c>
      <c r="X383" s="26">
        <v>26.3</v>
      </c>
      <c r="Y383" s="26">
        <v>4.0999999999999996</v>
      </c>
      <c r="Z383" s="32">
        <v>126.5</v>
      </c>
      <c r="AA383" s="13"/>
      <c r="AB383" s="13"/>
      <c r="AC383" s="14">
        <v>31.891891891891891</v>
      </c>
      <c r="AD383" s="14">
        <v>47.424511545293072</v>
      </c>
      <c r="AE383" s="14">
        <v>56.78391959798995</v>
      </c>
      <c r="AF383" s="14">
        <v>86.149584487534625</v>
      </c>
      <c r="AG383" s="15">
        <v>1.0696155072841784</v>
      </c>
      <c r="AH383" s="15">
        <v>1.1144229349997519</v>
      </c>
      <c r="AI383" s="15">
        <v>1.067738613646001</v>
      </c>
      <c r="AJ383" s="41">
        <f t="shared" si="10"/>
        <v>10.911</v>
      </c>
      <c r="AK383" s="44">
        <f t="shared" si="11"/>
        <v>3.7938596491228069</v>
      </c>
      <c r="AL383" s="10"/>
      <c r="AM383" s="10"/>
    </row>
    <row r="384" spans="1:39" s="16" customFormat="1" ht="19" customHeight="1">
      <c r="A384" s="29" t="s">
        <v>445</v>
      </c>
      <c r="B384" s="29" t="s">
        <v>1363</v>
      </c>
      <c r="C384" s="29"/>
      <c r="D384" s="29"/>
      <c r="E384" s="30" t="s">
        <v>183</v>
      </c>
      <c r="F384" s="30" t="s">
        <v>249</v>
      </c>
      <c r="G384" s="31" t="s">
        <v>439</v>
      </c>
      <c r="H384" s="32">
        <v>5.4199999999999998E-2</v>
      </c>
      <c r="I384" s="33">
        <v>4.4400000000000004</v>
      </c>
      <c r="J384" s="34">
        <v>1.046</v>
      </c>
      <c r="K384" s="26">
        <v>4.4000000000000004</v>
      </c>
      <c r="L384" s="26">
        <v>0.88600000000000001</v>
      </c>
      <c r="M384" s="32">
        <v>773.4</v>
      </c>
      <c r="N384" s="26">
        <v>7.22</v>
      </c>
      <c r="O384" s="26">
        <v>5.44</v>
      </c>
      <c r="P384" s="26">
        <v>3.43</v>
      </c>
      <c r="Q384" s="26">
        <v>14.9</v>
      </c>
      <c r="R384" s="26">
        <v>4.1900000000000004</v>
      </c>
      <c r="S384" s="26">
        <v>40.5</v>
      </c>
      <c r="T384" s="26">
        <v>353.9</v>
      </c>
      <c r="U384" s="26">
        <v>11.74</v>
      </c>
      <c r="V384" s="26">
        <v>41.2</v>
      </c>
      <c r="W384" s="26">
        <v>6.01</v>
      </c>
      <c r="X384" s="26">
        <v>39.799999999999997</v>
      </c>
      <c r="Y384" s="26">
        <v>6.23</v>
      </c>
      <c r="Z384" s="32">
        <v>138.6</v>
      </c>
      <c r="AA384" s="13"/>
      <c r="AB384" s="13"/>
      <c r="AC384" s="14">
        <v>36.756756756756758</v>
      </c>
      <c r="AD384" s="14">
        <v>60.923623445825939</v>
      </c>
      <c r="AE384" s="14">
        <v>74.874371859296474</v>
      </c>
      <c r="AF384" s="14">
        <v>116.06648199445985</v>
      </c>
      <c r="AG384" s="15">
        <v>1.0915167516646382</v>
      </c>
      <c r="AH384" s="15">
        <v>1.1613163408802616</v>
      </c>
      <c r="AI384" s="15">
        <v>1.1297750914847777</v>
      </c>
      <c r="AJ384" s="41">
        <f t="shared" si="10"/>
        <v>13.552</v>
      </c>
      <c r="AK384" s="44">
        <f t="shared" si="11"/>
        <v>2.1853630969200339</v>
      </c>
      <c r="AL384" s="10"/>
      <c r="AM384" s="10"/>
    </row>
    <row r="385" spans="1:39" s="16" customFormat="1" ht="19" customHeight="1">
      <c r="A385" s="29" t="s">
        <v>446</v>
      </c>
      <c r="B385" s="29" t="s">
        <v>1363</v>
      </c>
      <c r="C385" s="29"/>
      <c r="D385" s="29"/>
      <c r="E385" s="30" t="s">
        <v>183</v>
      </c>
      <c r="F385" s="30" t="s">
        <v>249</v>
      </c>
      <c r="G385" s="31" t="s">
        <v>439</v>
      </c>
      <c r="H385" s="32">
        <v>10.7</v>
      </c>
      <c r="I385" s="33">
        <v>22.7</v>
      </c>
      <c r="J385" s="34">
        <v>5.82</v>
      </c>
      <c r="K385" s="26">
        <v>14.74</v>
      </c>
      <c r="L385" s="26">
        <v>3.87</v>
      </c>
      <c r="M385" s="32">
        <v>678</v>
      </c>
      <c r="N385" s="26">
        <v>25.1</v>
      </c>
      <c r="O385" s="26">
        <v>13.43</v>
      </c>
      <c r="P385" s="26">
        <v>6.45</v>
      </c>
      <c r="Q385" s="26">
        <v>24.2</v>
      </c>
      <c r="R385" s="26">
        <v>6.06</v>
      </c>
      <c r="S385" s="26">
        <v>52.2</v>
      </c>
      <c r="T385" s="26">
        <v>411</v>
      </c>
      <c r="U385" s="26">
        <v>13.76</v>
      </c>
      <c r="V385" s="26">
        <v>49.3</v>
      </c>
      <c r="W385" s="26">
        <v>7.76</v>
      </c>
      <c r="X385" s="26">
        <v>52</v>
      </c>
      <c r="Y385" s="26">
        <v>8.7100000000000009</v>
      </c>
      <c r="Z385" s="32">
        <v>130.80000000000001</v>
      </c>
      <c r="AA385" s="13"/>
      <c r="AB385" s="13"/>
      <c r="AC385" s="14">
        <v>90.743243243243242</v>
      </c>
      <c r="AD385" s="14">
        <v>114.56483126110126</v>
      </c>
      <c r="AE385" s="14">
        <v>121.60804020100501</v>
      </c>
      <c r="AF385" s="14">
        <v>167.86703601108033</v>
      </c>
      <c r="AG385" s="15">
        <v>1.0790123742405322</v>
      </c>
      <c r="AH385" s="15">
        <v>1.0905938049162329</v>
      </c>
      <c r="AI385" s="15">
        <v>1.0284582059631171</v>
      </c>
      <c r="AJ385" s="41">
        <f t="shared" si="10"/>
        <v>49.53</v>
      </c>
      <c r="AK385" s="44">
        <f t="shared" si="11"/>
        <v>1.6496350364963503</v>
      </c>
      <c r="AL385" s="10"/>
      <c r="AM385" s="10"/>
    </row>
    <row r="386" spans="1:39" s="16" customFormat="1" ht="19" customHeight="1">
      <c r="A386" s="29" t="s">
        <v>447</v>
      </c>
      <c r="B386" s="29" t="s">
        <v>1363</v>
      </c>
      <c r="C386" s="29"/>
      <c r="D386" s="29"/>
      <c r="E386" s="30" t="s">
        <v>183</v>
      </c>
      <c r="F386" s="30" t="s">
        <v>249</v>
      </c>
      <c r="G386" s="31" t="s">
        <v>439</v>
      </c>
      <c r="H386" s="32">
        <v>1.6060000000000001</v>
      </c>
      <c r="I386" s="33">
        <v>15.49</v>
      </c>
      <c r="J386" s="34">
        <v>4.01</v>
      </c>
      <c r="K386" s="26">
        <v>12.25</v>
      </c>
      <c r="L386" s="26">
        <v>2.83</v>
      </c>
      <c r="M386" s="32">
        <v>522.6</v>
      </c>
      <c r="N386" s="26">
        <v>18</v>
      </c>
      <c r="O386" s="26">
        <v>9.9</v>
      </c>
      <c r="P386" s="26">
        <v>4.24</v>
      </c>
      <c r="Q386" s="26">
        <v>17.7</v>
      </c>
      <c r="R386" s="26">
        <v>4.41</v>
      </c>
      <c r="S386" s="26">
        <v>36.6</v>
      </c>
      <c r="T386" s="26">
        <v>292</v>
      </c>
      <c r="U386" s="26">
        <v>9.9700000000000006</v>
      </c>
      <c r="V386" s="26">
        <v>33.9</v>
      </c>
      <c r="W386" s="26">
        <v>5.23</v>
      </c>
      <c r="X386" s="26">
        <v>35.9</v>
      </c>
      <c r="Y386" s="26">
        <v>6.25</v>
      </c>
      <c r="Z386" s="32">
        <v>119.8</v>
      </c>
      <c r="AA386" s="13"/>
      <c r="AB386" s="13"/>
      <c r="AC386" s="14">
        <v>66.891891891891902</v>
      </c>
      <c r="AD386" s="14">
        <v>75.310834813499127</v>
      </c>
      <c r="AE386" s="14">
        <v>88.94472361809045</v>
      </c>
      <c r="AF386" s="14">
        <v>122.1606648199446</v>
      </c>
      <c r="AG386" s="15">
        <v>0.96653581145921352</v>
      </c>
      <c r="AH386" s="15">
        <v>0.97636145780589845</v>
      </c>
      <c r="AI386" s="15">
        <v>0.92108140186063125</v>
      </c>
      <c r="AJ386" s="41">
        <f t="shared" si="10"/>
        <v>37.089999999999996</v>
      </c>
      <c r="AK386" s="44">
        <f t="shared" si="11"/>
        <v>1.7897260273972604</v>
      </c>
      <c r="AL386" s="10"/>
      <c r="AM386" s="10"/>
    </row>
    <row r="387" spans="1:39" s="16" customFormat="1" ht="19" customHeight="1">
      <c r="A387" s="29" t="s">
        <v>448</v>
      </c>
      <c r="B387" s="29" t="s">
        <v>1363</v>
      </c>
      <c r="C387" s="29"/>
      <c r="D387" s="29"/>
      <c r="E387" s="30" t="s">
        <v>183</v>
      </c>
      <c r="F387" s="30" t="s">
        <v>249</v>
      </c>
      <c r="G387" s="31" t="s">
        <v>439</v>
      </c>
      <c r="H387" s="32">
        <v>0.14799999999999999</v>
      </c>
      <c r="I387" s="33">
        <v>10.86</v>
      </c>
      <c r="J387" s="34">
        <v>3.43</v>
      </c>
      <c r="K387" s="26">
        <v>13.51</v>
      </c>
      <c r="L387" s="26">
        <v>2.76</v>
      </c>
      <c r="M387" s="32">
        <v>479.1</v>
      </c>
      <c r="N387" s="26">
        <v>18.739999999999998</v>
      </c>
      <c r="O387" s="26">
        <v>10.24</v>
      </c>
      <c r="P387" s="26">
        <v>5.56</v>
      </c>
      <c r="Q387" s="26">
        <v>16.27</v>
      </c>
      <c r="R387" s="26">
        <v>3.3</v>
      </c>
      <c r="S387" s="26">
        <v>24.72</v>
      </c>
      <c r="T387" s="26">
        <v>199.6</v>
      </c>
      <c r="U387" s="26">
        <v>6.17</v>
      </c>
      <c r="V387" s="26">
        <v>20.5</v>
      </c>
      <c r="W387" s="26">
        <v>2.786</v>
      </c>
      <c r="X387" s="26">
        <v>19.89</v>
      </c>
      <c r="Y387" s="26">
        <v>3.54</v>
      </c>
      <c r="Z387" s="32">
        <v>108.6</v>
      </c>
      <c r="AA387" s="13"/>
      <c r="AB387" s="13"/>
      <c r="AC387" s="14">
        <v>69.189189189189193</v>
      </c>
      <c r="AD387" s="14">
        <v>98.756660746003547</v>
      </c>
      <c r="AE387" s="14">
        <v>81.758793969849236</v>
      </c>
      <c r="AF387" s="14">
        <v>91.41274238227146</v>
      </c>
      <c r="AG387" s="15">
        <v>1.308485992051365</v>
      </c>
      <c r="AH387" s="15">
        <v>1.3130462927572475</v>
      </c>
      <c r="AI387" s="15">
        <v>1.3007844106068736</v>
      </c>
      <c r="AJ387" s="41">
        <f t="shared" si="10"/>
        <v>38.44</v>
      </c>
      <c r="AK387" s="44">
        <f t="shared" si="11"/>
        <v>2.4003006012024048</v>
      </c>
      <c r="AL387" s="10"/>
      <c r="AM387" s="10"/>
    </row>
    <row r="388" spans="1:39" s="16" customFormat="1" ht="19" customHeight="1">
      <c r="A388" s="29" t="s">
        <v>449</v>
      </c>
      <c r="B388" s="29" t="s">
        <v>1363</v>
      </c>
      <c r="C388" s="29"/>
      <c r="D388" s="29"/>
      <c r="E388" s="30" t="s">
        <v>183</v>
      </c>
      <c r="F388" s="30" t="s">
        <v>249</v>
      </c>
      <c r="G388" s="31" t="s">
        <v>439</v>
      </c>
      <c r="H388" s="32">
        <v>6.7000000000000004E-2</v>
      </c>
      <c r="I388" s="33">
        <v>4.46</v>
      </c>
      <c r="J388" s="34">
        <v>2.92</v>
      </c>
      <c r="K388" s="26">
        <v>5.85</v>
      </c>
      <c r="L388" s="26">
        <v>1.62</v>
      </c>
      <c r="M388" s="32">
        <v>823.6</v>
      </c>
      <c r="N388" s="26">
        <v>9.35</v>
      </c>
      <c r="O388" s="26">
        <v>3.93</v>
      </c>
      <c r="P388" s="26">
        <v>2.08</v>
      </c>
      <c r="Q388" s="26">
        <v>6.98</v>
      </c>
      <c r="R388" s="26">
        <v>1.74</v>
      </c>
      <c r="S388" s="26">
        <v>16.5</v>
      </c>
      <c r="T388" s="26">
        <v>166.1</v>
      </c>
      <c r="U388" s="26">
        <v>5.08</v>
      </c>
      <c r="V388" s="26">
        <v>18.8</v>
      </c>
      <c r="W388" s="26">
        <v>3.31</v>
      </c>
      <c r="X388" s="26">
        <v>23.5</v>
      </c>
      <c r="Y388" s="26">
        <v>4.2699999999999996</v>
      </c>
      <c r="Z388" s="32">
        <v>136.4</v>
      </c>
      <c r="AA388" s="13"/>
      <c r="AB388" s="13"/>
      <c r="AC388" s="14">
        <v>26.554054054054056</v>
      </c>
      <c r="AD388" s="14">
        <v>36.944937833037301</v>
      </c>
      <c r="AE388" s="14">
        <v>35.075376884422113</v>
      </c>
      <c r="AF388" s="14">
        <v>48.199445983379498</v>
      </c>
      <c r="AG388" s="15">
        <v>1.1989381459620789</v>
      </c>
      <c r="AH388" s="15">
        <v>1.2105656581968509</v>
      </c>
      <c r="AI388" s="15">
        <v>1.1405658606053362</v>
      </c>
      <c r="AJ388" s="41">
        <f t="shared" si="10"/>
        <v>19.740000000000002</v>
      </c>
      <c r="AK388" s="44">
        <f t="shared" si="11"/>
        <v>4.9584587597832632</v>
      </c>
      <c r="AL388" s="10"/>
      <c r="AM388" s="10"/>
    </row>
    <row r="389" spans="1:39" s="16" customFormat="1" ht="19" customHeight="1">
      <c r="A389" s="29" t="s">
        <v>450</v>
      </c>
      <c r="B389" s="29" t="s">
        <v>1363</v>
      </c>
      <c r="C389" s="29"/>
      <c r="D389" s="29"/>
      <c r="E389" s="30" t="s">
        <v>183</v>
      </c>
      <c r="F389" s="30" t="s">
        <v>249</v>
      </c>
      <c r="G389" s="31" t="s">
        <v>439</v>
      </c>
      <c r="H389" s="32">
        <v>8.4000000000000005E-2</v>
      </c>
      <c r="I389" s="33">
        <v>6.6</v>
      </c>
      <c r="J389" s="34">
        <v>2.85</v>
      </c>
      <c r="K389" s="26">
        <v>10.8</v>
      </c>
      <c r="L389" s="26">
        <v>2.2599999999999998</v>
      </c>
      <c r="M389" s="32">
        <v>361.5</v>
      </c>
      <c r="N389" s="26">
        <v>16.899999999999999</v>
      </c>
      <c r="O389" s="26">
        <v>8.5399999999999991</v>
      </c>
      <c r="P389" s="26">
        <v>3.7</v>
      </c>
      <c r="Q389" s="26">
        <v>15.85</v>
      </c>
      <c r="R389" s="26">
        <v>3.36</v>
      </c>
      <c r="S389" s="26">
        <v>26.22</v>
      </c>
      <c r="T389" s="26">
        <v>197.1</v>
      </c>
      <c r="U389" s="26">
        <v>6.75</v>
      </c>
      <c r="V389" s="26">
        <v>20.27</v>
      </c>
      <c r="W389" s="26">
        <v>2.6</v>
      </c>
      <c r="X389" s="26">
        <v>15.24</v>
      </c>
      <c r="Y389" s="26">
        <v>2.73</v>
      </c>
      <c r="Z389" s="32">
        <v>98.1</v>
      </c>
      <c r="AA389" s="13"/>
      <c r="AB389" s="13"/>
      <c r="AC389" s="14">
        <v>57.702702702702702</v>
      </c>
      <c r="AD389" s="14">
        <v>65.719360568383664</v>
      </c>
      <c r="AE389" s="14">
        <v>79.64824120603015</v>
      </c>
      <c r="AF389" s="14">
        <v>93.074792243767305</v>
      </c>
      <c r="AG389" s="15">
        <v>0.95695535390063213</v>
      </c>
      <c r="AH389" s="15">
        <v>0.96940924352299573</v>
      </c>
      <c r="AI389" s="15">
        <v>0.97114750938574912</v>
      </c>
      <c r="AJ389" s="41">
        <f t="shared" si="10"/>
        <v>32.81</v>
      </c>
      <c r="AK389" s="44">
        <f t="shared" si="11"/>
        <v>1.8340943683409436</v>
      </c>
      <c r="AL389" s="10"/>
      <c r="AM389" s="10"/>
    </row>
    <row r="390" spans="1:39" s="16" customFormat="1" ht="19" customHeight="1">
      <c r="A390" s="29" t="s">
        <v>451</v>
      </c>
      <c r="B390" s="29" t="s">
        <v>1363</v>
      </c>
      <c r="C390" s="29"/>
      <c r="D390" s="29"/>
      <c r="E390" s="30" t="s">
        <v>183</v>
      </c>
      <c r="F390" s="30" t="s">
        <v>249</v>
      </c>
      <c r="G390" s="31" t="s">
        <v>439</v>
      </c>
      <c r="H390" s="32">
        <v>0.46</v>
      </c>
      <c r="I390" s="33">
        <v>6.24</v>
      </c>
      <c r="J390" s="34">
        <v>4.09</v>
      </c>
      <c r="K390" s="26">
        <v>9.11</v>
      </c>
      <c r="L390" s="26">
        <v>2.67</v>
      </c>
      <c r="M390" s="32">
        <v>498.1</v>
      </c>
      <c r="N390" s="26">
        <v>15.4</v>
      </c>
      <c r="O390" s="26">
        <v>6.45</v>
      </c>
      <c r="P390" s="26">
        <v>2.79</v>
      </c>
      <c r="Q390" s="26">
        <v>9.68</v>
      </c>
      <c r="R390" s="26">
        <v>2.097</v>
      </c>
      <c r="S390" s="26">
        <v>16.75</v>
      </c>
      <c r="T390" s="26">
        <v>135.4</v>
      </c>
      <c r="U390" s="26">
        <v>4.4000000000000004</v>
      </c>
      <c r="V390" s="26">
        <v>14.91</v>
      </c>
      <c r="W390" s="26">
        <v>2.27</v>
      </c>
      <c r="X390" s="26">
        <v>15.69</v>
      </c>
      <c r="Y390" s="26">
        <v>2.7869999999999999</v>
      </c>
      <c r="Z390" s="32">
        <v>107.02</v>
      </c>
      <c r="AA390" s="13"/>
      <c r="AB390" s="13"/>
      <c r="AC390" s="14">
        <v>43.581081081081088</v>
      </c>
      <c r="AD390" s="14">
        <v>49.555950266429846</v>
      </c>
      <c r="AE390" s="14">
        <v>48.643216080402006</v>
      </c>
      <c r="AF390" s="14">
        <v>58.088642659279778</v>
      </c>
      <c r="AG390" s="15">
        <v>1.0746831755119426</v>
      </c>
      <c r="AH390" s="15">
        <v>1.0763057696246532</v>
      </c>
      <c r="AI390" s="15">
        <v>1.0332372770948102</v>
      </c>
      <c r="AJ390" s="41">
        <f t="shared" ref="AJ390:AJ453" si="12">J390+K390+L390+N390</f>
        <v>31.27</v>
      </c>
      <c r="AK390" s="44">
        <f t="shared" ref="AK390:AK453" si="13">M390/T390</f>
        <v>3.6787296898079762</v>
      </c>
      <c r="AL390" s="10"/>
      <c r="AM390" s="10"/>
    </row>
    <row r="391" spans="1:39" s="16" customFormat="1" ht="19" customHeight="1">
      <c r="A391" s="29" t="s">
        <v>452</v>
      </c>
      <c r="B391" s="29" t="s">
        <v>1363</v>
      </c>
      <c r="C391" s="29"/>
      <c r="D391" s="29"/>
      <c r="E391" s="30" t="s">
        <v>183</v>
      </c>
      <c r="F391" s="30" t="s">
        <v>249</v>
      </c>
      <c r="G391" s="31" t="s">
        <v>439</v>
      </c>
      <c r="H391" s="32">
        <v>3.73E-2</v>
      </c>
      <c r="I391" s="33">
        <v>5.1100000000000003</v>
      </c>
      <c r="J391" s="34">
        <v>3.88</v>
      </c>
      <c r="K391" s="26">
        <v>11.36</v>
      </c>
      <c r="L391" s="26">
        <v>2.67</v>
      </c>
      <c r="M391" s="32">
        <v>453.5</v>
      </c>
      <c r="N391" s="26">
        <v>18.59</v>
      </c>
      <c r="O391" s="26">
        <v>10.78</v>
      </c>
      <c r="P391" s="26">
        <v>4.76</v>
      </c>
      <c r="Q391" s="26">
        <v>22.45</v>
      </c>
      <c r="R391" s="26">
        <v>5.66</v>
      </c>
      <c r="S391" s="26">
        <v>47.3</v>
      </c>
      <c r="T391" s="26">
        <v>373</v>
      </c>
      <c r="U391" s="26">
        <v>12.59</v>
      </c>
      <c r="V391" s="26">
        <v>41.2</v>
      </c>
      <c r="W391" s="26">
        <v>5.93</v>
      </c>
      <c r="X391" s="26">
        <v>36</v>
      </c>
      <c r="Y391" s="26">
        <v>5.97</v>
      </c>
      <c r="Z391" s="32">
        <v>115.4</v>
      </c>
      <c r="AA391" s="13"/>
      <c r="AB391" s="13"/>
      <c r="AC391" s="14">
        <v>72.837837837837839</v>
      </c>
      <c r="AD391" s="14">
        <v>84.547069271758446</v>
      </c>
      <c r="AE391" s="14">
        <v>112.81407035175879</v>
      </c>
      <c r="AF391" s="14">
        <v>156.78670360110803</v>
      </c>
      <c r="AG391" s="15">
        <v>0.91081282273075193</v>
      </c>
      <c r="AH391" s="15">
        <v>0.93269231995294022</v>
      </c>
      <c r="AI391" s="15">
        <v>0.89899536233407296</v>
      </c>
      <c r="AJ391" s="41">
        <f t="shared" si="12"/>
        <v>36.5</v>
      </c>
      <c r="AK391" s="44">
        <f t="shared" si="13"/>
        <v>1.2158176943699732</v>
      </c>
      <c r="AL391" s="10"/>
      <c r="AM391" s="10"/>
    </row>
    <row r="392" spans="1:39" s="16" customFormat="1" ht="19" customHeight="1">
      <c r="A392" s="29" t="s">
        <v>453</v>
      </c>
      <c r="B392" s="29" t="s">
        <v>1363</v>
      </c>
      <c r="C392" s="29"/>
      <c r="D392" s="29"/>
      <c r="E392" s="30" t="s">
        <v>183</v>
      </c>
      <c r="F392" s="30" t="s">
        <v>249</v>
      </c>
      <c r="G392" s="31" t="s">
        <v>439</v>
      </c>
      <c r="H392" s="32">
        <v>9.2999999999999999E-2</v>
      </c>
      <c r="I392" s="33">
        <v>7.97</v>
      </c>
      <c r="J392" s="34">
        <v>1.1040000000000001</v>
      </c>
      <c r="K392" s="26">
        <v>3.74</v>
      </c>
      <c r="L392" s="26">
        <v>0.79300000000000004</v>
      </c>
      <c r="M392" s="32">
        <v>559.20000000000005</v>
      </c>
      <c r="N392" s="26">
        <v>6.58</v>
      </c>
      <c r="O392" s="26">
        <v>5.32</v>
      </c>
      <c r="P392" s="26">
        <v>3.21</v>
      </c>
      <c r="Q392" s="26">
        <v>14.87</v>
      </c>
      <c r="R392" s="26">
        <v>3.73</v>
      </c>
      <c r="S392" s="26">
        <v>34.299999999999997</v>
      </c>
      <c r="T392" s="26">
        <v>272.5</v>
      </c>
      <c r="U392" s="26">
        <v>9.76</v>
      </c>
      <c r="V392" s="26">
        <v>32.53</v>
      </c>
      <c r="W392" s="26">
        <v>5</v>
      </c>
      <c r="X392" s="26">
        <v>31.65</v>
      </c>
      <c r="Y392" s="26">
        <v>5.51</v>
      </c>
      <c r="Z392" s="32">
        <v>105.3</v>
      </c>
      <c r="AA392" s="13"/>
      <c r="AB392" s="13"/>
      <c r="AC392" s="14">
        <v>35.945945945945951</v>
      </c>
      <c r="AD392" s="14">
        <v>57.015985790408529</v>
      </c>
      <c r="AE392" s="14">
        <v>74.723618090452248</v>
      </c>
      <c r="AF392" s="14">
        <v>103.32409972299169</v>
      </c>
      <c r="AG392" s="15">
        <v>1.0303824052592545</v>
      </c>
      <c r="AH392" s="15">
        <v>1.1001267707801572</v>
      </c>
      <c r="AI392" s="15">
        <v>1.115568261393372</v>
      </c>
      <c r="AJ392" s="41">
        <f t="shared" si="12"/>
        <v>12.217000000000001</v>
      </c>
      <c r="AK392" s="44">
        <f t="shared" si="13"/>
        <v>2.0521100917431196</v>
      </c>
      <c r="AL392" s="10"/>
      <c r="AM392" s="10"/>
    </row>
    <row r="393" spans="1:39" s="16" customFormat="1" ht="19" customHeight="1">
      <c r="A393" s="29" t="s">
        <v>454</v>
      </c>
      <c r="B393" s="29" t="s">
        <v>1363</v>
      </c>
      <c r="C393" s="29"/>
      <c r="D393" s="29"/>
      <c r="E393" s="30" t="s">
        <v>183</v>
      </c>
      <c r="F393" s="30" t="s">
        <v>249</v>
      </c>
      <c r="G393" s="31" t="s">
        <v>439</v>
      </c>
      <c r="H393" s="32">
        <v>4.7199999999999999E-2</v>
      </c>
      <c r="I393" s="33">
        <v>3.44</v>
      </c>
      <c r="J393" s="34">
        <v>0.85899999999999999</v>
      </c>
      <c r="K393" s="26">
        <v>3.18</v>
      </c>
      <c r="L393" s="26">
        <v>0.67400000000000004</v>
      </c>
      <c r="M393" s="32">
        <v>569.70000000000005</v>
      </c>
      <c r="N393" s="26">
        <v>4.5</v>
      </c>
      <c r="O393" s="26">
        <v>3.03</v>
      </c>
      <c r="P393" s="26">
        <v>2.19</v>
      </c>
      <c r="Q393" s="26">
        <v>6.82</v>
      </c>
      <c r="R393" s="26">
        <v>1.5529999999999999</v>
      </c>
      <c r="S393" s="26">
        <v>14.1</v>
      </c>
      <c r="T393" s="26">
        <v>129.30000000000001</v>
      </c>
      <c r="U393" s="26">
        <v>4.1219999999999999</v>
      </c>
      <c r="V393" s="26">
        <v>15.02</v>
      </c>
      <c r="W393" s="26">
        <v>2.4359999999999999</v>
      </c>
      <c r="X393" s="26">
        <v>17.100000000000001</v>
      </c>
      <c r="Y393" s="26">
        <v>3.23</v>
      </c>
      <c r="Z393" s="32">
        <v>116.9</v>
      </c>
      <c r="AA393" s="13"/>
      <c r="AB393" s="13"/>
      <c r="AC393" s="14">
        <v>20.472972972972972</v>
      </c>
      <c r="AD393" s="14">
        <v>38.898756660746002</v>
      </c>
      <c r="AE393" s="14">
        <v>34.2713567839196</v>
      </c>
      <c r="AF393" s="14">
        <v>43.019390581717452</v>
      </c>
      <c r="AG393" s="15">
        <v>1.4211063258418455</v>
      </c>
      <c r="AH393" s="15">
        <v>1.4685191502198349</v>
      </c>
      <c r="AI393" s="15">
        <v>1.4834071231680621</v>
      </c>
      <c r="AJ393" s="41">
        <f t="shared" si="12"/>
        <v>9.213000000000001</v>
      </c>
      <c r="AK393" s="44">
        <f t="shared" si="13"/>
        <v>4.4060324825986079</v>
      </c>
      <c r="AL393" s="10"/>
      <c r="AM393" s="10"/>
    </row>
    <row r="394" spans="1:39" s="16" customFormat="1" ht="19" customHeight="1">
      <c r="A394" s="29" t="s">
        <v>455</v>
      </c>
      <c r="B394" s="29" t="s">
        <v>1363</v>
      </c>
      <c r="C394" s="29"/>
      <c r="D394" s="29"/>
      <c r="E394" s="30" t="s">
        <v>183</v>
      </c>
      <c r="F394" s="30" t="s">
        <v>249</v>
      </c>
      <c r="G394" s="31" t="s">
        <v>439</v>
      </c>
      <c r="H394" s="32">
        <v>0.14399999999999999</v>
      </c>
      <c r="I394" s="33">
        <v>10.86</v>
      </c>
      <c r="J394" s="34">
        <v>2.5</v>
      </c>
      <c r="K394" s="26">
        <v>10.76</v>
      </c>
      <c r="L394" s="26">
        <v>2.2000000000000002</v>
      </c>
      <c r="M394" s="32">
        <v>350.1</v>
      </c>
      <c r="N394" s="26">
        <v>16.600000000000001</v>
      </c>
      <c r="O394" s="26">
        <v>10.35</v>
      </c>
      <c r="P394" s="26">
        <v>5.62</v>
      </c>
      <c r="Q394" s="26">
        <v>20.96</v>
      </c>
      <c r="R394" s="26">
        <v>4.46</v>
      </c>
      <c r="S394" s="26">
        <v>35.200000000000003</v>
      </c>
      <c r="T394" s="26">
        <v>254</v>
      </c>
      <c r="U394" s="26">
        <v>8.8000000000000007</v>
      </c>
      <c r="V394" s="26">
        <v>27.5</v>
      </c>
      <c r="W394" s="26">
        <v>3.77</v>
      </c>
      <c r="X394" s="26">
        <v>22.8</v>
      </c>
      <c r="Y394" s="26">
        <v>3.95</v>
      </c>
      <c r="Z394" s="32">
        <v>78.5</v>
      </c>
      <c r="AA394" s="13"/>
      <c r="AB394" s="13"/>
      <c r="AC394" s="14">
        <v>69.932432432432435</v>
      </c>
      <c r="AD394" s="14">
        <v>99.822380106571941</v>
      </c>
      <c r="AE394" s="14">
        <v>105.32663316582915</v>
      </c>
      <c r="AF394" s="14">
        <v>123.54570637119113</v>
      </c>
      <c r="AG394" s="15">
        <v>1.1391408457624697</v>
      </c>
      <c r="AH394" s="15">
        <v>1.1631065529928235</v>
      </c>
      <c r="AI394" s="15">
        <v>1.1807726334788353</v>
      </c>
      <c r="AJ394" s="41">
        <f t="shared" si="12"/>
        <v>32.06</v>
      </c>
      <c r="AK394" s="44">
        <f t="shared" si="13"/>
        <v>1.3783464566929136</v>
      </c>
      <c r="AL394" s="10"/>
      <c r="AM394" s="10"/>
    </row>
    <row r="395" spans="1:39" s="16" customFormat="1" ht="19" customHeight="1">
      <c r="A395" s="29" t="s">
        <v>456</v>
      </c>
      <c r="B395" s="29" t="s">
        <v>1363</v>
      </c>
      <c r="C395" s="29"/>
      <c r="D395" s="29"/>
      <c r="E395" s="30" t="s">
        <v>183</v>
      </c>
      <c r="F395" s="30" t="s">
        <v>249</v>
      </c>
      <c r="G395" s="31" t="s">
        <v>439</v>
      </c>
      <c r="H395" s="32">
        <v>0.56499999999999995</v>
      </c>
      <c r="I395" s="33">
        <v>12.47</v>
      </c>
      <c r="J395" s="34">
        <v>5.39</v>
      </c>
      <c r="K395" s="26">
        <v>12.61</v>
      </c>
      <c r="L395" s="26">
        <v>3.26</v>
      </c>
      <c r="M395" s="32">
        <v>633.6</v>
      </c>
      <c r="N395" s="26">
        <v>21.8</v>
      </c>
      <c r="O395" s="26">
        <v>11.53</v>
      </c>
      <c r="P395" s="26">
        <v>5.64</v>
      </c>
      <c r="Q395" s="26">
        <v>24.15</v>
      </c>
      <c r="R395" s="26">
        <v>5.7</v>
      </c>
      <c r="S395" s="26">
        <v>48.1</v>
      </c>
      <c r="T395" s="26">
        <v>374.5</v>
      </c>
      <c r="U395" s="26">
        <v>12.51</v>
      </c>
      <c r="V395" s="26">
        <v>42.1</v>
      </c>
      <c r="W395" s="26">
        <v>6.3</v>
      </c>
      <c r="X395" s="26">
        <v>41.8</v>
      </c>
      <c r="Y395" s="26">
        <v>6.51</v>
      </c>
      <c r="Z395" s="32">
        <v>126.8</v>
      </c>
      <c r="AA395" s="13"/>
      <c r="AB395" s="13"/>
      <c r="AC395" s="14">
        <v>77.905405405405403</v>
      </c>
      <c r="AD395" s="14">
        <v>100.17761989342806</v>
      </c>
      <c r="AE395" s="14">
        <v>121.35678391959797</v>
      </c>
      <c r="AF395" s="14">
        <v>157.89473684210526</v>
      </c>
      <c r="AG395" s="15">
        <v>1.005485488569384</v>
      </c>
      <c r="AH395" s="15">
        <v>1.0302790855858779</v>
      </c>
      <c r="AI395" s="15">
        <v>1.0160999503485424</v>
      </c>
      <c r="AJ395" s="41">
        <f t="shared" si="12"/>
        <v>43.06</v>
      </c>
      <c r="AK395" s="44">
        <f t="shared" si="13"/>
        <v>1.6918558077436583</v>
      </c>
      <c r="AL395" s="10"/>
      <c r="AM395" s="10"/>
    </row>
    <row r="396" spans="1:39" s="16" customFormat="1" ht="19" customHeight="1">
      <c r="A396" s="29" t="s">
        <v>457</v>
      </c>
      <c r="B396" s="29" t="s">
        <v>1363</v>
      </c>
      <c r="C396" s="29"/>
      <c r="D396" s="29"/>
      <c r="E396" s="30" t="s">
        <v>183</v>
      </c>
      <c r="F396" s="30" t="s">
        <v>249</v>
      </c>
      <c r="G396" s="31" t="s">
        <v>439</v>
      </c>
      <c r="H396" s="32">
        <v>0.61399999999999999</v>
      </c>
      <c r="I396" s="33">
        <v>21.19</v>
      </c>
      <c r="J396" s="34">
        <v>3.65</v>
      </c>
      <c r="K396" s="26">
        <v>13.93</v>
      </c>
      <c r="L396" s="26">
        <v>3.26</v>
      </c>
      <c r="M396" s="32">
        <v>452.4</v>
      </c>
      <c r="N396" s="26">
        <v>22.8</v>
      </c>
      <c r="O396" s="26">
        <v>16.440000000000001</v>
      </c>
      <c r="P396" s="26">
        <v>7.56</v>
      </c>
      <c r="Q396" s="26">
        <v>39.200000000000003</v>
      </c>
      <c r="R396" s="26">
        <v>9.15</v>
      </c>
      <c r="S396" s="26">
        <v>75.5</v>
      </c>
      <c r="T396" s="26">
        <v>554</v>
      </c>
      <c r="U396" s="26">
        <v>19.940000000000001</v>
      </c>
      <c r="V396" s="26">
        <v>66</v>
      </c>
      <c r="W396" s="26">
        <v>9.57</v>
      </c>
      <c r="X396" s="26">
        <v>58.5</v>
      </c>
      <c r="Y396" s="26">
        <v>8.93</v>
      </c>
      <c r="Z396" s="32">
        <v>122.9</v>
      </c>
      <c r="AA396" s="13"/>
      <c r="AB396" s="13"/>
      <c r="AC396" s="14">
        <v>111.08108108108109</v>
      </c>
      <c r="AD396" s="14">
        <v>134.28063943161635</v>
      </c>
      <c r="AE396" s="14">
        <v>196.98492462311557</v>
      </c>
      <c r="AF396" s="14">
        <v>253.46260387811634</v>
      </c>
      <c r="AG396" s="15">
        <v>0.87176538108883017</v>
      </c>
      <c r="AH396" s="15">
        <v>0.90777215369627029</v>
      </c>
      <c r="AI396" s="15">
        <v>0.91822413748677234</v>
      </c>
      <c r="AJ396" s="41">
        <f t="shared" si="12"/>
        <v>43.64</v>
      </c>
      <c r="AK396" s="44">
        <f t="shared" si="13"/>
        <v>0.8166064981949458</v>
      </c>
      <c r="AL396" s="10"/>
      <c r="AM396" s="10"/>
    </row>
    <row r="397" spans="1:39" s="16" customFormat="1" ht="19" customHeight="1">
      <c r="A397" s="29" t="s">
        <v>458</v>
      </c>
      <c r="B397" s="29" t="s">
        <v>1363</v>
      </c>
      <c r="C397" s="29"/>
      <c r="D397" s="29"/>
      <c r="E397" s="30" t="s">
        <v>183</v>
      </c>
      <c r="F397" s="30" t="s">
        <v>249</v>
      </c>
      <c r="G397" s="31" t="s">
        <v>439</v>
      </c>
      <c r="H397" s="32">
        <v>0.106</v>
      </c>
      <c r="I397" s="33">
        <v>5.24</v>
      </c>
      <c r="J397" s="34">
        <v>5.82</v>
      </c>
      <c r="K397" s="26">
        <v>11.65</v>
      </c>
      <c r="L397" s="26">
        <v>3.07</v>
      </c>
      <c r="M397" s="32">
        <v>610.9</v>
      </c>
      <c r="N397" s="26">
        <v>20.5</v>
      </c>
      <c r="O397" s="26">
        <v>7.55</v>
      </c>
      <c r="P397" s="26">
        <v>2.74</v>
      </c>
      <c r="Q397" s="26">
        <v>12.31</v>
      </c>
      <c r="R397" s="26">
        <v>2.68</v>
      </c>
      <c r="S397" s="26">
        <v>23.04</v>
      </c>
      <c r="T397" s="26">
        <v>202.5</v>
      </c>
      <c r="U397" s="26">
        <v>6.87</v>
      </c>
      <c r="V397" s="26">
        <v>24.61</v>
      </c>
      <c r="W397" s="26">
        <v>3.89</v>
      </c>
      <c r="X397" s="26">
        <v>28.32</v>
      </c>
      <c r="Y397" s="26">
        <v>4.88</v>
      </c>
      <c r="Z397" s="32">
        <v>120.7</v>
      </c>
      <c r="AA397" s="13"/>
      <c r="AB397" s="13"/>
      <c r="AC397" s="14">
        <v>51.013513513513516</v>
      </c>
      <c r="AD397" s="14">
        <v>48.667850799289525</v>
      </c>
      <c r="AE397" s="14">
        <v>61.859296482412063</v>
      </c>
      <c r="AF397" s="14">
        <v>74.23822714681441</v>
      </c>
      <c r="AG397" s="15">
        <v>0.86234852841966658</v>
      </c>
      <c r="AH397" s="15">
        <v>0.86635734476906723</v>
      </c>
      <c r="AI397" s="15">
        <v>0.84186569572050463</v>
      </c>
      <c r="AJ397" s="41">
        <f t="shared" si="12"/>
        <v>41.04</v>
      </c>
      <c r="AK397" s="44">
        <f t="shared" si="13"/>
        <v>3.01679012345679</v>
      </c>
      <c r="AL397" s="10"/>
      <c r="AM397" s="10"/>
    </row>
    <row r="398" spans="1:39" s="16" customFormat="1" ht="19" customHeight="1">
      <c r="A398" s="29" t="s">
        <v>459</v>
      </c>
      <c r="B398" s="29" t="s">
        <v>1363</v>
      </c>
      <c r="C398" s="29"/>
      <c r="D398" s="29"/>
      <c r="E398" s="30" t="s">
        <v>183</v>
      </c>
      <c r="F398" s="30" t="s">
        <v>249</v>
      </c>
      <c r="G398" s="31" t="s">
        <v>439</v>
      </c>
      <c r="H398" s="32">
        <v>1.44</v>
      </c>
      <c r="I398" s="33">
        <v>4.03</v>
      </c>
      <c r="J398" s="34">
        <v>14.32</v>
      </c>
      <c r="K398" s="26">
        <v>25.86</v>
      </c>
      <c r="L398" s="26">
        <v>6.59</v>
      </c>
      <c r="M398" s="32">
        <v>537.4</v>
      </c>
      <c r="N398" s="26">
        <v>36.1</v>
      </c>
      <c r="O398" s="26">
        <v>14.57</v>
      </c>
      <c r="P398" s="26">
        <v>6.55</v>
      </c>
      <c r="Q398" s="26">
        <v>25.53</v>
      </c>
      <c r="R398" s="26">
        <v>5.55</v>
      </c>
      <c r="S398" s="26">
        <v>45.1</v>
      </c>
      <c r="T398" s="26">
        <v>372</v>
      </c>
      <c r="U398" s="26">
        <v>11.67</v>
      </c>
      <c r="V398" s="26">
        <v>38.700000000000003</v>
      </c>
      <c r="W398" s="26">
        <v>5.94</v>
      </c>
      <c r="X398" s="26">
        <v>38.1</v>
      </c>
      <c r="Y398" s="26">
        <v>6.03</v>
      </c>
      <c r="Z398" s="32">
        <v>120.7</v>
      </c>
      <c r="AA398" s="13"/>
      <c r="AB398" s="13"/>
      <c r="AC398" s="14">
        <v>98.445945945945951</v>
      </c>
      <c r="AD398" s="14">
        <v>116.34103019538189</v>
      </c>
      <c r="AE398" s="14">
        <v>128.29145728643215</v>
      </c>
      <c r="AF398" s="14">
        <v>153.73961218836564</v>
      </c>
      <c r="AG398" s="15">
        <v>1.0262182466308531</v>
      </c>
      <c r="AH398" s="15">
        <v>1.0352258733368334</v>
      </c>
      <c r="AI398" s="15">
        <v>1.0186048835927652</v>
      </c>
      <c r="AJ398" s="41">
        <f t="shared" si="12"/>
        <v>82.87</v>
      </c>
      <c r="AK398" s="44">
        <f t="shared" si="13"/>
        <v>1.4446236559139785</v>
      </c>
      <c r="AL398" s="10"/>
      <c r="AM398" s="10"/>
    </row>
    <row r="399" spans="1:39" s="16" customFormat="1" ht="19" customHeight="1">
      <c r="A399" s="29" t="s">
        <v>460</v>
      </c>
      <c r="B399" s="29" t="s">
        <v>1363</v>
      </c>
      <c r="C399" s="29"/>
      <c r="D399" s="29"/>
      <c r="E399" s="30" t="s">
        <v>183</v>
      </c>
      <c r="F399" s="30" t="s">
        <v>249</v>
      </c>
      <c r="G399" s="31" t="s">
        <v>439</v>
      </c>
      <c r="H399" s="32">
        <v>3.5499999999999997E-2</v>
      </c>
      <c r="I399" s="33">
        <v>3.65</v>
      </c>
      <c r="J399" s="34">
        <v>0.86499999999999999</v>
      </c>
      <c r="K399" s="26">
        <v>3.91</v>
      </c>
      <c r="L399" s="26">
        <v>0.83899999999999997</v>
      </c>
      <c r="M399" s="32">
        <v>413.8</v>
      </c>
      <c r="N399" s="26">
        <v>6.59</v>
      </c>
      <c r="O399" s="26">
        <v>3.92</v>
      </c>
      <c r="P399" s="26">
        <v>2.1</v>
      </c>
      <c r="Q399" s="26">
        <v>8.2100000000000009</v>
      </c>
      <c r="R399" s="26">
        <v>2.0659999999999998</v>
      </c>
      <c r="S399" s="26">
        <v>19.22</v>
      </c>
      <c r="T399" s="26">
        <v>173.9</v>
      </c>
      <c r="U399" s="26">
        <v>5.84</v>
      </c>
      <c r="V399" s="26">
        <v>20.059999999999999</v>
      </c>
      <c r="W399" s="26">
        <v>2.92</v>
      </c>
      <c r="X399" s="26">
        <v>17.510000000000002</v>
      </c>
      <c r="Y399" s="26">
        <v>3.07</v>
      </c>
      <c r="Z399" s="32">
        <v>94.74</v>
      </c>
      <c r="AA399" s="13"/>
      <c r="AB399" s="13"/>
      <c r="AC399" s="14">
        <v>26.486486486486488</v>
      </c>
      <c r="AD399" s="14">
        <v>37.300177619893432</v>
      </c>
      <c r="AE399" s="14">
        <v>41.256281407035175</v>
      </c>
      <c r="AF399" s="14">
        <v>57.229916897506918</v>
      </c>
      <c r="AG399" s="15">
        <v>1.1012298073949973</v>
      </c>
      <c r="AH399" s="15">
        <v>1.1283755930272288</v>
      </c>
      <c r="AI399" s="15">
        <v>1.0893153592590963</v>
      </c>
      <c r="AJ399" s="41">
        <f t="shared" si="12"/>
        <v>12.204000000000001</v>
      </c>
      <c r="AK399" s="44">
        <f t="shared" si="13"/>
        <v>2.3795284646348476</v>
      </c>
      <c r="AL399" s="10"/>
      <c r="AM399" s="10"/>
    </row>
    <row r="400" spans="1:39" s="16" customFormat="1" ht="19" customHeight="1">
      <c r="A400" s="29" t="s">
        <v>461</v>
      </c>
      <c r="B400" s="29" t="s">
        <v>1363</v>
      </c>
      <c r="C400" s="29"/>
      <c r="D400" s="29"/>
      <c r="E400" s="30" t="s">
        <v>183</v>
      </c>
      <c r="F400" s="30" t="s">
        <v>249</v>
      </c>
      <c r="G400" s="31" t="s">
        <v>439</v>
      </c>
      <c r="H400" s="32">
        <v>8.1000000000000003E-2</v>
      </c>
      <c r="I400" s="33">
        <v>3.39</v>
      </c>
      <c r="J400" s="34">
        <v>1.129</v>
      </c>
      <c r="K400" s="26">
        <v>4.16</v>
      </c>
      <c r="L400" s="26">
        <v>0.876</v>
      </c>
      <c r="M400" s="32">
        <v>777.3</v>
      </c>
      <c r="N400" s="26">
        <v>7.73</v>
      </c>
      <c r="O400" s="26">
        <v>4.99</v>
      </c>
      <c r="P400" s="26">
        <v>2.71</v>
      </c>
      <c r="Q400" s="26">
        <v>14.11</v>
      </c>
      <c r="R400" s="26">
        <v>3.069</v>
      </c>
      <c r="S400" s="26">
        <v>27.87</v>
      </c>
      <c r="T400" s="26">
        <v>221.5</v>
      </c>
      <c r="U400" s="26">
        <v>7.88</v>
      </c>
      <c r="V400" s="26">
        <v>25.56</v>
      </c>
      <c r="W400" s="26">
        <v>3.65</v>
      </c>
      <c r="X400" s="26">
        <v>23.36</v>
      </c>
      <c r="Y400" s="26">
        <v>3.645</v>
      </c>
      <c r="Z400" s="32">
        <v>119.7</v>
      </c>
      <c r="AA400" s="13"/>
      <c r="AB400" s="13"/>
      <c r="AC400" s="14">
        <v>33.716216216216218</v>
      </c>
      <c r="AD400" s="14">
        <v>48.134991119005335</v>
      </c>
      <c r="AE400" s="14">
        <v>70.904522613065325</v>
      </c>
      <c r="AF400" s="14">
        <v>85.013850415512465</v>
      </c>
      <c r="AG400" s="15">
        <v>0.9201806765588082</v>
      </c>
      <c r="AH400" s="15">
        <v>0.98447459242978341</v>
      </c>
      <c r="AI400" s="15">
        <v>1.0489105345514285</v>
      </c>
      <c r="AJ400" s="41">
        <f t="shared" si="12"/>
        <v>13.895</v>
      </c>
      <c r="AK400" s="44">
        <f t="shared" si="13"/>
        <v>3.5092550790067718</v>
      </c>
      <c r="AL400" s="10"/>
      <c r="AM400" s="10"/>
    </row>
    <row r="401" spans="1:39" s="16" customFormat="1" ht="19" customHeight="1">
      <c r="A401" s="29" t="s">
        <v>462</v>
      </c>
      <c r="B401" s="29" t="s">
        <v>1363</v>
      </c>
      <c r="C401" s="29"/>
      <c r="D401" s="29"/>
      <c r="E401" s="30" t="s">
        <v>183</v>
      </c>
      <c r="F401" s="30" t="s">
        <v>249</v>
      </c>
      <c r="G401" s="31" t="s">
        <v>439</v>
      </c>
      <c r="H401" s="32">
        <v>0.20799999999999999</v>
      </c>
      <c r="I401" s="33">
        <v>4.7119999999999997</v>
      </c>
      <c r="J401" s="34">
        <v>2.2200000000000002</v>
      </c>
      <c r="K401" s="26">
        <v>8.2200000000000006</v>
      </c>
      <c r="L401" s="26">
        <v>1.64</v>
      </c>
      <c r="M401" s="32">
        <v>552.6</v>
      </c>
      <c r="N401" s="26">
        <v>13.7</v>
      </c>
      <c r="O401" s="26">
        <v>8.43</v>
      </c>
      <c r="P401" s="26">
        <v>4.1500000000000004</v>
      </c>
      <c r="Q401" s="26">
        <v>20.92</v>
      </c>
      <c r="R401" s="26">
        <v>4.8499999999999996</v>
      </c>
      <c r="S401" s="26">
        <v>42.1</v>
      </c>
      <c r="T401" s="26">
        <v>334.8</v>
      </c>
      <c r="U401" s="26">
        <v>11.24</v>
      </c>
      <c r="V401" s="26">
        <v>38.200000000000003</v>
      </c>
      <c r="W401" s="26">
        <v>5.58</v>
      </c>
      <c r="X401" s="26">
        <v>37.700000000000003</v>
      </c>
      <c r="Y401" s="26">
        <v>5.57</v>
      </c>
      <c r="Z401" s="32">
        <v>112.2</v>
      </c>
      <c r="AA401" s="13"/>
      <c r="AB401" s="13"/>
      <c r="AC401" s="14">
        <v>56.95945945945946</v>
      </c>
      <c r="AD401" s="14">
        <v>73.712255772646543</v>
      </c>
      <c r="AE401" s="14">
        <v>105.12562814070353</v>
      </c>
      <c r="AF401" s="14">
        <v>134.34903047091413</v>
      </c>
      <c r="AG401" s="15">
        <v>0.90955012412347824</v>
      </c>
      <c r="AH401" s="15">
        <v>0.95258221831650636</v>
      </c>
      <c r="AI401" s="15">
        <v>0.97218955395893314</v>
      </c>
      <c r="AJ401" s="41">
        <f t="shared" si="12"/>
        <v>25.78</v>
      </c>
      <c r="AK401" s="44">
        <f t="shared" si="13"/>
        <v>1.6505376344086022</v>
      </c>
      <c r="AL401" s="10"/>
      <c r="AM401" s="10"/>
    </row>
    <row r="402" spans="1:39" s="16" customFormat="1" ht="19" customHeight="1">
      <c r="A402" s="29" t="s">
        <v>463</v>
      </c>
      <c r="B402" s="29" t="s">
        <v>1364</v>
      </c>
      <c r="C402" s="29"/>
      <c r="D402" s="29"/>
      <c r="E402" s="30" t="s">
        <v>183</v>
      </c>
      <c r="F402" s="30" t="s">
        <v>249</v>
      </c>
      <c r="G402" s="31" t="s">
        <v>439</v>
      </c>
      <c r="H402" s="32">
        <v>3.5000000000000003E-2</v>
      </c>
      <c r="I402" s="33">
        <v>0.33400000000000002</v>
      </c>
      <c r="J402" s="34">
        <v>5.09</v>
      </c>
      <c r="K402" s="26">
        <v>13.55</v>
      </c>
      <c r="L402" s="26">
        <v>2.92</v>
      </c>
      <c r="M402" s="32">
        <v>507.4</v>
      </c>
      <c r="N402" s="26">
        <v>17.899999999999999</v>
      </c>
      <c r="O402" s="26">
        <v>6.72</v>
      </c>
      <c r="P402" s="26">
        <v>1.71</v>
      </c>
      <c r="Q402" s="26">
        <v>8.0299999999999994</v>
      </c>
      <c r="R402" s="26">
        <v>1.242</v>
      </c>
      <c r="S402" s="26">
        <v>8.2200000000000006</v>
      </c>
      <c r="T402" s="26">
        <v>46.6</v>
      </c>
      <c r="U402" s="26">
        <v>1.7470000000000001</v>
      </c>
      <c r="V402" s="26">
        <v>4.8</v>
      </c>
      <c r="W402" s="26">
        <v>0.61799999999999999</v>
      </c>
      <c r="X402" s="26">
        <v>4.1500000000000004</v>
      </c>
      <c r="Y402" s="26">
        <v>0.67600000000000005</v>
      </c>
      <c r="Z402" s="32">
        <v>396.8</v>
      </c>
      <c r="AA402" s="13"/>
      <c r="AB402" s="13"/>
      <c r="AC402" s="14">
        <v>45.405405405405403</v>
      </c>
      <c r="AD402" s="14">
        <v>30.373001776198937</v>
      </c>
      <c r="AE402" s="14">
        <v>40.351758793969843</v>
      </c>
      <c r="AF402" s="14">
        <v>34.40443213296399</v>
      </c>
      <c r="AG402" s="15">
        <v>0.70834902389228516</v>
      </c>
      <c r="AH402" s="15">
        <v>0.70958218312786137</v>
      </c>
      <c r="AI402" s="15">
        <v>0.73374397129724545</v>
      </c>
      <c r="AJ402" s="41">
        <f t="shared" si="12"/>
        <v>39.46</v>
      </c>
      <c r="AK402" s="44">
        <f t="shared" si="13"/>
        <v>10.888412017167381</v>
      </c>
      <c r="AL402" s="10"/>
      <c r="AM402" s="10"/>
    </row>
    <row r="403" spans="1:39" s="16" customFormat="1" ht="19" customHeight="1">
      <c r="A403" s="29" t="s">
        <v>464</v>
      </c>
      <c r="B403" s="29" t="s">
        <v>1364</v>
      </c>
      <c r="C403" s="29"/>
      <c r="D403" s="29"/>
      <c r="E403" s="30" t="s">
        <v>183</v>
      </c>
      <c r="F403" s="30" t="s">
        <v>249</v>
      </c>
      <c r="G403" s="31" t="s">
        <v>439</v>
      </c>
      <c r="H403" s="32">
        <v>4.8999999999999998E-3</v>
      </c>
      <c r="I403" s="33">
        <v>7.4899999999999994E-2</v>
      </c>
      <c r="J403" s="34">
        <v>4.7</v>
      </c>
      <c r="K403" s="26">
        <v>17.22</v>
      </c>
      <c r="L403" s="26">
        <v>3.09</v>
      </c>
      <c r="M403" s="32">
        <v>462</v>
      </c>
      <c r="N403" s="26">
        <v>20.65</v>
      </c>
      <c r="O403" s="26">
        <v>7.15</v>
      </c>
      <c r="P403" s="26">
        <v>1.867</v>
      </c>
      <c r="Q403" s="26">
        <v>8.18</v>
      </c>
      <c r="R403" s="26">
        <v>0.99299999999999999</v>
      </c>
      <c r="S403" s="26">
        <v>4.96</v>
      </c>
      <c r="T403" s="26">
        <v>19.07</v>
      </c>
      <c r="U403" s="26">
        <v>0.67100000000000004</v>
      </c>
      <c r="V403" s="26">
        <v>1.29</v>
      </c>
      <c r="W403" s="26">
        <v>0.151</v>
      </c>
      <c r="X403" s="26">
        <v>0.80800000000000005</v>
      </c>
      <c r="Y403" s="26">
        <v>0.125</v>
      </c>
      <c r="Z403" s="32">
        <v>203.2</v>
      </c>
      <c r="AA403" s="13"/>
      <c r="AB403" s="13"/>
      <c r="AC403" s="14">
        <v>48.310810810810814</v>
      </c>
      <c r="AD403" s="14">
        <v>33.161634103019537</v>
      </c>
      <c r="AE403" s="14">
        <v>41.105527638190949</v>
      </c>
      <c r="AF403" s="14">
        <v>27.506925207756233</v>
      </c>
      <c r="AG403" s="15">
        <v>0.7417354518924556</v>
      </c>
      <c r="AH403" s="15">
        <v>0.74415541487549208</v>
      </c>
      <c r="AI403" s="15">
        <v>0.82818181495757004</v>
      </c>
      <c r="AJ403" s="41">
        <f t="shared" si="12"/>
        <v>45.66</v>
      </c>
      <c r="AK403" s="44">
        <f t="shared" si="13"/>
        <v>24.22653382275826</v>
      </c>
      <c r="AL403" s="10"/>
      <c r="AM403" s="10"/>
    </row>
    <row r="404" spans="1:39" s="16" customFormat="1" ht="19" customHeight="1">
      <c r="A404" s="29" t="s">
        <v>465</v>
      </c>
      <c r="B404" s="29" t="s">
        <v>1364</v>
      </c>
      <c r="C404" s="29"/>
      <c r="D404" s="29"/>
      <c r="E404" s="30" t="s">
        <v>183</v>
      </c>
      <c r="F404" s="30" t="s">
        <v>249</v>
      </c>
      <c r="G404" s="31" t="s">
        <v>439</v>
      </c>
      <c r="H404" s="32">
        <v>1.17E-2</v>
      </c>
      <c r="I404" s="33">
        <v>0.42499999999999999</v>
      </c>
      <c r="J404" s="34">
        <v>6.25</v>
      </c>
      <c r="K404" s="26">
        <v>14.29</v>
      </c>
      <c r="L404" s="26">
        <v>3.27</v>
      </c>
      <c r="M404" s="32">
        <v>510.4</v>
      </c>
      <c r="N404" s="26">
        <v>21.6</v>
      </c>
      <c r="O404" s="26">
        <v>6.85</v>
      </c>
      <c r="P404" s="26">
        <v>1.79</v>
      </c>
      <c r="Q404" s="26">
        <v>8.34</v>
      </c>
      <c r="R404" s="26">
        <v>1.29</v>
      </c>
      <c r="S404" s="26">
        <v>7.85</v>
      </c>
      <c r="T404" s="26">
        <v>48.8</v>
      </c>
      <c r="U404" s="26">
        <v>1.78</v>
      </c>
      <c r="V404" s="26">
        <v>4.71</v>
      </c>
      <c r="W404" s="26">
        <v>0.53800000000000003</v>
      </c>
      <c r="X404" s="26">
        <v>3.5</v>
      </c>
      <c r="Y404" s="26">
        <v>0.753</v>
      </c>
      <c r="Z404" s="32">
        <v>488.4</v>
      </c>
      <c r="AA404" s="13"/>
      <c r="AB404" s="13"/>
      <c r="AC404" s="14">
        <v>46.283783783783782</v>
      </c>
      <c r="AD404" s="14">
        <v>31.793960923623448</v>
      </c>
      <c r="AE404" s="14">
        <v>41.909547738693462</v>
      </c>
      <c r="AF404" s="14">
        <v>35.734072022160667</v>
      </c>
      <c r="AG404" s="15">
        <v>0.72100600747847543</v>
      </c>
      <c r="AH404" s="15">
        <v>0.72189447998817369</v>
      </c>
      <c r="AI404" s="15">
        <v>0.74879780518233485</v>
      </c>
      <c r="AJ404" s="41">
        <f t="shared" si="12"/>
        <v>45.41</v>
      </c>
      <c r="AK404" s="44">
        <f t="shared" si="13"/>
        <v>10.459016393442623</v>
      </c>
      <c r="AL404" s="10"/>
      <c r="AM404" s="10"/>
    </row>
    <row r="405" spans="1:39" s="16" customFormat="1" ht="19" customHeight="1">
      <c r="A405" s="29" t="s">
        <v>466</v>
      </c>
      <c r="B405" s="29" t="s">
        <v>1364</v>
      </c>
      <c r="C405" s="29"/>
      <c r="D405" s="29"/>
      <c r="E405" s="30" t="s">
        <v>183</v>
      </c>
      <c r="F405" s="30" t="s">
        <v>249</v>
      </c>
      <c r="G405" s="31" t="s">
        <v>439</v>
      </c>
      <c r="H405" s="32">
        <v>2.8799999999999999E-2</v>
      </c>
      <c r="I405" s="33">
        <v>0.38200000000000001</v>
      </c>
      <c r="J405" s="34">
        <v>7.8</v>
      </c>
      <c r="K405" s="26">
        <v>14.61</v>
      </c>
      <c r="L405" s="26">
        <v>3.62</v>
      </c>
      <c r="M405" s="32">
        <v>514.6</v>
      </c>
      <c r="N405" s="26">
        <v>19.739999999999998</v>
      </c>
      <c r="O405" s="26">
        <v>6.85</v>
      </c>
      <c r="P405" s="26">
        <v>1.92</v>
      </c>
      <c r="Q405" s="26">
        <v>8.4</v>
      </c>
      <c r="R405" s="26">
        <v>1.264</v>
      </c>
      <c r="S405" s="26">
        <v>8.08</v>
      </c>
      <c r="T405" s="26">
        <v>48.3</v>
      </c>
      <c r="U405" s="26">
        <v>1.673</v>
      </c>
      <c r="V405" s="26">
        <v>5.0999999999999996</v>
      </c>
      <c r="W405" s="26">
        <v>0.69399999999999995</v>
      </c>
      <c r="X405" s="26">
        <v>4.07</v>
      </c>
      <c r="Y405" s="26">
        <v>0.73399999999999999</v>
      </c>
      <c r="Z405" s="32">
        <v>456.7</v>
      </c>
      <c r="AA405" s="13"/>
      <c r="AB405" s="13"/>
      <c r="AC405" s="14">
        <v>46.283783783783782</v>
      </c>
      <c r="AD405" s="14">
        <v>34.103019538188278</v>
      </c>
      <c r="AE405" s="14">
        <v>42.211055276381906</v>
      </c>
      <c r="AF405" s="14">
        <v>35.013850415512465</v>
      </c>
      <c r="AG405" s="15">
        <v>0.77073465301185273</v>
      </c>
      <c r="AH405" s="15">
        <v>0.77155217696347078</v>
      </c>
      <c r="AI405" s="15">
        <v>0.80864946943085236</v>
      </c>
      <c r="AJ405" s="41">
        <f t="shared" si="12"/>
        <v>45.769999999999996</v>
      </c>
      <c r="AK405" s="44">
        <f t="shared" si="13"/>
        <v>10.654244306418221</v>
      </c>
      <c r="AL405" s="10"/>
      <c r="AM405" s="10"/>
    </row>
    <row r="406" spans="1:39" s="16" customFormat="1" ht="19" customHeight="1">
      <c r="A406" s="29" t="s">
        <v>467</v>
      </c>
      <c r="B406" s="29" t="s">
        <v>1364</v>
      </c>
      <c r="C406" s="29"/>
      <c r="D406" s="29"/>
      <c r="E406" s="30" t="s">
        <v>183</v>
      </c>
      <c r="F406" s="30" t="s">
        <v>249</v>
      </c>
      <c r="G406" s="31" t="s">
        <v>439</v>
      </c>
      <c r="H406" s="32">
        <v>4.8000000000000001E-2</v>
      </c>
      <c r="I406" s="33">
        <v>0.44400000000000001</v>
      </c>
      <c r="J406" s="34">
        <v>10.31</v>
      </c>
      <c r="K406" s="26">
        <v>15.68</v>
      </c>
      <c r="L406" s="26">
        <v>4.1500000000000004</v>
      </c>
      <c r="M406" s="32">
        <v>498.3</v>
      </c>
      <c r="N406" s="26">
        <v>21.86</v>
      </c>
      <c r="O406" s="26">
        <v>7.32</v>
      </c>
      <c r="P406" s="26">
        <v>1.88</v>
      </c>
      <c r="Q406" s="26">
        <v>9.4</v>
      </c>
      <c r="R406" s="26">
        <v>1.3180000000000001</v>
      </c>
      <c r="S406" s="26">
        <v>8.6</v>
      </c>
      <c r="T406" s="26">
        <v>51.9</v>
      </c>
      <c r="U406" s="26">
        <v>1.841</v>
      </c>
      <c r="V406" s="26">
        <v>5.12</v>
      </c>
      <c r="W406" s="26">
        <v>0.61899999999999999</v>
      </c>
      <c r="X406" s="26">
        <v>4.26</v>
      </c>
      <c r="Y406" s="26">
        <v>0.82</v>
      </c>
      <c r="Z406" s="32">
        <v>475.4</v>
      </c>
      <c r="AA406" s="13"/>
      <c r="AB406" s="13"/>
      <c r="AC406" s="14">
        <v>49.459459459459467</v>
      </c>
      <c r="AD406" s="14">
        <v>33.392539964476022</v>
      </c>
      <c r="AE406" s="14">
        <v>47.236180904522612</v>
      </c>
      <c r="AF406" s="14">
        <v>36.50969529085873</v>
      </c>
      <c r="AG406" s="15">
        <v>0.6906731231890022</v>
      </c>
      <c r="AH406" s="15">
        <v>0.6908557601899562</v>
      </c>
      <c r="AI406" s="15">
        <v>0.74704565022042502</v>
      </c>
      <c r="AJ406" s="41">
        <f t="shared" si="12"/>
        <v>52</v>
      </c>
      <c r="AK406" s="44">
        <f t="shared" si="13"/>
        <v>9.601156069364162</v>
      </c>
      <c r="AL406" s="10"/>
      <c r="AM406" s="10"/>
    </row>
    <row r="407" spans="1:39" s="16" customFormat="1" ht="19" customHeight="1">
      <c r="A407" s="29" t="s">
        <v>468</v>
      </c>
      <c r="B407" s="29" t="s">
        <v>1364</v>
      </c>
      <c r="C407" s="29"/>
      <c r="D407" s="29"/>
      <c r="E407" s="30" t="s">
        <v>183</v>
      </c>
      <c r="F407" s="30" t="s">
        <v>249</v>
      </c>
      <c r="G407" s="31" t="s">
        <v>439</v>
      </c>
      <c r="H407" s="32">
        <v>2.5000000000000001E-2</v>
      </c>
      <c r="I407" s="33">
        <v>0.40200000000000002</v>
      </c>
      <c r="J407" s="34">
        <v>9.02</v>
      </c>
      <c r="K407" s="26">
        <v>19.690000000000001</v>
      </c>
      <c r="L407" s="26">
        <v>4.43</v>
      </c>
      <c r="M407" s="32">
        <v>618</v>
      </c>
      <c r="N407" s="26">
        <v>25.66</v>
      </c>
      <c r="O407" s="26">
        <v>8.0299999999999994</v>
      </c>
      <c r="P407" s="26">
        <v>2.12</v>
      </c>
      <c r="Q407" s="26">
        <v>9.91</v>
      </c>
      <c r="R407" s="26">
        <v>1.466</v>
      </c>
      <c r="S407" s="26">
        <v>9.35</v>
      </c>
      <c r="T407" s="26">
        <v>55.1</v>
      </c>
      <c r="U407" s="26">
        <v>1.958</v>
      </c>
      <c r="V407" s="26">
        <v>5.47</v>
      </c>
      <c r="W407" s="26">
        <v>0.67900000000000005</v>
      </c>
      <c r="X407" s="26">
        <v>4.53</v>
      </c>
      <c r="Y407" s="26">
        <v>0.77200000000000002</v>
      </c>
      <c r="Z407" s="32">
        <v>540.29999999999995</v>
      </c>
      <c r="AA407" s="13"/>
      <c r="AB407" s="13"/>
      <c r="AC407" s="14">
        <v>54.256756756756758</v>
      </c>
      <c r="AD407" s="14">
        <v>37.655417406749564</v>
      </c>
      <c r="AE407" s="14">
        <v>49.798994974874368</v>
      </c>
      <c r="AF407" s="14">
        <v>40.609418282548475</v>
      </c>
      <c r="AG407" s="15">
        <v>0.72375465613599477</v>
      </c>
      <c r="AH407" s="15">
        <v>0.72441971670150873</v>
      </c>
      <c r="AI407" s="15">
        <v>0.76439174837642554</v>
      </c>
      <c r="AJ407" s="41">
        <f t="shared" si="12"/>
        <v>58.8</v>
      </c>
      <c r="AK407" s="44">
        <f t="shared" si="13"/>
        <v>11.215970961887477</v>
      </c>
      <c r="AL407" s="10"/>
      <c r="AM407" s="10"/>
    </row>
    <row r="408" spans="1:39" s="16" customFormat="1" ht="19" customHeight="1">
      <c r="A408" s="29" t="s">
        <v>469</v>
      </c>
      <c r="B408" s="29" t="s">
        <v>1364</v>
      </c>
      <c r="C408" s="29"/>
      <c r="D408" s="29"/>
      <c r="E408" s="30" t="s">
        <v>183</v>
      </c>
      <c r="F408" s="30" t="s">
        <v>249</v>
      </c>
      <c r="G408" s="31" t="s">
        <v>439</v>
      </c>
      <c r="H408" s="32">
        <v>7.88</v>
      </c>
      <c r="I408" s="33">
        <v>1.4059999999999999</v>
      </c>
      <c r="J408" s="34">
        <v>95.5</v>
      </c>
      <c r="K408" s="26">
        <v>221.7</v>
      </c>
      <c r="L408" s="26">
        <v>29.6</v>
      </c>
      <c r="M408" s="32">
        <v>631.29999999999995</v>
      </c>
      <c r="N408" s="26">
        <v>138.1</v>
      </c>
      <c r="O408" s="26">
        <v>28.02</v>
      </c>
      <c r="P408" s="26">
        <v>5.93</v>
      </c>
      <c r="Q408" s="26">
        <v>21.26</v>
      </c>
      <c r="R408" s="26">
        <v>2.4500000000000002</v>
      </c>
      <c r="S408" s="26">
        <v>12.8</v>
      </c>
      <c r="T408" s="26">
        <v>64.099999999999994</v>
      </c>
      <c r="U408" s="26">
        <v>2.3239999999999998</v>
      </c>
      <c r="V408" s="26">
        <v>5.82</v>
      </c>
      <c r="W408" s="26">
        <v>0.77500000000000002</v>
      </c>
      <c r="X408" s="26">
        <v>4.75</v>
      </c>
      <c r="Y408" s="26">
        <v>0.85699999999999998</v>
      </c>
      <c r="Z408" s="32">
        <v>600</v>
      </c>
      <c r="AA408" s="13"/>
      <c r="AB408" s="13"/>
      <c r="AC408" s="14">
        <v>189.32432432432432</v>
      </c>
      <c r="AD408" s="14">
        <v>105.32859680284191</v>
      </c>
      <c r="AE408" s="14">
        <v>106.83417085427136</v>
      </c>
      <c r="AF408" s="14">
        <v>67.86703601108033</v>
      </c>
      <c r="AG408" s="15">
        <v>0.71129883840964592</v>
      </c>
      <c r="AH408" s="15">
        <v>0.74060731768226562</v>
      </c>
      <c r="AI408" s="15">
        <v>0.78316943095677927</v>
      </c>
      <c r="AJ408" s="41">
        <f t="shared" si="12"/>
        <v>484.9</v>
      </c>
      <c r="AK408" s="44">
        <f t="shared" si="13"/>
        <v>9.848673946957879</v>
      </c>
      <c r="AL408" s="10"/>
      <c r="AM408" s="10"/>
    </row>
    <row r="409" spans="1:39" s="16" customFormat="1" ht="19" customHeight="1">
      <c r="A409" s="29" t="s">
        <v>470</v>
      </c>
      <c r="B409" s="29" t="s">
        <v>1364</v>
      </c>
      <c r="C409" s="29"/>
      <c r="D409" s="29"/>
      <c r="E409" s="30" t="s">
        <v>183</v>
      </c>
      <c r="F409" s="30" t="s">
        <v>249</v>
      </c>
      <c r="G409" s="31" t="s">
        <v>439</v>
      </c>
      <c r="H409" s="32">
        <v>5.3999999999999999E-2</v>
      </c>
      <c r="I409" s="33">
        <v>0.36199999999999999</v>
      </c>
      <c r="J409" s="34">
        <v>4.16</v>
      </c>
      <c r="K409" s="26">
        <v>15.88</v>
      </c>
      <c r="L409" s="26">
        <v>3.23</v>
      </c>
      <c r="M409" s="32">
        <v>580.6</v>
      </c>
      <c r="N409" s="26">
        <v>21.79</v>
      </c>
      <c r="O409" s="26">
        <v>8.09</v>
      </c>
      <c r="P409" s="26">
        <v>2.177</v>
      </c>
      <c r="Q409" s="26">
        <v>10.43</v>
      </c>
      <c r="R409" s="26">
        <v>1.4930000000000001</v>
      </c>
      <c r="S409" s="26">
        <v>9.27</v>
      </c>
      <c r="T409" s="26">
        <v>55.1</v>
      </c>
      <c r="U409" s="26">
        <v>1.992</v>
      </c>
      <c r="V409" s="26">
        <v>5.77</v>
      </c>
      <c r="W409" s="26">
        <v>0.74099999999999999</v>
      </c>
      <c r="X409" s="26">
        <v>4.38</v>
      </c>
      <c r="Y409" s="26">
        <v>0.84199999999999997</v>
      </c>
      <c r="Z409" s="32">
        <v>645.29999999999995</v>
      </c>
      <c r="AA409" s="13"/>
      <c r="AB409" s="13"/>
      <c r="AC409" s="14">
        <v>54.662162162162161</v>
      </c>
      <c r="AD409" s="14">
        <v>38.667850799289525</v>
      </c>
      <c r="AE409" s="14">
        <v>52.41206030150753</v>
      </c>
      <c r="AF409" s="14">
        <v>41.357340720221607</v>
      </c>
      <c r="AG409" s="15">
        <v>0.72226255600239431</v>
      </c>
      <c r="AH409" s="15">
        <v>0.72242208640927863</v>
      </c>
      <c r="AI409" s="15">
        <v>0.77632092968554567</v>
      </c>
      <c r="AJ409" s="41">
        <f t="shared" si="12"/>
        <v>45.06</v>
      </c>
      <c r="AK409" s="44">
        <f t="shared" si="13"/>
        <v>10.537205081669692</v>
      </c>
      <c r="AL409" s="10"/>
      <c r="AM409" s="10"/>
    </row>
    <row r="410" spans="1:39" s="16" customFormat="1" ht="19" customHeight="1">
      <c r="A410" s="29" t="s">
        <v>471</v>
      </c>
      <c r="B410" s="29" t="s">
        <v>1364</v>
      </c>
      <c r="C410" s="29"/>
      <c r="D410" s="29"/>
      <c r="E410" s="30" t="s">
        <v>183</v>
      </c>
      <c r="F410" s="30" t="s">
        <v>249</v>
      </c>
      <c r="G410" s="31" t="s">
        <v>439</v>
      </c>
      <c r="H410" s="32">
        <v>5.7000000000000002E-2</v>
      </c>
      <c r="I410" s="33">
        <v>0.43</v>
      </c>
      <c r="J410" s="34">
        <v>12.45</v>
      </c>
      <c r="K410" s="26">
        <v>20.420000000000002</v>
      </c>
      <c r="L410" s="26">
        <v>4.9400000000000004</v>
      </c>
      <c r="M410" s="32">
        <v>517.1</v>
      </c>
      <c r="N410" s="26">
        <v>28.4</v>
      </c>
      <c r="O410" s="26">
        <v>8.5500000000000007</v>
      </c>
      <c r="P410" s="26">
        <v>2.13</v>
      </c>
      <c r="Q410" s="26">
        <v>10.029999999999999</v>
      </c>
      <c r="R410" s="26">
        <v>1.3660000000000001</v>
      </c>
      <c r="S410" s="26">
        <v>8.69</v>
      </c>
      <c r="T410" s="26">
        <v>53.15</v>
      </c>
      <c r="U410" s="26">
        <v>1.845</v>
      </c>
      <c r="V410" s="26">
        <v>5.21</v>
      </c>
      <c r="W410" s="26">
        <v>0.69299999999999995</v>
      </c>
      <c r="X410" s="26">
        <v>4.3899999999999997</v>
      </c>
      <c r="Y410" s="26">
        <v>0.78200000000000003</v>
      </c>
      <c r="Z410" s="32">
        <v>666.3</v>
      </c>
      <c r="AA410" s="13"/>
      <c r="AB410" s="13"/>
      <c r="AC410" s="14">
        <v>57.770270270270281</v>
      </c>
      <c r="AD410" s="14">
        <v>37.833037300177622</v>
      </c>
      <c r="AE410" s="14">
        <v>50.402010050251249</v>
      </c>
      <c r="AF410" s="14">
        <v>37.839335180055407</v>
      </c>
      <c r="AG410" s="15">
        <v>0.69949597416409937</v>
      </c>
      <c r="AH410" s="15">
        <v>0.70112439879424493</v>
      </c>
      <c r="AI410" s="15">
        <v>0.75408524543466193</v>
      </c>
      <c r="AJ410" s="41">
        <f t="shared" si="12"/>
        <v>66.210000000000008</v>
      </c>
      <c r="AK410" s="44">
        <f t="shared" si="13"/>
        <v>9.7290686735653811</v>
      </c>
      <c r="AL410" s="10"/>
      <c r="AM410" s="10"/>
    </row>
    <row r="411" spans="1:39" s="16" customFormat="1" ht="19" customHeight="1">
      <c r="A411" s="29" t="s">
        <v>472</v>
      </c>
      <c r="B411" s="29" t="s">
        <v>1364</v>
      </c>
      <c r="C411" s="29"/>
      <c r="D411" s="29"/>
      <c r="E411" s="30" t="s">
        <v>183</v>
      </c>
      <c r="F411" s="30" t="s">
        <v>249</v>
      </c>
      <c r="G411" s="31" t="s">
        <v>439</v>
      </c>
      <c r="H411" s="32">
        <v>0.01</v>
      </c>
      <c r="I411" s="33">
        <v>0.16300000000000001</v>
      </c>
      <c r="J411" s="34">
        <v>3.89</v>
      </c>
      <c r="K411" s="26">
        <v>16.600000000000001</v>
      </c>
      <c r="L411" s="26">
        <v>3.17</v>
      </c>
      <c r="M411" s="32">
        <v>734.6</v>
      </c>
      <c r="N411" s="26">
        <v>23.31</v>
      </c>
      <c r="O411" s="26">
        <v>7.96</v>
      </c>
      <c r="P411" s="26">
        <v>2.27</v>
      </c>
      <c r="Q411" s="26">
        <v>10.23</v>
      </c>
      <c r="R411" s="26">
        <v>1.44</v>
      </c>
      <c r="S411" s="26">
        <v>8.77</v>
      </c>
      <c r="T411" s="26">
        <v>52.9</v>
      </c>
      <c r="U411" s="26">
        <v>1.91</v>
      </c>
      <c r="V411" s="26">
        <v>5</v>
      </c>
      <c r="W411" s="26">
        <v>0.61899999999999999</v>
      </c>
      <c r="X411" s="26">
        <v>4.1100000000000003</v>
      </c>
      <c r="Y411" s="26">
        <v>0.72299999999999998</v>
      </c>
      <c r="Z411" s="32">
        <v>775</v>
      </c>
      <c r="AA411" s="13"/>
      <c r="AB411" s="13"/>
      <c r="AC411" s="14">
        <v>53.78378378378379</v>
      </c>
      <c r="AD411" s="14">
        <v>40.319715808170521</v>
      </c>
      <c r="AE411" s="14">
        <v>51.407035175879393</v>
      </c>
      <c r="AF411" s="14">
        <v>39.889196675900273</v>
      </c>
      <c r="AG411" s="15">
        <v>0.76660142409636822</v>
      </c>
      <c r="AH411" s="15">
        <v>0.76679718085938819</v>
      </c>
      <c r="AI411" s="15">
        <v>0.82819282599349475</v>
      </c>
      <c r="AJ411" s="41">
        <f t="shared" si="12"/>
        <v>46.97</v>
      </c>
      <c r="AK411" s="44">
        <f t="shared" si="13"/>
        <v>13.886578449905484</v>
      </c>
      <c r="AL411" s="10"/>
      <c r="AM411" s="10"/>
    </row>
    <row r="412" spans="1:39" s="16" customFormat="1" ht="19" customHeight="1">
      <c r="A412" s="29" t="s">
        <v>473</v>
      </c>
      <c r="B412" s="29" t="s">
        <v>1364</v>
      </c>
      <c r="C412" s="29"/>
      <c r="D412" s="29"/>
      <c r="E412" s="30" t="s">
        <v>183</v>
      </c>
      <c r="F412" s="30" t="s">
        <v>249</v>
      </c>
      <c r="G412" s="31" t="s">
        <v>439</v>
      </c>
      <c r="H412" s="32">
        <v>4.5999999999999999E-2</v>
      </c>
      <c r="I412" s="33">
        <v>0.33700000000000002</v>
      </c>
      <c r="J412" s="34">
        <v>7.9</v>
      </c>
      <c r="K412" s="26">
        <v>15.62</v>
      </c>
      <c r="L412" s="26">
        <v>3.71</v>
      </c>
      <c r="M412" s="32">
        <v>561</v>
      </c>
      <c r="N412" s="26">
        <v>21.5</v>
      </c>
      <c r="O412" s="26">
        <v>6.76</v>
      </c>
      <c r="P412" s="26">
        <v>1.87</v>
      </c>
      <c r="Q412" s="26">
        <v>9.06</v>
      </c>
      <c r="R412" s="26">
        <v>1.282</v>
      </c>
      <c r="S412" s="26">
        <v>8.07</v>
      </c>
      <c r="T412" s="26">
        <v>48.1</v>
      </c>
      <c r="U412" s="26">
        <v>1.71</v>
      </c>
      <c r="V412" s="26">
        <v>4.79</v>
      </c>
      <c r="W412" s="26">
        <v>0.628</v>
      </c>
      <c r="X412" s="26">
        <v>4.05</v>
      </c>
      <c r="Y412" s="26">
        <v>0.71099999999999997</v>
      </c>
      <c r="Z412" s="32">
        <v>766</v>
      </c>
      <c r="AA412" s="13"/>
      <c r="AB412" s="13"/>
      <c r="AC412" s="14">
        <v>45.675675675675677</v>
      </c>
      <c r="AD412" s="14">
        <v>33.214920071047963</v>
      </c>
      <c r="AE412" s="14">
        <v>45.527638190954775</v>
      </c>
      <c r="AF412" s="14">
        <v>35.51246537396122</v>
      </c>
      <c r="AG412" s="15">
        <v>0.7283709037068371</v>
      </c>
      <c r="AH412" s="15">
        <v>0.72837186320822811</v>
      </c>
      <c r="AI412" s="15">
        <v>0.79082966230437779</v>
      </c>
      <c r="AJ412" s="41">
        <f t="shared" si="12"/>
        <v>48.730000000000004</v>
      </c>
      <c r="AK412" s="44">
        <f t="shared" si="13"/>
        <v>11.663201663201663</v>
      </c>
      <c r="AL412" s="10"/>
      <c r="AM412" s="10"/>
    </row>
    <row r="413" spans="1:39" s="16" customFormat="1" ht="19" customHeight="1">
      <c r="A413" s="29" t="s">
        <v>474</v>
      </c>
      <c r="B413" s="29" t="s">
        <v>1364</v>
      </c>
      <c r="C413" s="29"/>
      <c r="D413" s="29"/>
      <c r="E413" s="30" t="s">
        <v>183</v>
      </c>
      <c r="F413" s="30" t="s">
        <v>249</v>
      </c>
      <c r="G413" s="31" t="s">
        <v>439</v>
      </c>
      <c r="H413" s="32">
        <v>6.4999999999999997E-3</v>
      </c>
      <c r="I413" s="33">
        <v>0.27900000000000003</v>
      </c>
      <c r="J413" s="34">
        <v>4.12</v>
      </c>
      <c r="K413" s="26">
        <v>17.32</v>
      </c>
      <c r="L413" s="26">
        <v>3.35</v>
      </c>
      <c r="M413" s="32">
        <v>679.3</v>
      </c>
      <c r="N413" s="26">
        <v>23.5</v>
      </c>
      <c r="O413" s="26">
        <v>8.5399999999999991</v>
      </c>
      <c r="P413" s="26">
        <v>2.39</v>
      </c>
      <c r="Q413" s="26">
        <v>10.78</v>
      </c>
      <c r="R413" s="26">
        <v>1.5109999999999999</v>
      </c>
      <c r="S413" s="26">
        <v>9.76</v>
      </c>
      <c r="T413" s="26">
        <v>56.8</v>
      </c>
      <c r="U413" s="26">
        <v>1.89</v>
      </c>
      <c r="V413" s="26">
        <v>5.52</v>
      </c>
      <c r="W413" s="26">
        <v>0.72099999999999997</v>
      </c>
      <c r="X413" s="26">
        <v>4.6399999999999997</v>
      </c>
      <c r="Y413" s="26">
        <v>0.79100000000000004</v>
      </c>
      <c r="Z413" s="32">
        <v>835</v>
      </c>
      <c r="AA413" s="13"/>
      <c r="AB413" s="13"/>
      <c r="AC413" s="14">
        <v>57.702702702702702</v>
      </c>
      <c r="AD413" s="14">
        <v>42.451154529307288</v>
      </c>
      <c r="AE413" s="14">
        <v>54.170854271356781</v>
      </c>
      <c r="AF413" s="14">
        <v>41.855955678670355</v>
      </c>
      <c r="AG413" s="15">
        <v>0.75891311007748841</v>
      </c>
      <c r="AH413" s="15">
        <v>0.759291584090241</v>
      </c>
      <c r="AI413" s="15">
        <v>0.81879085218232073</v>
      </c>
      <c r="AJ413" s="41">
        <f t="shared" si="12"/>
        <v>48.290000000000006</v>
      </c>
      <c r="AK413" s="44">
        <f t="shared" si="13"/>
        <v>11.95950704225352</v>
      </c>
      <c r="AL413" s="10"/>
      <c r="AM413" s="10"/>
    </row>
    <row r="414" spans="1:39" s="16" customFormat="1" ht="19" customHeight="1">
      <c r="A414" s="29" t="s">
        <v>475</v>
      </c>
      <c r="B414" s="29" t="s">
        <v>1364</v>
      </c>
      <c r="C414" s="29"/>
      <c r="D414" s="29"/>
      <c r="E414" s="30" t="s">
        <v>183</v>
      </c>
      <c r="F414" s="30" t="s">
        <v>249</v>
      </c>
      <c r="G414" s="31" t="s">
        <v>439</v>
      </c>
      <c r="H414" s="32">
        <v>2.0299999999999998</v>
      </c>
      <c r="I414" s="33">
        <v>0.70199999999999996</v>
      </c>
      <c r="J414" s="34">
        <v>23.4</v>
      </c>
      <c r="K414" s="26">
        <v>54.8</v>
      </c>
      <c r="L414" s="26">
        <v>8.98</v>
      </c>
      <c r="M414" s="32">
        <v>501.1</v>
      </c>
      <c r="N414" s="26">
        <v>48.4</v>
      </c>
      <c r="O414" s="26">
        <v>13.4</v>
      </c>
      <c r="P414" s="26">
        <v>3.18</v>
      </c>
      <c r="Q414" s="26">
        <v>15.9</v>
      </c>
      <c r="R414" s="26">
        <v>2.15</v>
      </c>
      <c r="S414" s="26">
        <v>12.6</v>
      </c>
      <c r="T414" s="26">
        <v>76.3</v>
      </c>
      <c r="U414" s="26">
        <v>2.72</v>
      </c>
      <c r="V414" s="26">
        <v>7.8</v>
      </c>
      <c r="W414" s="26">
        <v>1.05</v>
      </c>
      <c r="X414" s="26">
        <v>6.45</v>
      </c>
      <c r="Y414" s="26">
        <v>1.2</v>
      </c>
      <c r="Z414" s="32">
        <v>746</v>
      </c>
      <c r="AA414" s="13"/>
      <c r="AB414" s="13"/>
      <c r="AC414" s="14">
        <v>90.540540540540547</v>
      </c>
      <c r="AD414" s="14">
        <v>56.483126110124338</v>
      </c>
      <c r="AE414" s="14">
        <v>79.899497487437188</v>
      </c>
      <c r="AF414" s="14">
        <v>59.556786703601105</v>
      </c>
      <c r="AG414" s="15">
        <v>0.66279175672153556</v>
      </c>
      <c r="AH414" s="15">
        <v>0.66408727678583712</v>
      </c>
      <c r="AI414" s="15">
        <v>0.71731996288315714</v>
      </c>
      <c r="AJ414" s="41">
        <f t="shared" si="12"/>
        <v>135.57999999999998</v>
      </c>
      <c r="AK414" s="44">
        <f t="shared" si="13"/>
        <v>6.5674967234600263</v>
      </c>
      <c r="AL414" s="10"/>
      <c r="AM414" s="10"/>
    </row>
    <row r="415" spans="1:39" s="16" customFormat="1" ht="19" customHeight="1">
      <c r="A415" s="29" t="s">
        <v>476</v>
      </c>
      <c r="B415" s="29" t="s">
        <v>1364</v>
      </c>
      <c r="C415" s="29"/>
      <c r="D415" s="29"/>
      <c r="E415" s="30" t="s">
        <v>183</v>
      </c>
      <c r="F415" s="30" t="s">
        <v>249</v>
      </c>
      <c r="G415" s="31" t="s">
        <v>439</v>
      </c>
      <c r="H415" s="32">
        <v>2.5999999999999999E-2</v>
      </c>
      <c r="I415" s="33">
        <v>0.45800000000000002</v>
      </c>
      <c r="J415" s="34">
        <v>3.71</v>
      </c>
      <c r="K415" s="26">
        <v>11.97</v>
      </c>
      <c r="L415" s="26">
        <v>2.69</v>
      </c>
      <c r="M415" s="32">
        <v>504.4</v>
      </c>
      <c r="N415" s="26">
        <v>19.2</v>
      </c>
      <c r="O415" s="26">
        <v>6.52</v>
      </c>
      <c r="P415" s="26">
        <v>2.0499999999999998</v>
      </c>
      <c r="Q415" s="26">
        <v>10.39</v>
      </c>
      <c r="R415" s="26">
        <v>1.22</v>
      </c>
      <c r="S415" s="26">
        <v>8.51</v>
      </c>
      <c r="T415" s="26">
        <v>49.4</v>
      </c>
      <c r="U415" s="26">
        <v>1.87</v>
      </c>
      <c r="V415" s="26">
        <v>5.16</v>
      </c>
      <c r="W415" s="26">
        <v>0.65600000000000003</v>
      </c>
      <c r="X415" s="26">
        <v>3.9</v>
      </c>
      <c r="Y415" s="26">
        <v>0.71599999999999997</v>
      </c>
      <c r="Z415" s="32">
        <v>816</v>
      </c>
      <c r="AA415" s="13"/>
      <c r="AB415" s="13"/>
      <c r="AC415" s="14">
        <v>44.054054054054056</v>
      </c>
      <c r="AD415" s="14">
        <v>36.412078152753111</v>
      </c>
      <c r="AE415" s="14">
        <v>52.211055276381913</v>
      </c>
      <c r="AF415" s="14">
        <v>33.795013850415515</v>
      </c>
      <c r="AG415" s="15">
        <v>0.75649585620406645</v>
      </c>
      <c r="AH415" s="15">
        <v>0.75922638145164068</v>
      </c>
      <c r="AI415" s="15">
        <v>0.90289518405681113</v>
      </c>
      <c r="AJ415" s="41">
        <f t="shared" si="12"/>
        <v>37.57</v>
      </c>
      <c r="AK415" s="44">
        <f t="shared" si="13"/>
        <v>10.210526315789474</v>
      </c>
      <c r="AL415" s="10"/>
      <c r="AM415" s="10"/>
    </row>
    <row r="416" spans="1:39" s="16" customFormat="1" ht="19" customHeight="1">
      <c r="A416" s="29" t="s">
        <v>477</v>
      </c>
      <c r="B416" s="29" t="s">
        <v>1364</v>
      </c>
      <c r="C416" s="29"/>
      <c r="D416" s="29"/>
      <c r="E416" s="30" t="s">
        <v>183</v>
      </c>
      <c r="F416" s="30" t="s">
        <v>249</v>
      </c>
      <c r="G416" s="31" t="s">
        <v>439</v>
      </c>
      <c r="H416" s="32">
        <v>2.5000000000000001E-2</v>
      </c>
      <c r="I416" s="33">
        <v>0.39500000000000002</v>
      </c>
      <c r="J416" s="34">
        <v>5.89</v>
      </c>
      <c r="K416" s="26">
        <v>12.12</v>
      </c>
      <c r="L416" s="26">
        <v>3.05</v>
      </c>
      <c r="M416" s="32">
        <v>490</v>
      </c>
      <c r="N416" s="26">
        <v>16.7</v>
      </c>
      <c r="O416" s="26">
        <v>6.3</v>
      </c>
      <c r="P416" s="26">
        <v>1.86</v>
      </c>
      <c r="Q416" s="26">
        <v>8.35</v>
      </c>
      <c r="R416" s="26">
        <v>1.0620000000000001</v>
      </c>
      <c r="S416" s="26">
        <v>7.24</v>
      </c>
      <c r="T416" s="26">
        <v>43.1</v>
      </c>
      <c r="U416" s="26">
        <v>1.55</v>
      </c>
      <c r="V416" s="26">
        <v>4.09</v>
      </c>
      <c r="W416" s="26">
        <v>0.57999999999999996</v>
      </c>
      <c r="X416" s="26">
        <v>3.58</v>
      </c>
      <c r="Y416" s="26">
        <v>0.68200000000000005</v>
      </c>
      <c r="Z416" s="32">
        <v>790</v>
      </c>
      <c r="AA416" s="13"/>
      <c r="AB416" s="13"/>
      <c r="AC416" s="14">
        <v>42.567567567567572</v>
      </c>
      <c r="AD416" s="14">
        <v>33.037300177619898</v>
      </c>
      <c r="AE416" s="14">
        <v>41.959798994974868</v>
      </c>
      <c r="AF416" s="14">
        <v>29.418282548476455</v>
      </c>
      <c r="AG416" s="15">
        <v>0.781694769898583</v>
      </c>
      <c r="AH416" s="15">
        <v>0.78171497708514681</v>
      </c>
      <c r="AI416" s="15">
        <v>0.87783499193061931</v>
      </c>
      <c r="AJ416" s="41">
        <f t="shared" si="12"/>
        <v>37.76</v>
      </c>
      <c r="AK416" s="44">
        <f t="shared" si="13"/>
        <v>11.36890951276102</v>
      </c>
      <c r="AL416" s="10"/>
      <c r="AM416" s="10"/>
    </row>
    <row r="417" spans="1:39" s="16" customFormat="1" ht="19" customHeight="1">
      <c r="A417" s="29" t="s">
        <v>478</v>
      </c>
      <c r="B417" s="29" t="s">
        <v>1364</v>
      </c>
      <c r="C417" s="29"/>
      <c r="D417" s="29"/>
      <c r="E417" s="30" t="s">
        <v>183</v>
      </c>
      <c r="F417" s="30" t="s">
        <v>249</v>
      </c>
      <c r="G417" s="31" t="s">
        <v>439</v>
      </c>
      <c r="H417" s="32">
        <v>0.113</v>
      </c>
      <c r="I417" s="33">
        <v>0.31900000000000001</v>
      </c>
      <c r="J417" s="34">
        <v>7.33</v>
      </c>
      <c r="K417" s="26">
        <v>17.7</v>
      </c>
      <c r="L417" s="26">
        <v>3.98</v>
      </c>
      <c r="M417" s="32">
        <v>635</v>
      </c>
      <c r="N417" s="26">
        <v>23.4</v>
      </c>
      <c r="O417" s="26">
        <v>7.85</v>
      </c>
      <c r="P417" s="26">
        <v>2.2799999999999998</v>
      </c>
      <c r="Q417" s="26">
        <v>11.23</v>
      </c>
      <c r="R417" s="26">
        <v>1.369</v>
      </c>
      <c r="S417" s="26">
        <v>8.61</v>
      </c>
      <c r="T417" s="26">
        <v>53.6</v>
      </c>
      <c r="U417" s="26">
        <v>1.804</v>
      </c>
      <c r="V417" s="26">
        <v>4.91</v>
      </c>
      <c r="W417" s="26">
        <v>0.64800000000000002</v>
      </c>
      <c r="X417" s="26">
        <v>4.28</v>
      </c>
      <c r="Y417" s="26">
        <v>0.83899999999999997</v>
      </c>
      <c r="Z417" s="32">
        <v>898</v>
      </c>
      <c r="AA417" s="13"/>
      <c r="AB417" s="13"/>
      <c r="AC417" s="14">
        <v>53.04054054054054</v>
      </c>
      <c r="AD417" s="14">
        <v>40.49733570159858</v>
      </c>
      <c r="AE417" s="14">
        <v>56.4321608040201</v>
      </c>
      <c r="AF417" s="14">
        <v>37.92243767313019</v>
      </c>
      <c r="AG417" s="15">
        <v>0.73986181402676721</v>
      </c>
      <c r="AH417" s="15">
        <v>0.74021714754062129</v>
      </c>
      <c r="AI417" s="15">
        <v>0.8538647323236912</v>
      </c>
      <c r="AJ417" s="41">
        <f t="shared" si="12"/>
        <v>52.41</v>
      </c>
      <c r="AK417" s="44">
        <f t="shared" si="13"/>
        <v>11.847014925373134</v>
      </c>
      <c r="AL417" s="10"/>
      <c r="AM417" s="10"/>
    </row>
    <row r="418" spans="1:39" s="16" customFormat="1" ht="19" customHeight="1">
      <c r="A418" s="29" t="s">
        <v>479</v>
      </c>
      <c r="B418" s="29" t="s">
        <v>1364</v>
      </c>
      <c r="C418" s="29"/>
      <c r="D418" s="29"/>
      <c r="E418" s="30" t="s">
        <v>183</v>
      </c>
      <c r="F418" s="30" t="s">
        <v>249</v>
      </c>
      <c r="G418" s="31" t="s">
        <v>439</v>
      </c>
      <c r="H418" s="32">
        <v>4.1000000000000002E-2</v>
      </c>
      <c r="I418" s="33">
        <v>0.46300000000000002</v>
      </c>
      <c r="J418" s="34">
        <v>6.75</v>
      </c>
      <c r="K418" s="26">
        <v>15.01</v>
      </c>
      <c r="L418" s="26">
        <v>3.39</v>
      </c>
      <c r="M418" s="32">
        <v>507.5</v>
      </c>
      <c r="N418" s="26">
        <v>22.1</v>
      </c>
      <c r="O418" s="26">
        <v>7.25</v>
      </c>
      <c r="P418" s="26">
        <v>2.15</v>
      </c>
      <c r="Q418" s="26">
        <v>10.46</v>
      </c>
      <c r="R418" s="26">
        <v>1.2709999999999999</v>
      </c>
      <c r="S418" s="26">
        <v>7.7</v>
      </c>
      <c r="T418" s="26">
        <v>51.1</v>
      </c>
      <c r="U418" s="26">
        <v>1.72</v>
      </c>
      <c r="V418" s="26">
        <v>5.0199999999999996</v>
      </c>
      <c r="W418" s="26">
        <v>0.69899999999999995</v>
      </c>
      <c r="X418" s="26">
        <v>4.47</v>
      </c>
      <c r="Y418" s="26">
        <v>0.77400000000000002</v>
      </c>
      <c r="Z418" s="32">
        <v>765</v>
      </c>
      <c r="AA418" s="13"/>
      <c r="AB418" s="13"/>
      <c r="AC418" s="14">
        <v>48.986486486486491</v>
      </c>
      <c r="AD418" s="14">
        <v>38.188277087033747</v>
      </c>
      <c r="AE418" s="14">
        <v>52.562814070351763</v>
      </c>
      <c r="AF418" s="14">
        <v>35.207756232686975</v>
      </c>
      <c r="AG418" s="15">
        <v>0.7521130500679194</v>
      </c>
      <c r="AH418" s="15">
        <v>0.75257990081300963</v>
      </c>
      <c r="AI418" s="15">
        <v>0.87029486600021722</v>
      </c>
      <c r="AJ418" s="41">
        <f t="shared" si="12"/>
        <v>47.25</v>
      </c>
      <c r="AK418" s="44">
        <f t="shared" si="13"/>
        <v>9.9315068493150687</v>
      </c>
      <c r="AL418" s="10"/>
      <c r="AM418" s="10"/>
    </row>
    <row r="419" spans="1:39" s="16" customFormat="1" ht="19" customHeight="1">
      <c r="A419" s="29" t="s">
        <v>480</v>
      </c>
      <c r="B419" s="29" t="s">
        <v>1364</v>
      </c>
      <c r="C419" s="29"/>
      <c r="D419" s="29"/>
      <c r="E419" s="30" t="s">
        <v>183</v>
      </c>
      <c r="F419" s="30" t="s">
        <v>249</v>
      </c>
      <c r="G419" s="31" t="s">
        <v>439</v>
      </c>
      <c r="H419" s="32">
        <v>0.27300000000000002</v>
      </c>
      <c r="I419" s="33">
        <v>0.39800000000000002</v>
      </c>
      <c r="J419" s="34">
        <v>7.3</v>
      </c>
      <c r="K419" s="26">
        <v>23</v>
      </c>
      <c r="L419" s="26">
        <v>4.33</v>
      </c>
      <c r="M419" s="32">
        <v>576.9</v>
      </c>
      <c r="N419" s="26">
        <v>25.7</v>
      </c>
      <c r="O419" s="26">
        <v>9.1999999999999993</v>
      </c>
      <c r="P419" s="26">
        <v>2.84</v>
      </c>
      <c r="Q419" s="26">
        <v>12.91</v>
      </c>
      <c r="R419" s="26">
        <v>1.6339999999999999</v>
      </c>
      <c r="S419" s="26">
        <v>9.69</v>
      </c>
      <c r="T419" s="26">
        <v>60.1</v>
      </c>
      <c r="U419" s="26">
        <v>2.1360000000000001</v>
      </c>
      <c r="V419" s="26">
        <v>6.25</v>
      </c>
      <c r="W419" s="26">
        <v>0.78300000000000003</v>
      </c>
      <c r="X419" s="26">
        <v>4.82</v>
      </c>
      <c r="Y419" s="26">
        <v>0.92700000000000005</v>
      </c>
      <c r="Z419" s="32">
        <v>808</v>
      </c>
      <c r="AA419" s="13"/>
      <c r="AB419" s="13"/>
      <c r="AC419" s="14">
        <v>62.162162162162161</v>
      </c>
      <c r="AD419" s="14">
        <v>50.444049733570161</v>
      </c>
      <c r="AE419" s="14">
        <v>64.874371859296474</v>
      </c>
      <c r="AF419" s="14">
        <v>45.263157894736842</v>
      </c>
      <c r="AG419" s="15">
        <v>0.7941660266809436</v>
      </c>
      <c r="AH419" s="15">
        <v>0.79434708524216624</v>
      </c>
      <c r="AI419" s="15">
        <v>0.90200910344107443</v>
      </c>
      <c r="AJ419" s="41">
        <f t="shared" si="12"/>
        <v>60.33</v>
      </c>
      <c r="AK419" s="44">
        <f t="shared" si="13"/>
        <v>9.5990016638935103</v>
      </c>
      <c r="AL419" s="10"/>
      <c r="AM419" s="10"/>
    </row>
    <row r="420" spans="1:39" s="16" customFormat="1" ht="19" customHeight="1">
      <c r="A420" s="29" t="s">
        <v>481</v>
      </c>
      <c r="B420" s="29" t="s">
        <v>1364</v>
      </c>
      <c r="C420" s="29"/>
      <c r="D420" s="29"/>
      <c r="E420" s="30" t="s">
        <v>183</v>
      </c>
      <c r="F420" s="30" t="s">
        <v>249</v>
      </c>
      <c r="G420" s="31" t="s">
        <v>439</v>
      </c>
      <c r="H420" s="32">
        <v>1.7999999999999999E-2</v>
      </c>
      <c r="I420" s="33">
        <v>0.438</v>
      </c>
      <c r="J420" s="34">
        <v>4.28</v>
      </c>
      <c r="K420" s="26">
        <v>12.54</v>
      </c>
      <c r="L420" s="26">
        <v>2.9</v>
      </c>
      <c r="M420" s="32">
        <v>537</v>
      </c>
      <c r="N420" s="26">
        <v>18.5</v>
      </c>
      <c r="O420" s="26">
        <v>7.2</v>
      </c>
      <c r="P420" s="26">
        <v>1.84</v>
      </c>
      <c r="Q420" s="26">
        <v>9.76</v>
      </c>
      <c r="R420" s="26">
        <v>1.27</v>
      </c>
      <c r="S420" s="26">
        <v>6.94</v>
      </c>
      <c r="T420" s="26">
        <v>45.9</v>
      </c>
      <c r="U420" s="26">
        <v>1.81</v>
      </c>
      <c r="V420" s="26">
        <v>5.2</v>
      </c>
      <c r="W420" s="26">
        <v>0.58299999999999996</v>
      </c>
      <c r="X420" s="26">
        <v>3.95</v>
      </c>
      <c r="Y420" s="26">
        <v>0.76</v>
      </c>
      <c r="Z420" s="32">
        <v>739</v>
      </c>
      <c r="AA420" s="13"/>
      <c r="AB420" s="13"/>
      <c r="AC420" s="14">
        <v>48.648648648648653</v>
      </c>
      <c r="AD420" s="14">
        <v>32.682060390763766</v>
      </c>
      <c r="AE420" s="14">
        <v>49.045226130653262</v>
      </c>
      <c r="AF420" s="14">
        <v>35.180055401662052</v>
      </c>
      <c r="AG420" s="15">
        <v>0.66907081870987484</v>
      </c>
      <c r="AH420" s="15">
        <v>0.66907633146741818</v>
      </c>
      <c r="AI420" s="15">
        <v>0.74845104877227098</v>
      </c>
      <c r="AJ420" s="41">
        <f t="shared" si="12"/>
        <v>38.22</v>
      </c>
      <c r="AK420" s="44">
        <f t="shared" si="13"/>
        <v>11.699346405228759</v>
      </c>
      <c r="AL420" s="10"/>
      <c r="AM420" s="10"/>
    </row>
    <row r="421" spans="1:39" s="16" customFormat="1" ht="19" customHeight="1">
      <c r="A421" s="29" t="s">
        <v>482</v>
      </c>
      <c r="B421" s="29" t="s">
        <v>1364</v>
      </c>
      <c r="C421" s="29"/>
      <c r="D421" s="29"/>
      <c r="E421" s="30" t="s">
        <v>183</v>
      </c>
      <c r="F421" s="30" t="s">
        <v>249</v>
      </c>
      <c r="G421" s="31" t="s">
        <v>439</v>
      </c>
      <c r="H421" s="32">
        <v>0.05</v>
      </c>
      <c r="I421" s="33">
        <v>0.39</v>
      </c>
      <c r="J421" s="34">
        <v>10.94</v>
      </c>
      <c r="K421" s="26">
        <v>17.739999999999998</v>
      </c>
      <c r="L421" s="26">
        <v>4.1900000000000004</v>
      </c>
      <c r="M421" s="32">
        <v>497</v>
      </c>
      <c r="N421" s="26">
        <v>22.4</v>
      </c>
      <c r="O421" s="26">
        <v>7.85</v>
      </c>
      <c r="P421" s="26">
        <v>2.14</v>
      </c>
      <c r="Q421" s="26">
        <v>10.94</v>
      </c>
      <c r="R421" s="26">
        <v>1.26</v>
      </c>
      <c r="S421" s="26">
        <v>8.39</v>
      </c>
      <c r="T421" s="26">
        <v>51.5</v>
      </c>
      <c r="U421" s="26">
        <v>1.93</v>
      </c>
      <c r="V421" s="26">
        <v>4.95</v>
      </c>
      <c r="W421" s="26">
        <v>0.67</v>
      </c>
      <c r="X421" s="26">
        <v>4.37</v>
      </c>
      <c r="Y421" s="26">
        <v>0.80800000000000005</v>
      </c>
      <c r="Z421" s="32">
        <v>653</v>
      </c>
      <c r="AA421" s="13"/>
      <c r="AB421" s="13"/>
      <c r="AC421" s="14">
        <v>53.04054054054054</v>
      </c>
      <c r="AD421" s="14">
        <v>38.010657193605688</v>
      </c>
      <c r="AE421" s="14">
        <v>54.974874371859293</v>
      </c>
      <c r="AF421" s="14">
        <v>34.903047091412745</v>
      </c>
      <c r="AG421" s="15">
        <v>0.70380060520865861</v>
      </c>
      <c r="AH421" s="15">
        <v>0.70391348481635563</v>
      </c>
      <c r="AI421" s="15">
        <v>0.82390847470937034</v>
      </c>
      <c r="AJ421" s="41">
        <f t="shared" si="12"/>
        <v>55.269999999999996</v>
      </c>
      <c r="AK421" s="44">
        <f t="shared" si="13"/>
        <v>9.650485436893204</v>
      </c>
      <c r="AL421" s="10"/>
      <c r="AM421" s="10"/>
    </row>
    <row r="422" spans="1:39" s="16" customFormat="1" ht="19" customHeight="1">
      <c r="A422" s="29" t="s">
        <v>483</v>
      </c>
      <c r="B422" s="29" t="s">
        <v>1364</v>
      </c>
      <c r="C422" s="29"/>
      <c r="D422" s="29"/>
      <c r="E422" s="30" t="s">
        <v>183</v>
      </c>
      <c r="F422" s="30" t="s">
        <v>249</v>
      </c>
      <c r="G422" s="31" t="s">
        <v>439</v>
      </c>
      <c r="H422" s="32">
        <v>1.2999999999999999E-2</v>
      </c>
      <c r="I422" s="33">
        <v>9.0999999999999998E-2</v>
      </c>
      <c r="J422" s="34">
        <v>2.63</v>
      </c>
      <c r="K422" s="26">
        <v>7.44</v>
      </c>
      <c r="L422" s="26">
        <v>0.98</v>
      </c>
      <c r="M422" s="32">
        <v>344</v>
      </c>
      <c r="N422" s="26">
        <v>6.34</v>
      </c>
      <c r="O422" s="26">
        <v>1.48</v>
      </c>
      <c r="P422" s="26">
        <v>0.70399999999999996</v>
      </c>
      <c r="Q422" s="26">
        <v>2.11</v>
      </c>
      <c r="R422" s="26">
        <v>0.29899999999999999</v>
      </c>
      <c r="S422" s="26">
        <v>2.0299999999999998</v>
      </c>
      <c r="T422" s="26">
        <v>14.29</v>
      </c>
      <c r="U422" s="26">
        <v>0.46400000000000002</v>
      </c>
      <c r="V422" s="26">
        <v>1.49</v>
      </c>
      <c r="W422" s="26">
        <v>0.189</v>
      </c>
      <c r="X422" s="26">
        <v>1.25</v>
      </c>
      <c r="Y422" s="26">
        <v>0.154</v>
      </c>
      <c r="Z422" s="32">
        <v>464</v>
      </c>
      <c r="AA422" s="13"/>
      <c r="AB422" s="13"/>
      <c r="AC422" s="14">
        <v>10</v>
      </c>
      <c r="AD422" s="14">
        <v>12.504440497335702</v>
      </c>
      <c r="AE422" s="14">
        <v>10.603015075376883</v>
      </c>
      <c r="AF422" s="14">
        <v>8.2825484764542932</v>
      </c>
      <c r="AG422" s="15">
        <v>1.213845687302344</v>
      </c>
      <c r="AH422" s="15">
        <v>1.2143659316800428</v>
      </c>
      <c r="AI422" s="15">
        <v>1.3315054107181983</v>
      </c>
      <c r="AJ422" s="41">
        <f t="shared" si="12"/>
        <v>17.39</v>
      </c>
      <c r="AK422" s="44">
        <f t="shared" si="13"/>
        <v>24.072778166550037</v>
      </c>
      <c r="AL422" s="10"/>
      <c r="AM422" s="10"/>
    </row>
    <row r="423" spans="1:39" s="16" customFormat="1" ht="19" customHeight="1">
      <c r="A423" s="29" t="s">
        <v>484</v>
      </c>
      <c r="B423" s="29" t="s">
        <v>1364</v>
      </c>
      <c r="C423" s="29"/>
      <c r="D423" s="29"/>
      <c r="E423" s="30" t="s">
        <v>183</v>
      </c>
      <c r="F423" s="30" t="s">
        <v>249</v>
      </c>
      <c r="G423" s="31" t="s">
        <v>439</v>
      </c>
      <c r="H423" s="32">
        <v>0.498</v>
      </c>
      <c r="I423" s="33">
        <v>7.15</v>
      </c>
      <c r="J423" s="34">
        <v>5.52</v>
      </c>
      <c r="K423" s="26">
        <v>14.89</v>
      </c>
      <c r="L423" s="26">
        <v>3.64</v>
      </c>
      <c r="M423" s="32">
        <v>368</v>
      </c>
      <c r="N423" s="26">
        <v>19.899999999999999</v>
      </c>
      <c r="O423" s="26">
        <v>8.81</v>
      </c>
      <c r="P423" s="26">
        <v>5.31</v>
      </c>
      <c r="Q423" s="26">
        <v>16.5</v>
      </c>
      <c r="R423" s="26">
        <v>2.91</v>
      </c>
      <c r="S423" s="26">
        <v>23.4</v>
      </c>
      <c r="T423" s="26">
        <v>181</v>
      </c>
      <c r="U423" s="26">
        <v>5.51</v>
      </c>
      <c r="V423" s="26">
        <v>19.16</v>
      </c>
      <c r="W423" s="26">
        <v>2.61</v>
      </c>
      <c r="X423" s="26">
        <v>15.6</v>
      </c>
      <c r="Y423" s="26">
        <v>3.21</v>
      </c>
      <c r="Z423" s="32">
        <v>591</v>
      </c>
      <c r="AA423" s="13"/>
      <c r="AB423" s="13"/>
      <c r="AC423" s="14">
        <v>59.527027027027032</v>
      </c>
      <c r="AD423" s="14">
        <v>94.316163410301954</v>
      </c>
      <c r="AE423" s="14">
        <v>82.914572864321599</v>
      </c>
      <c r="AF423" s="14">
        <v>80.609418282548475</v>
      </c>
      <c r="AG423" s="15">
        <v>1.3242783496147794</v>
      </c>
      <c r="AH423" s="15">
        <v>1.3424978406231258</v>
      </c>
      <c r="AI423" s="15">
        <v>1.4321265694539427</v>
      </c>
      <c r="AJ423" s="41">
        <f t="shared" si="12"/>
        <v>43.95</v>
      </c>
      <c r="AK423" s="44">
        <f t="shared" si="13"/>
        <v>2.0331491712707184</v>
      </c>
      <c r="AL423" s="10"/>
      <c r="AM423" s="10"/>
    </row>
    <row r="424" spans="1:39" s="16" customFormat="1" ht="19" customHeight="1">
      <c r="A424" s="29" t="s">
        <v>485</v>
      </c>
      <c r="B424" s="29" t="s">
        <v>1364</v>
      </c>
      <c r="C424" s="29"/>
      <c r="D424" s="29"/>
      <c r="E424" s="30" t="s">
        <v>183</v>
      </c>
      <c r="F424" s="30" t="s">
        <v>249</v>
      </c>
      <c r="G424" s="31" t="s">
        <v>439</v>
      </c>
      <c r="H424" s="32">
        <v>2.2800000000000001E-2</v>
      </c>
      <c r="I424" s="33">
        <v>0.33100000000000002</v>
      </c>
      <c r="J424" s="34">
        <v>5.47</v>
      </c>
      <c r="K424" s="26">
        <v>17.88</v>
      </c>
      <c r="L424" s="26">
        <v>3.54</v>
      </c>
      <c r="M424" s="32">
        <v>611</v>
      </c>
      <c r="N424" s="26">
        <v>22.9</v>
      </c>
      <c r="O424" s="26">
        <v>8.7799999999999994</v>
      </c>
      <c r="P424" s="26">
        <v>2.5499999999999998</v>
      </c>
      <c r="Q424" s="26">
        <v>12.68</v>
      </c>
      <c r="R424" s="26">
        <v>1.4830000000000001</v>
      </c>
      <c r="S424" s="26">
        <v>9.34</v>
      </c>
      <c r="T424" s="26">
        <v>58.2</v>
      </c>
      <c r="U424" s="26">
        <v>2.1709999999999998</v>
      </c>
      <c r="V424" s="26">
        <v>5.92</v>
      </c>
      <c r="W424" s="26">
        <v>0.82899999999999996</v>
      </c>
      <c r="X424" s="26">
        <v>4.91</v>
      </c>
      <c r="Y424" s="26">
        <v>0.878</v>
      </c>
      <c r="Z424" s="32">
        <v>541</v>
      </c>
      <c r="AA424" s="13"/>
      <c r="AB424" s="13"/>
      <c r="AC424" s="14">
        <v>59.324324324324323</v>
      </c>
      <c r="AD424" s="14">
        <v>45.293072824156305</v>
      </c>
      <c r="AE424" s="14">
        <v>63.718592964824118</v>
      </c>
      <c r="AF424" s="14">
        <v>41.0803324099723</v>
      </c>
      <c r="AG424" s="15">
        <v>0.73621584764149361</v>
      </c>
      <c r="AH424" s="15">
        <v>0.73668579673353474</v>
      </c>
      <c r="AI424" s="15">
        <v>0.86297577057251085</v>
      </c>
      <c r="AJ424" s="41">
        <f t="shared" si="12"/>
        <v>49.789999999999992</v>
      </c>
      <c r="AK424" s="44">
        <f t="shared" si="13"/>
        <v>10.498281786941581</v>
      </c>
      <c r="AL424" s="10"/>
      <c r="AM424" s="10"/>
    </row>
    <row r="425" spans="1:39" s="16" customFormat="1" ht="19" customHeight="1">
      <c r="A425" s="29" t="s">
        <v>486</v>
      </c>
      <c r="B425" s="29" t="s">
        <v>1364</v>
      </c>
      <c r="C425" s="29"/>
      <c r="D425" s="29"/>
      <c r="E425" s="30" t="s">
        <v>183</v>
      </c>
      <c r="F425" s="30" t="s">
        <v>249</v>
      </c>
      <c r="G425" s="31" t="s">
        <v>439</v>
      </c>
      <c r="H425" s="32">
        <v>5.2499999999999998E-2</v>
      </c>
      <c r="I425" s="33">
        <v>0.43</v>
      </c>
      <c r="J425" s="34">
        <v>4.58</v>
      </c>
      <c r="K425" s="26">
        <v>14.48</v>
      </c>
      <c r="L425" s="26">
        <v>2.15</v>
      </c>
      <c r="M425" s="32">
        <v>353.2</v>
      </c>
      <c r="N425" s="26">
        <v>12.75</v>
      </c>
      <c r="O425" s="26">
        <v>3.45</v>
      </c>
      <c r="P425" s="26">
        <v>1.0820000000000001</v>
      </c>
      <c r="Q425" s="26">
        <v>5.49</v>
      </c>
      <c r="R425" s="26">
        <v>0.72799999999999998</v>
      </c>
      <c r="S425" s="13">
        <v>5.42</v>
      </c>
      <c r="T425" s="26">
        <v>37.69</v>
      </c>
      <c r="U425" s="13">
        <v>1.2350000000000001</v>
      </c>
      <c r="V425" s="13">
        <v>3.75</v>
      </c>
      <c r="W425" s="13">
        <v>0.46100000000000002</v>
      </c>
      <c r="X425" s="13">
        <v>3.31</v>
      </c>
      <c r="Y425" s="26">
        <v>0.60399999999999998</v>
      </c>
      <c r="Z425" s="32">
        <v>204.7</v>
      </c>
      <c r="AA425" s="13"/>
      <c r="AB425" s="13"/>
      <c r="AC425" s="14">
        <v>23.310810810810814</v>
      </c>
      <c r="AD425" s="14">
        <v>19.21847246891652</v>
      </c>
      <c r="AE425" s="14">
        <v>27.587939698492463</v>
      </c>
      <c r="AF425" s="14">
        <v>20.166204986149584</v>
      </c>
      <c r="AG425" s="15">
        <v>0.75516480371767736</v>
      </c>
      <c r="AH425" s="15">
        <v>0.75784526598734425</v>
      </c>
      <c r="AI425" s="15">
        <v>0.86524524336815556</v>
      </c>
      <c r="AJ425" s="41">
        <f t="shared" si="12"/>
        <v>33.96</v>
      </c>
      <c r="AK425" s="44">
        <f t="shared" si="13"/>
        <v>9.3711859909790398</v>
      </c>
      <c r="AL425" s="10"/>
      <c r="AM425" s="10"/>
    </row>
    <row r="426" spans="1:39" s="16" customFormat="1" ht="19" customHeight="1">
      <c r="A426" s="29" t="s">
        <v>487</v>
      </c>
      <c r="B426" s="29" t="s">
        <v>1364</v>
      </c>
      <c r="C426" s="29"/>
      <c r="D426" s="29"/>
      <c r="E426" s="30" t="s">
        <v>183</v>
      </c>
      <c r="F426" s="30" t="s">
        <v>249</v>
      </c>
      <c r="G426" s="31" t="s">
        <v>439</v>
      </c>
      <c r="H426" s="32">
        <v>2.8000000000000001E-2</v>
      </c>
      <c r="I426" s="33">
        <v>0.312</v>
      </c>
      <c r="J426" s="34">
        <v>5.74</v>
      </c>
      <c r="K426" s="26">
        <v>18.05</v>
      </c>
      <c r="L426" s="26">
        <v>2.76</v>
      </c>
      <c r="M426" s="32">
        <v>457.2</v>
      </c>
      <c r="N426" s="26">
        <v>15.6</v>
      </c>
      <c r="O426" s="26">
        <v>4.38</v>
      </c>
      <c r="P426" s="26">
        <v>1.53</v>
      </c>
      <c r="Q426" s="26">
        <v>6.36</v>
      </c>
      <c r="R426" s="26">
        <v>0.79100000000000004</v>
      </c>
      <c r="S426" s="13">
        <v>5.23</v>
      </c>
      <c r="T426" s="26">
        <v>43.4</v>
      </c>
      <c r="U426" s="13">
        <v>1.454</v>
      </c>
      <c r="V426" s="13">
        <v>4.5599999999999996</v>
      </c>
      <c r="W426" s="13">
        <v>0.63600000000000001</v>
      </c>
      <c r="X426" s="13">
        <v>4.32</v>
      </c>
      <c r="Y426" s="26">
        <v>0.81100000000000005</v>
      </c>
      <c r="Z426" s="32">
        <v>255.4</v>
      </c>
      <c r="AA426" s="13"/>
      <c r="AB426" s="13"/>
      <c r="AC426" s="14">
        <v>29.594594594594597</v>
      </c>
      <c r="AD426" s="14">
        <v>27.175843694493786</v>
      </c>
      <c r="AE426" s="14">
        <v>31.959798994974875</v>
      </c>
      <c r="AF426" s="14">
        <v>21.911357340720222</v>
      </c>
      <c r="AG426" s="15">
        <v>0.88298631859477184</v>
      </c>
      <c r="AH426" s="15">
        <v>0.88363888461812878</v>
      </c>
      <c r="AI426" s="15">
        <v>1.0150443360281869</v>
      </c>
      <c r="AJ426" s="41">
        <f t="shared" si="12"/>
        <v>42.15</v>
      </c>
      <c r="AK426" s="44">
        <f t="shared" si="13"/>
        <v>10.534562211981568</v>
      </c>
      <c r="AL426" s="10"/>
      <c r="AM426" s="10"/>
    </row>
    <row r="427" spans="1:39" s="16" customFormat="1" ht="19" customHeight="1">
      <c r="A427" s="29" t="s">
        <v>488</v>
      </c>
      <c r="B427" s="29" t="s">
        <v>1364</v>
      </c>
      <c r="C427" s="29"/>
      <c r="D427" s="29"/>
      <c r="E427" s="30" t="s">
        <v>183</v>
      </c>
      <c r="F427" s="30" t="s">
        <v>249</v>
      </c>
      <c r="G427" s="31" t="s">
        <v>439</v>
      </c>
      <c r="H427" s="32">
        <v>2.3900000000000001E-2</v>
      </c>
      <c r="I427" s="33">
        <v>0.1004</v>
      </c>
      <c r="J427" s="34">
        <v>3.66</v>
      </c>
      <c r="K427" s="26">
        <v>11.02</v>
      </c>
      <c r="L427" s="26">
        <v>1.5940000000000001</v>
      </c>
      <c r="M427" s="32">
        <v>427.4</v>
      </c>
      <c r="N427" s="26">
        <v>9.31</v>
      </c>
      <c r="O427" s="26">
        <v>2.57</v>
      </c>
      <c r="P427" s="26">
        <v>0.71599999999999997</v>
      </c>
      <c r="Q427" s="26">
        <v>3.93</v>
      </c>
      <c r="R427" s="26">
        <v>0.51100000000000001</v>
      </c>
      <c r="S427" s="13">
        <v>4.43</v>
      </c>
      <c r="T427" s="26">
        <v>33.74</v>
      </c>
      <c r="U427" s="13">
        <v>1.1659999999999999</v>
      </c>
      <c r="V427" s="13">
        <v>3.65</v>
      </c>
      <c r="W427" s="13">
        <v>0.51300000000000001</v>
      </c>
      <c r="X427" s="13">
        <v>2.68</v>
      </c>
      <c r="Y427" s="26">
        <v>0.42399999999999999</v>
      </c>
      <c r="Z427" s="32">
        <v>208.1</v>
      </c>
      <c r="AA427" s="13"/>
      <c r="AB427" s="13"/>
      <c r="AC427" s="14">
        <v>17.364864864864863</v>
      </c>
      <c r="AD427" s="14">
        <v>12.717584369449378</v>
      </c>
      <c r="AE427" s="14">
        <v>19.748743718592966</v>
      </c>
      <c r="AF427" s="14">
        <v>14.155124653739612</v>
      </c>
      <c r="AG427" s="15">
        <v>0.68533267741136994</v>
      </c>
      <c r="AH427" s="15">
        <v>0.68675081976694041</v>
      </c>
      <c r="AI427" s="15">
        <v>0.78400552436071669</v>
      </c>
      <c r="AJ427" s="41">
        <f t="shared" si="12"/>
        <v>25.584000000000003</v>
      </c>
      <c r="AK427" s="44">
        <f t="shared" si="13"/>
        <v>12.667457024303497</v>
      </c>
      <c r="AL427" s="10"/>
      <c r="AM427" s="10"/>
    </row>
    <row r="428" spans="1:39" s="16" customFormat="1" ht="19" customHeight="1">
      <c r="A428" s="29" t="s">
        <v>489</v>
      </c>
      <c r="B428" s="29" t="s">
        <v>1364</v>
      </c>
      <c r="C428" s="29"/>
      <c r="D428" s="29"/>
      <c r="E428" s="30" t="s">
        <v>183</v>
      </c>
      <c r="F428" s="30" t="s">
        <v>249</v>
      </c>
      <c r="G428" s="31" t="s">
        <v>439</v>
      </c>
      <c r="H428" s="32">
        <v>1.68</v>
      </c>
      <c r="I428" s="33">
        <v>0.46500000000000002</v>
      </c>
      <c r="J428" s="34">
        <v>13.29</v>
      </c>
      <c r="K428" s="26">
        <v>44.92</v>
      </c>
      <c r="L428" s="26">
        <v>7.12</v>
      </c>
      <c r="M428" s="32">
        <v>522.29999999999995</v>
      </c>
      <c r="N428" s="26">
        <v>42.1</v>
      </c>
      <c r="O428" s="26">
        <v>12.21</v>
      </c>
      <c r="P428" s="26">
        <v>4.01</v>
      </c>
      <c r="Q428" s="26">
        <v>18.12</v>
      </c>
      <c r="R428" s="26">
        <v>1.6870000000000001</v>
      </c>
      <c r="S428" s="13">
        <v>8.66</v>
      </c>
      <c r="T428" s="26">
        <v>47.28</v>
      </c>
      <c r="U428" s="13">
        <v>1.6120000000000001</v>
      </c>
      <c r="V428" s="13">
        <v>4.0199999999999996</v>
      </c>
      <c r="W428" s="13">
        <v>0.48299999999999998</v>
      </c>
      <c r="X428" s="13">
        <v>3.33</v>
      </c>
      <c r="Y428" s="26">
        <v>0.59199999999999997</v>
      </c>
      <c r="Z428" s="32">
        <v>249.6</v>
      </c>
      <c r="AA428" s="13"/>
      <c r="AB428" s="13"/>
      <c r="AC428" s="14">
        <v>82.500000000000014</v>
      </c>
      <c r="AD428" s="14">
        <v>71.225577264653637</v>
      </c>
      <c r="AE428" s="14">
        <v>91.05527638190955</v>
      </c>
      <c r="AF428" s="14">
        <v>46.73130193905817</v>
      </c>
      <c r="AG428" s="15">
        <v>0.82078262037878091</v>
      </c>
      <c r="AH428" s="15">
        <v>0.82178166057169988</v>
      </c>
      <c r="AI428" s="15">
        <v>1.043431760892497</v>
      </c>
      <c r="AJ428" s="41">
        <f t="shared" si="12"/>
        <v>107.43</v>
      </c>
      <c r="AK428" s="44">
        <f t="shared" si="13"/>
        <v>11.046954314720811</v>
      </c>
      <c r="AL428" s="10"/>
      <c r="AM428" s="10"/>
    </row>
    <row r="429" spans="1:39" s="16" customFormat="1" ht="19" customHeight="1">
      <c r="A429" s="29" t="s">
        <v>490</v>
      </c>
      <c r="B429" s="29" t="s">
        <v>1364</v>
      </c>
      <c r="C429" s="29"/>
      <c r="D429" s="29"/>
      <c r="E429" s="30" t="s">
        <v>183</v>
      </c>
      <c r="F429" s="30" t="s">
        <v>249</v>
      </c>
      <c r="G429" s="31" t="s">
        <v>439</v>
      </c>
      <c r="H429" s="32">
        <v>5.6000000000000001E-2</v>
      </c>
      <c r="I429" s="33">
        <v>0.13100000000000001</v>
      </c>
      <c r="J429" s="34">
        <v>5.51</v>
      </c>
      <c r="K429" s="26">
        <v>17.670000000000002</v>
      </c>
      <c r="L429" s="26">
        <v>2.59</v>
      </c>
      <c r="M429" s="32">
        <v>452.2</v>
      </c>
      <c r="N429" s="26">
        <v>14.5</v>
      </c>
      <c r="O429" s="26">
        <v>4.0599999999999996</v>
      </c>
      <c r="P429" s="26">
        <v>1.8340000000000001</v>
      </c>
      <c r="Q429" s="26">
        <v>5.71</v>
      </c>
      <c r="R429" s="26">
        <v>0.58199999999999996</v>
      </c>
      <c r="S429" s="13">
        <v>3.79</v>
      </c>
      <c r="T429" s="26">
        <v>21.84</v>
      </c>
      <c r="U429" s="13">
        <v>0.747</v>
      </c>
      <c r="V429" s="13">
        <v>1.92</v>
      </c>
      <c r="W429" s="13">
        <v>0.247</v>
      </c>
      <c r="X429" s="13">
        <v>1.47</v>
      </c>
      <c r="Y429" s="26">
        <v>0.23300000000000001</v>
      </c>
      <c r="Z429" s="32">
        <v>179.9</v>
      </c>
      <c r="AA429" s="13"/>
      <c r="AB429" s="13"/>
      <c r="AC429" s="14">
        <v>27.432432432432432</v>
      </c>
      <c r="AD429" s="14">
        <v>32.575488454706928</v>
      </c>
      <c r="AE429" s="14">
        <v>28.693467336683415</v>
      </c>
      <c r="AF429" s="14">
        <v>16.121883656509695</v>
      </c>
      <c r="AG429" s="15">
        <v>1.1608005782967279</v>
      </c>
      <c r="AH429" s="15">
        <v>1.1610936808945422</v>
      </c>
      <c r="AI429" s="15">
        <v>1.417673202638531</v>
      </c>
      <c r="AJ429" s="41">
        <f t="shared" si="12"/>
        <v>40.269999999999996</v>
      </c>
      <c r="AK429" s="44">
        <f t="shared" si="13"/>
        <v>20.705128205128204</v>
      </c>
      <c r="AL429" s="10"/>
      <c r="AM429" s="10"/>
    </row>
    <row r="430" spans="1:39" s="16" customFormat="1" ht="19" customHeight="1">
      <c r="A430" s="29" t="s">
        <v>491</v>
      </c>
      <c r="B430" s="29" t="s">
        <v>1364</v>
      </c>
      <c r="C430" s="29"/>
      <c r="D430" s="29"/>
      <c r="E430" s="30" t="s">
        <v>183</v>
      </c>
      <c r="F430" s="30" t="s">
        <v>249</v>
      </c>
      <c r="G430" s="31" t="s">
        <v>439</v>
      </c>
      <c r="H430" s="32">
        <v>1.26</v>
      </c>
      <c r="I430" s="33">
        <v>0.67500000000000004</v>
      </c>
      <c r="J430" s="34">
        <v>9.18</v>
      </c>
      <c r="K430" s="26">
        <v>29.4</v>
      </c>
      <c r="L430" s="26">
        <v>4.53</v>
      </c>
      <c r="M430" s="32">
        <v>477.2</v>
      </c>
      <c r="N430" s="26">
        <v>23.6</v>
      </c>
      <c r="O430" s="26">
        <v>6.54</v>
      </c>
      <c r="P430" s="26">
        <v>2.48</v>
      </c>
      <c r="Q430" s="26">
        <v>10.95</v>
      </c>
      <c r="R430" s="26">
        <v>1.2889999999999999</v>
      </c>
      <c r="S430" s="13">
        <v>9.6999999999999993</v>
      </c>
      <c r="T430" s="26">
        <v>80</v>
      </c>
      <c r="U430" s="13">
        <v>2.69</v>
      </c>
      <c r="V430" s="13">
        <v>8.44</v>
      </c>
      <c r="W430" s="13">
        <v>1.26</v>
      </c>
      <c r="X430" s="13">
        <v>7.54</v>
      </c>
      <c r="Y430" s="26">
        <v>1.292</v>
      </c>
      <c r="Z430" s="32">
        <v>336.2</v>
      </c>
      <c r="AA430" s="13"/>
      <c r="AB430" s="13"/>
      <c r="AC430" s="14">
        <v>44.189189189189193</v>
      </c>
      <c r="AD430" s="14">
        <v>44.049733570159859</v>
      </c>
      <c r="AE430" s="14">
        <v>55.0251256281407</v>
      </c>
      <c r="AF430" s="14">
        <v>35.70637119113573</v>
      </c>
      <c r="AG430" s="15">
        <v>0.88797133057387467</v>
      </c>
      <c r="AH430" s="15">
        <v>0.89331525026556657</v>
      </c>
      <c r="AI430" s="15">
        <v>1.0702470161657152</v>
      </c>
      <c r="AJ430" s="41">
        <f t="shared" si="12"/>
        <v>66.710000000000008</v>
      </c>
      <c r="AK430" s="44">
        <f t="shared" si="13"/>
        <v>5.9649999999999999</v>
      </c>
      <c r="AL430" s="10"/>
      <c r="AM430" s="10"/>
    </row>
    <row r="431" spans="1:39" s="16" customFormat="1" ht="19" customHeight="1">
      <c r="A431" s="29" t="s">
        <v>492</v>
      </c>
      <c r="B431" s="29" t="s">
        <v>1364</v>
      </c>
      <c r="C431" s="29"/>
      <c r="D431" s="29"/>
      <c r="E431" s="30" t="s">
        <v>183</v>
      </c>
      <c r="F431" s="30" t="s">
        <v>249</v>
      </c>
      <c r="G431" s="31" t="s">
        <v>439</v>
      </c>
      <c r="H431" s="32">
        <v>1.827</v>
      </c>
      <c r="I431" s="33">
        <v>0.81699999999999995</v>
      </c>
      <c r="J431" s="34">
        <v>10.7</v>
      </c>
      <c r="K431" s="26">
        <v>38.5</v>
      </c>
      <c r="L431" s="26">
        <v>6.74</v>
      </c>
      <c r="M431" s="32">
        <v>400</v>
      </c>
      <c r="N431" s="26">
        <v>40.1</v>
      </c>
      <c r="O431" s="26">
        <v>12.18</v>
      </c>
      <c r="P431" s="26">
        <v>4.22</v>
      </c>
      <c r="Q431" s="26">
        <v>18.86</v>
      </c>
      <c r="R431" s="26">
        <v>2.36</v>
      </c>
      <c r="S431" s="13">
        <v>19.77</v>
      </c>
      <c r="T431" s="26">
        <v>152.30000000000001</v>
      </c>
      <c r="U431" s="13">
        <v>5.21</v>
      </c>
      <c r="V431" s="13">
        <v>16.940000000000001</v>
      </c>
      <c r="W431" s="13">
        <v>2.202</v>
      </c>
      <c r="X431" s="13">
        <v>13.67</v>
      </c>
      <c r="Y431" s="26">
        <v>2.1890000000000001</v>
      </c>
      <c r="Z431" s="32">
        <v>319.5</v>
      </c>
      <c r="AA431" s="13"/>
      <c r="AB431" s="13"/>
      <c r="AC431" s="14">
        <v>82.297297297297305</v>
      </c>
      <c r="AD431" s="14">
        <v>74.955595026642982</v>
      </c>
      <c r="AE431" s="14">
        <v>94.773869346733662</v>
      </c>
      <c r="AF431" s="14">
        <v>65.373961218836556</v>
      </c>
      <c r="AG431" s="15">
        <v>0.84661547610772148</v>
      </c>
      <c r="AH431" s="15">
        <v>0.84872493891479439</v>
      </c>
      <c r="AI431" s="15">
        <v>0.9834344265800844</v>
      </c>
      <c r="AJ431" s="41">
        <f t="shared" si="12"/>
        <v>96.04</v>
      </c>
      <c r="AK431" s="44">
        <f t="shared" si="13"/>
        <v>2.6263952724885091</v>
      </c>
      <c r="AL431" s="10"/>
      <c r="AM431" s="10"/>
    </row>
    <row r="432" spans="1:39" s="16" customFormat="1" ht="19" customHeight="1">
      <c r="A432" s="29" t="s">
        <v>493</v>
      </c>
      <c r="B432" s="29" t="s">
        <v>1364</v>
      </c>
      <c r="C432" s="29"/>
      <c r="D432" s="29"/>
      <c r="E432" s="30" t="s">
        <v>183</v>
      </c>
      <c r="F432" s="30" t="s">
        <v>249</v>
      </c>
      <c r="G432" s="31" t="s">
        <v>439</v>
      </c>
      <c r="H432" s="32">
        <v>2.93E-2</v>
      </c>
      <c r="I432" s="33">
        <v>0.108</v>
      </c>
      <c r="J432" s="34">
        <v>7.42</v>
      </c>
      <c r="K432" s="26">
        <v>24.01</v>
      </c>
      <c r="L432" s="26">
        <v>3.79</v>
      </c>
      <c r="M432" s="32">
        <v>498.4</v>
      </c>
      <c r="N432" s="26">
        <v>21.81</v>
      </c>
      <c r="O432" s="26">
        <v>6.08</v>
      </c>
      <c r="P432" s="26">
        <v>2.09</v>
      </c>
      <c r="Q432" s="26">
        <v>8.9499999999999993</v>
      </c>
      <c r="R432" s="26">
        <v>0.81</v>
      </c>
      <c r="S432" s="13">
        <v>4.45</v>
      </c>
      <c r="T432" s="26">
        <v>24.52</v>
      </c>
      <c r="U432" s="13">
        <v>0.86599999999999999</v>
      </c>
      <c r="V432" s="13">
        <v>2.1</v>
      </c>
      <c r="W432" s="13">
        <v>0.28799999999999998</v>
      </c>
      <c r="X432" s="13">
        <v>1.66</v>
      </c>
      <c r="Y432" s="26">
        <v>0.26500000000000001</v>
      </c>
      <c r="Z432" s="32">
        <v>226.2</v>
      </c>
      <c r="AA432" s="13"/>
      <c r="AB432" s="13"/>
      <c r="AC432" s="14">
        <v>41.081081081081081</v>
      </c>
      <c r="AD432" s="14">
        <v>37.122557726465367</v>
      </c>
      <c r="AE432" s="14">
        <v>44.974874371859293</v>
      </c>
      <c r="AF432" s="14">
        <v>22.437673130193907</v>
      </c>
      <c r="AG432" s="15">
        <v>0.8627539495919212</v>
      </c>
      <c r="AH432" s="15">
        <v>0.86363847102810998</v>
      </c>
      <c r="AI432" s="15">
        <v>1.1054795417428767</v>
      </c>
      <c r="AJ432" s="41">
        <f t="shared" si="12"/>
        <v>57.03</v>
      </c>
      <c r="AK432" s="44">
        <f t="shared" si="13"/>
        <v>20.326264274061991</v>
      </c>
      <c r="AL432" s="10"/>
      <c r="AM432" s="10"/>
    </row>
    <row r="433" spans="1:39" s="16" customFormat="1" ht="19" customHeight="1">
      <c r="A433" s="29" t="s">
        <v>494</v>
      </c>
      <c r="B433" s="29" t="s">
        <v>1364</v>
      </c>
      <c r="C433" s="29"/>
      <c r="D433" s="29"/>
      <c r="E433" s="30" t="s">
        <v>183</v>
      </c>
      <c r="F433" s="30" t="s">
        <v>249</v>
      </c>
      <c r="G433" s="31" t="s">
        <v>439</v>
      </c>
      <c r="H433" s="32">
        <v>8.1000000000000003E-2</v>
      </c>
      <c r="I433" s="33">
        <v>0.108</v>
      </c>
      <c r="J433" s="34">
        <v>6.28</v>
      </c>
      <c r="K433" s="26">
        <v>21.3</v>
      </c>
      <c r="L433" s="26">
        <v>3.63</v>
      </c>
      <c r="M433" s="32">
        <v>455.9</v>
      </c>
      <c r="N433" s="26">
        <v>19.8</v>
      </c>
      <c r="O433" s="26">
        <v>6.19</v>
      </c>
      <c r="P433" s="26">
        <v>2.29</v>
      </c>
      <c r="Q433" s="26">
        <v>9.9</v>
      </c>
      <c r="R433" s="26">
        <v>1.0389999999999999</v>
      </c>
      <c r="S433" s="13">
        <v>5.58</v>
      </c>
      <c r="T433" s="26">
        <v>30.1</v>
      </c>
      <c r="U433" s="13">
        <v>1.105</v>
      </c>
      <c r="V433" s="13">
        <v>2.77</v>
      </c>
      <c r="W433" s="13">
        <v>0.34699999999999998</v>
      </c>
      <c r="X433" s="13">
        <v>1.98</v>
      </c>
      <c r="Y433" s="26">
        <v>0.33100000000000002</v>
      </c>
      <c r="Z433" s="32">
        <v>170.4</v>
      </c>
      <c r="AA433" s="13"/>
      <c r="AB433" s="13"/>
      <c r="AC433" s="14">
        <v>41.82432432432433</v>
      </c>
      <c r="AD433" s="14">
        <v>40.674955595026645</v>
      </c>
      <c r="AE433" s="14">
        <v>49.748743718592962</v>
      </c>
      <c r="AF433" s="14">
        <v>28.781163434903046</v>
      </c>
      <c r="AG433" s="15">
        <v>0.88836066027543437</v>
      </c>
      <c r="AH433" s="15">
        <v>0.89170573863191627</v>
      </c>
      <c r="AI433" s="15">
        <v>1.1015520338567371</v>
      </c>
      <c r="AJ433" s="41">
        <f t="shared" si="12"/>
        <v>51.010000000000005</v>
      </c>
      <c r="AK433" s="44">
        <f t="shared" si="13"/>
        <v>15.146179401993354</v>
      </c>
      <c r="AL433" s="10"/>
      <c r="AM433" s="10"/>
    </row>
    <row r="434" spans="1:39" s="16" customFormat="1" ht="19" customHeight="1">
      <c r="A434" s="29" t="s">
        <v>495</v>
      </c>
      <c r="B434" s="29" t="s">
        <v>1364</v>
      </c>
      <c r="C434" s="29"/>
      <c r="D434" s="29"/>
      <c r="E434" s="30" t="s">
        <v>183</v>
      </c>
      <c r="F434" s="30" t="s">
        <v>249</v>
      </c>
      <c r="G434" s="31" t="s">
        <v>439</v>
      </c>
      <c r="H434" s="32">
        <v>0.08</v>
      </c>
      <c r="I434" s="33">
        <v>8.1000000000000003E-2</v>
      </c>
      <c r="J434" s="34">
        <v>6.23</v>
      </c>
      <c r="K434" s="26">
        <v>14.04</v>
      </c>
      <c r="L434" s="26">
        <v>1.829</v>
      </c>
      <c r="M434" s="32">
        <v>471.9</v>
      </c>
      <c r="N434" s="26">
        <v>8.9700000000000006</v>
      </c>
      <c r="O434" s="26">
        <v>2.15</v>
      </c>
      <c r="P434" s="26">
        <v>1.024</v>
      </c>
      <c r="Q434" s="26">
        <v>3.27</v>
      </c>
      <c r="R434" s="26">
        <v>0.29899999999999999</v>
      </c>
      <c r="S434" s="13">
        <v>1.86</v>
      </c>
      <c r="T434" s="26">
        <v>11.57</v>
      </c>
      <c r="U434" s="13">
        <v>0.35099999999999998</v>
      </c>
      <c r="V434" s="13">
        <v>1.097</v>
      </c>
      <c r="W434" s="13">
        <v>0.126</v>
      </c>
      <c r="X434" s="13">
        <v>0.98599999999999999</v>
      </c>
      <c r="Y434" s="26">
        <v>0.13900000000000001</v>
      </c>
      <c r="Z434" s="32">
        <v>183.8</v>
      </c>
      <c r="AA434" s="13"/>
      <c r="AB434" s="13"/>
      <c r="AC434" s="14">
        <v>14.527027027027026</v>
      </c>
      <c r="AD434" s="14">
        <v>18.18827708703375</v>
      </c>
      <c r="AE434" s="14">
        <v>16.4321608040201</v>
      </c>
      <c r="AF434" s="14">
        <v>8.2825484764542932</v>
      </c>
      <c r="AG434" s="15">
        <v>1.1749841233750848</v>
      </c>
      <c r="AH434" s="15">
        <v>1.1772151739873391</v>
      </c>
      <c r="AI434" s="15">
        <v>1.5099146656977855</v>
      </c>
      <c r="AJ434" s="41">
        <f t="shared" si="12"/>
        <v>31.069000000000003</v>
      </c>
      <c r="AK434" s="44">
        <f t="shared" si="13"/>
        <v>40.786516853932582</v>
      </c>
      <c r="AL434" s="10"/>
      <c r="AM434" s="10"/>
    </row>
    <row r="435" spans="1:39" s="16" customFormat="1" ht="19" customHeight="1">
      <c r="A435" s="29" t="s">
        <v>496</v>
      </c>
      <c r="B435" s="29" t="s">
        <v>1364</v>
      </c>
      <c r="C435" s="29"/>
      <c r="D435" s="29"/>
      <c r="E435" s="30" t="s">
        <v>183</v>
      </c>
      <c r="F435" s="30" t="s">
        <v>249</v>
      </c>
      <c r="G435" s="31" t="s">
        <v>439</v>
      </c>
      <c r="H435" s="32">
        <v>2.9000000000000001E-2</v>
      </c>
      <c r="I435" s="33">
        <v>7.1999999999999995E-2</v>
      </c>
      <c r="J435" s="34">
        <v>4.3899999999999997</v>
      </c>
      <c r="K435" s="26">
        <v>15.32</v>
      </c>
      <c r="L435" s="26">
        <v>2.84</v>
      </c>
      <c r="M435" s="32">
        <v>467.7</v>
      </c>
      <c r="N435" s="26">
        <v>16.809999999999999</v>
      </c>
      <c r="O435" s="26">
        <v>5.64</v>
      </c>
      <c r="P435" s="26">
        <v>2.0699999999999998</v>
      </c>
      <c r="Q435" s="26">
        <v>9.92</v>
      </c>
      <c r="R435" s="26">
        <v>1.0169999999999999</v>
      </c>
      <c r="S435" s="13">
        <v>7.92</v>
      </c>
      <c r="T435" s="26">
        <v>55</v>
      </c>
      <c r="U435" s="13">
        <v>1.966</v>
      </c>
      <c r="V435" s="13">
        <v>5.96</v>
      </c>
      <c r="W435" s="13">
        <v>0.72099999999999997</v>
      </c>
      <c r="X435" s="13">
        <v>3.71</v>
      </c>
      <c r="Y435" s="26">
        <v>0.59899999999999998</v>
      </c>
      <c r="Z435" s="32">
        <v>208.4</v>
      </c>
      <c r="AA435" s="13"/>
      <c r="AB435" s="13"/>
      <c r="AC435" s="14">
        <v>38.108108108108105</v>
      </c>
      <c r="AD435" s="14">
        <v>36.767317939609235</v>
      </c>
      <c r="AE435" s="14">
        <v>49.849246231155774</v>
      </c>
      <c r="AF435" s="14">
        <v>28.171745152354568</v>
      </c>
      <c r="AG435" s="15">
        <v>0.83602600864488319</v>
      </c>
      <c r="AH435" s="15">
        <v>0.84357550081987731</v>
      </c>
      <c r="AI435" s="15">
        <v>1.0670360884277328</v>
      </c>
      <c r="AJ435" s="41">
        <f t="shared" si="12"/>
        <v>39.36</v>
      </c>
      <c r="AK435" s="44">
        <f t="shared" si="13"/>
        <v>8.5036363636363639</v>
      </c>
      <c r="AL435" s="10"/>
      <c r="AM435" s="10"/>
    </row>
    <row r="436" spans="1:39" s="16" customFormat="1" ht="19" customHeight="1">
      <c r="A436" s="29" t="s">
        <v>497</v>
      </c>
      <c r="B436" s="29" t="s">
        <v>1364</v>
      </c>
      <c r="C436" s="29"/>
      <c r="D436" s="29"/>
      <c r="E436" s="30" t="s">
        <v>183</v>
      </c>
      <c r="F436" s="30" t="s">
        <v>249</v>
      </c>
      <c r="G436" s="31" t="s">
        <v>439</v>
      </c>
      <c r="H436" s="32">
        <v>1.7</v>
      </c>
      <c r="I436" s="33">
        <v>0.45100000000000001</v>
      </c>
      <c r="J436" s="34">
        <v>11.85</v>
      </c>
      <c r="K436" s="26">
        <v>34.799999999999997</v>
      </c>
      <c r="L436" s="26">
        <v>5.78</v>
      </c>
      <c r="M436" s="32">
        <v>463.2</v>
      </c>
      <c r="N436" s="26">
        <v>34.9</v>
      </c>
      <c r="O436" s="26">
        <v>11.08</v>
      </c>
      <c r="P436" s="26">
        <v>3.83</v>
      </c>
      <c r="Q436" s="26">
        <v>18.84</v>
      </c>
      <c r="R436" s="26">
        <v>1.99</v>
      </c>
      <c r="S436" s="13">
        <v>13.68</v>
      </c>
      <c r="T436" s="26">
        <v>90.4</v>
      </c>
      <c r="U436" s="13">
        <v>3.29</v>
      </c>
      <c r="V436" s="13">
        <v>9.8699999999999992</v>
      </c>
      <c r="W436" s="13">
        <v>1.389</v>
      </c>
      <c r="X436" s="13">
        <v>7.46</v>
      </c>
      <c r="Y436" s="26">
        <v>1.238</v>
      </c>
      <c r="Z436" s="32">
        <v>197.6</v>
      </c>
      <c r="AA436" s="13"/>
      <c r="AB436" s="13"/>
      <c r="AC436" s="14">
        <v>74.86486486486487</v>
      </c>
      <c r="AD436" s="14">
        <v>68.028419182948497</v>
      </c>
      <c r="AE436" s="14">
        <v>94.673366834170849</v>
      </c>
      <c r="AF436" s="14">
        <v>55.124653739612185</v>
      </c>
      <c r="AG436" s="15">
        <v>0.80251419990875628</v>
      </c>
      <c r="AH436" s="15">
        <v>0.80804853197247273</v>
      </c>
      <c r="AI436" s="15">
        <v>1.0062897703502707</v>
      </c>
      <c r="AJ436" s="41">
        <f t="shared" si="12"/>
        <v>87.33</v>
      </c>
      <c r="AK436" s="44">
        <f t="shared" si="13"/>
        <v>5.1238938053097343</v>
      </c>
      <c r="AL436" s="10"/>
      <c r="AM436" s="10"/>
    </row>
    <row r="437" spans="1:39" s="16" customFormat="1" ht="19" customHeight="1">
      <c r="A437" s="29" t="s">
        <v>498</v>
      </c>
      <c r="B437" s="29" t="s">
        <v>1364</v>
      </c>
      <c r="C437" s="29"/>
      <c r="D437" s="29"/>
      <c r="E437" s="30" t="s">
        <v>183</v>
      </c>
      <c r="F437" s="30" t="s">
        <v>249</v>
      </c>
      <c r="G437" s="31" t="s">
        <v>439</v>
      </c>
      <c r="H437" s="32">
        <v>5.1999999999999998E-2</v>
      </c>
      <c r="I437" s="33">
        <v>0.55300000000000005</v>
      </c>
      <c r="J437" s="34">
        <v>7.41</v>
      </c>
      <c r="K437" s="26">
        <v>20.18</v>
      </c>
      <c r="L437" s="26">
        <v>2.9</v>
      </c>
      <c r="M437" s="32">
        <v>406.1</v>
      </c>
      <c r="N437" s="26">
        <v>16.100000000000001</v>
      </c>
      <c r="O437" s="26">
        <v>4.62</v>
      </c>
      <c r="P437" s="26">
        <v>1.07</v>
      </c>
      <c r="Q437" s="26">
        <v>7.2</v>
      </c>
      <c r="R437" s="26">
        <v>0.70599999999999996</v>
      </c>
      <c r="S437" s="13">
        <v>4.55</v>
      </c>
      <c r="T437" s="26">
        <v>24.64</v>
      </c>
      <c r="U437" s="13">
        <v>0.91400000000000003</v>
      </c>
      <c r="V437" s="13">
        <v>2.35</v>
      </c>
      <c r="W437" s="13">
        <v>0.26100000000000001</v>
      </c>
      <c r="X437" s="13">
        <v>1.65</v>
      </c>
      <c r="Y437" s="26">
        <v>0.29199999999999998</v>
      </c>
      <c r="Z437" s="32">
        <v>283.89999999999998</v>
      </c>
      <c r="AA437" s="13"/>
      <c r="AB437" s="13"/>
      <c r="AC437" s="14">
        <v>31.216216216216218</v>
      </c>
      <c r="AD437" s="14">
        <v>19.005328596802844</v>
      </c>
      <c r="AE437" s="14">
        <v>36.180904522613062</v>
      </c>
      <c r="AF437" s="14">
        <v>19.556786703601105</v>
      </c>
      <c r="AG437" s="15">
        <v>0.56398043086886263</v>
      </c>
      <c r="AH437" s="15">
        <v>0.56551684108992972</v>
      </c>
      <c r="AI437" s="15">
        <v>0.71152370982703028</v>
      </c>
      <c r="AJ437" s="41">
        <f t="shared" si="12"/>
        <v>46.59</v>
      </c>
      <c r="AK437" s="44">
        <f t="shared" si="13"/>
        <v>16.481331168831169</v>
      </c>
      <c r="AL437" s="10"/>
      <c r="AM437" s="10"/>
    </row>
    <row r="438" spans="1:39" s="16" customFormat="1" ht="19" customHeight="1">
      <c r="A438" s="29" t="s">
        <v>499</v>
      </c>
      <c r="B438" s="29" t="s">
        <v>1364</v>
      </c>
      <c r="C438" s="29"/>
      <c r="D438" s="29"/>
      <c r="E438" s="30" t="s">
        <v>183</v>
      </c>
      <c r="F438" s="30" t="s">
        <v>249</v>
      </c>
      <c r="G438" s="31" t="s">
        <v>439</v>
      </c>
      <c r="H438" s="32">
        <v>0.91</v>
      </c>
      <c r="I438" s="33">
        <v>0.376</v>
      </c>
      <c r="J438" s="34">
        <v>9.2200000000000006</v>
      </c>
      <c r="K438" s="26">
        <v>33.1</v>
      </c>
      <c r="L438" s="26">
        <v>5.77</v>
      </c>
      <c r="M438" s="32">
        <v>498.2</v>
      </c>
      <c r="N438" s="26">
        <v>35.4</v>
      </c>
      <c r="O438" s="26">
        <v>11.38</v>
      </c>
      <c r="P438" s="26">
        <v>3.56</v>
      </c>
      <c r="Q438" s="26">
        <v>17.8</v>
      </c>
      <c r="R438" s="26">
        <v>1.66</v>
      </c>
      <c r="S438" s="13">
        <v>8.1999999999999993</v>
      </c>
      <c r="T438" s="26">
        <v>30.6</v>
      </c>
      <c r="U438" s="13">
        <v>1.1919999999999999</v>
      </c>
      <c r="V438" s="13">
        <v>2.4300000000000002</v>
      </c>
      <c r="W438" s="13">
        <v>0.22900000000000001</v>
      </c>
      <c r="X438" s="13">
        <v>1.18</v>
      </c>
      <c r="Y438" s="26">
        <v>0.20399999999999999</v>
      </c>
      <c r="Z438" s="32">
        <v>157.4</v>
      </c>
      <c r="AA438" s="13"/>
      <c r="AB438" s="13"/>
      <c r="AC438" s="14">
        <v>76.891891891891902</v>
      </c>
      <c r="AD438" s="14">
        <v>63.232682060390772</v>
      </c>
      <c r="AE438" s="14">
        <v>89.447236180904525</v>
      </c>
      <c r="AF438" s="14">
        <v>45.983379501385038</v>
      </c>
      <c r="AG438" s="15">
        <v>0.7602863234045294</v>
      </c>
      <c r="AH438" s="15">
        <v>0.76246140815624852</v>
      </c>
      <c r="AI438" s="15">
        <v>0.97608493561097731</v>
      </c>
      <c r="AJ438" s="41">
        <f t="shared" si="12"/>
        <v>83.490000000000009</v>
      </c>
      <c r="AK438" s="44">
        <f t="shared" si="13"/>
        <v>16.281045751633986</v>
      </c>
      <c r="AL438" s="10"/>
      <c r="AM438" s="10"/>
    </row>
    <row r="439" spans="1:39" s="16" customFormat="1" ht="19" customHeight="1">
      <c r="A439" s="29" t="s">
        <v>500</v>
      </c>
      <c r="B439" s="29" t="s">
        <v>1364</v>
      </c>
      <c r="C439" s="29"/>
      <c r="D439" s="29"/>
      <c r="E439" s="30" t="s">
        <v>183</v>
      </c>
      <c r="F439" s="30" t="s">
        <v>249</v>
      </c>
      <c r="G439" s="31" t="s">
        <v>439</v>
      </c>
      <c r="H439" s="32">
        <v>6.0999999999999999E-2</v>
      </c>
      <c r="I439" s="33">
        <v>6.4600000000000005E-2</v>
      </c>
      <c r="J439" s="34">
        <v>4.3899999999999997</v>
      </c>
      <c r="K439" s="26">
        <v>16.23</v>
      </c>
      <c r="L439" s="26">
        <v>2.87</v>
      </c>
      <c r="M439" s="32">
        <v>483.3</v>
      </c>
      <c r="N439" s="26">
        <v>17.5</v>
      </c>
      <c r="O439" s="26">
        <v>6.4</v>
      </c>
      <c r="P439" s="26">
        <v>2.37</v>
      </c>
      <c r="Q439" s="26">
        <v>13.26</v>
      </c>
      <c r="R439" s="26">
        <v>1.4319999999999999</v>
      </c>
      <c r="S439" s="13">
        <v>8.23</v>
      </c>
      <c r="T439" s="26">
        <v>34.4</v>
      </c>
      <c r="U439" s="13">
        <v>1.2869999999999999</v>
      </c>
      <c r="V439" s="13">
        <v>2.5499999999999998</v>
      </c>
      <c r="W439" s="13">
        <v>0.18099999999999999</v>
      </c>
      <c r="X439" s="13">
        <v>0.9</v>
      </c>
      <c r="Y439" s="26">
        <v>0.10199999999999999</v>
      </c>
      <c r="Z439" s="32">
        <v>139.9</v>
      </c>
      <c r="AA439" s="13"/>
      <c r="AB439" s="13"/>
      <c r="AC439" s="14">
        <v>43.243243243243249</v>
      </c>
      <c r="AD439" s="14">
        <v>42.095914742451157</v>
      </c>
      <c r="AE439" s="14">
        <v>66.633165829145725</v>
      </c>
      <c r="AF439" s="14">
        <v>39.667590027700832</v>
      </c>
      <c r="AG439" s="15">
        <v>0.76624118130248409</v>
      </c>
      <c r="AH439" s="15">
        <v>0.78421581810711283</v>
      </c>
      <c r="AI439" s="15">
        <v>1.0018803071389346</v>
      </c>
      <c r="AJ439" s="41">
        <f t="shared" si="12"/>
        <v>40.99</v>
      </c>
      <c r="AK439" s="44">
        <f t="shared" si="13"/>
        <v>14.049418604651164</v>
      </c>
      <c r="AL439" s="10"/>
      <c r="AM439" s="10"/>
    </row>
    <row r="440" spans="1:39" s="16" customFormat="1" ht="19" customHeight="1">
      <c r="A440" s="29" t="s">
        <v>501</v>
      </c>
      <c r="B440" s="29" t="s">
        <v>1364</v>
      </c>
      <c r="C440" s="29"/>
      <c r="D440" s="29"/>
      <c r="E440" s="30" t="s">
        <v>183</v>
      </c>
      <c r="F440" s="30" t="s">
        <v>249</v>
      </c>
      <c r="G440" s="31" t="s">
        <v>439</v>
      </c>
      <c r="H440" s="32">
        <v>0.112</v>
      </c>
      <c r="I440" s="33">
        <v>0.76</v>
      </c>
      <c r="J440" s="34">
        <v>8.48</v>
      </c>
      <c r="K440" s="26">
        <v>19.91</v>
      </c>
      <c r="L440" s="26">
        <v>2.41</v>
      </c>
      <c r="M440" s="32">
        <v>423.8</v>
      </c>
      <c r="N440" s="26">
        <v>12.15</v>
      </c>
      <c r="O440" s="26">
        <v>3.1</v>
      </c>
      <c r="P440" s="26">
        <v>0.90400000000000003</v>
      </c>
      <c r="Q440" s="26">
        <v>5.59</v>
      </c>
      <c r="R440" s="26">
        <v>0.51700000000000002</v>
      </c>
      <c r="S440" s="13">
        <v>3.38</v>
      </c>
      <c r="T440" s="26">
        <v>18.899999999999999</v>
      </c>
      <c r="U440" s="13">
        <v>0.70599999999999996</v>
      </c>
      <c r="V440" s="13">
        <v>1.82</v>
      </c>
      <c r="W440" s="13">
        <v>0.26</v>
      </c>
      <c r="X440" s="13">
        <v>1.71</v>
      </c>
      <c r="Y440" s="26">
        <v>0.30099999999999999</v>
      </c>
      <c r="Z440" s="32">
        <v>320.60000000000002</v>
      </c>
      <c r="AA440" s="13"/>
      <c r="AB440" s="13"/>
      <c r="AC440" s="14">
        <v>20.945945945945947</v>
      </c>
      <c r="AD440" s="14">
        <v>16.056838365896983</v>
      </c>
      <c r="AE440" s="14">
        <v>28.090452261306531</v>
      </c>
      <c r="AF440" s="14">
        <v>14.321329639889196</v>
      </c>
      <c r="AG440" s="15">
        <v>0.6548946885549265</v>
      </c>
      <c r="AH440" s="15">
        <v>0.66195837423554382</v>
      </c>
      <c r="AI440" s="15">
        <v>0.87015964109270494</v>
      </c>
      <c r="AJ440" s="41">
        <f t="shared" si="12"/>
        <v>42.95</v>
      </c>
      <c r="AK440" s="44">
        <f t="shared" si="13"/>
        <v>22.423280423280424</v>
      </c>
      <c r="AL440" s="10"/>
      <c r="AM440" s="10"/>
    </row>
    <row r="441" spans="1:39" s="16" customFormat="1" ht="19" customHeight="1">
      <c r="A441" s="29" t="s">
        <v>502</v>
      </c>
      <c r="B441" s="29" t="s">
        <v>1364</v>
      </c>
      <c r="C441" s="29"/>
      <c r="D441" s="29"/>
      <c r="E441" s="30" t="s">
        <v>183</v>
      </c>
      <c r="F441" s="30" t="s">
        <v>249</v>
      </c>
      <c r="G441" s="31" t="s">
        <v>439</v>
      </c>
      <c r="H441" s="32">
        <v>2.1</v>
      </c>
      <c r="I441" s="33">
        <v>0.875</v>
      </c>
      <c r="J441" s="34">
        <v>13.72</v>
      </c>
      <c r="K441" s="26">
        <v>45.6</v>
      </c>
      <c r="L441" s="26">
        <v>7.12</v>
      </c>
      <c r="M441" s="32">
        <v>415.2</v>
      </c>
      <c r="N441" s="26">
        <v>40.799999999999997</v>
      </c>
      <c r="O441" s="26">
        <v>12.25</v>
      </c>
      <c r="P441" s="26">
        <v>4.29</v>
      </c>
      <c r="Q441" s="26">
        <v>20.100000000000001</v>
      </c>
      <c r="R441" s="26">
        <v>1.87</v>
      </c>
      <c r="S441" s="13">
        <v>9.15</v>
      </c>
      <c r="T441" s="26">
        <v>40.4</v>
      </c>
      <c r="U441" s="13">
        <v>1.56</v>
      </c>
      <c r="V441" s="13">
        <v>3.22</v>
      </c>
      <c r="W441" s="13">
        <v>0.36799999999999999</v>
      </c>
      <c r="X441" s="13">
        <v>2.1800000000000002</v>
      </c>
      <c r="Y441" s="26">
        <v>0.35899999999999999</v>
      </c>
      <c r="Z441" s="32">
        <v>257.10000000000002</v>
      </c>
      <c r="AA441" s="13"/>
      <c r="AB441" s="13"/>
      <c r="AC441" s="14">
        <v>82.770270270270274</v>
      </c>
      <c r="AD441" s="14">
        <v>76.198934280639435</v>
      </c>
      <c r="AE441" s="14">
        <v>101.00502512562814</v>
      </c>
      <c r="AF441" s="14">
        <v>51.800554016620502</v>
      </c>
      <c r="AG441" s="15">
        <v>0.82926199755508689</v>
      </c>
      <c r="AH441" s="15">
        <v>0.8333745241885252</v>
      </c>
      <c r="AI441" s="15">
        <v>1.0762698650320026</v>
      </c>
      <c r="AJ441" s="41">
        <f t="shared" si="12"/>
        <v>107.24</v>
      </c>
      <c r="AK441" s="44">
        <f t="shared" si="13"/>
        <v>10.277227722772277</v>
      </c>
      <c r="AL441" s="10"/>
      <c r="AM441" s="10"/>
    </row>
    <row r="442" spans="1:39" s="16" customFormat="1" ht="19" customHeight="1">
      <c r="A442" s="29" t="s">
        <v>503</v>
      </c>
      <c r="B442" s="29" t="s">
        <v>1364</v>
      </c>
      <c r="C442" s="29"/>
      <c r="D442" s="29"/>
      <c r="E442" s="30" t="s">
        <v>183</v>
      </c>
      <c r="F442" s="30" t="s">
        <v>249</v>
      </c>
      <c r="G442" s="31" t="s">
        <v>439</v>
      </c>
      <c r="H442" s="32">
        <v>0.185</v>
      </c>
      <c r="I442" s="33">
        <v>0.14299999999999999</v>
      </c>
      <c r="J442" s="34">
        <v>10.08</v>
      </c>
      <c r="K442" s="26">
        <v>22.62</v>
      </c>
      <c r="L442" s="26">
        <v>3.42</v>
      </c>
      <c r="M442" s="32">
        <v>485.2</v>
      </c>
      <c r="N442" s="26">
        <v>19.670000000000002</v>
      </c>
      <c r="O442" s="26">
        <v>5.82</v>
      </c>
      <c r="P442" s="26">
        <v>2.31</v>
      </c>
      <c r="Q442" s="26">
        <v>9.36</v>
      </c>
      <c r="R442" s="26">
        <v>0.95899999999999996</v>
      </c>
      <c r="S442" s="13">
        <v>6.54</v>
      </c>
      <c r="T442" s="26">
        <v>42.6</v>
      </c>
      <c r="U442" s="13">
        <v>1.4790000000000001</v>
      </c>
      <c r="V442" s="13">
        <v>4.21</v>
      </c>
      <c r="W442" s="13">
        <v>0.54100000000000004</v>
      </c>
      <c r="X442" s="13">
        <v>3.13</v>
      </c>
      <c r="Y442" s="26">
        <v>0.45400000000000001</v>
      </c>
      <c r="Z442" s="32">
        <v>174.1</v>
      </c>
      <c r="AA442" s="13"/>
      <c r="AB442" s="13"/>
      <c r="AC442" s="14">
        <v>39.32432432432433</v>
      </c>
      <c r="AD442" s="14">
        <v>41.030195381882777</v>
      </c>
      <c r="AE442" s="14">
        <v>47.035175879396981</v>
      </c>
      <c r="AF442" s="14">
        <v>26.565096952908586</v>
      </c>
      <c r="AG442" s="15">
        <v>0.95021845390704907</v>
      </c>
      <c r="AH442" s="15">
        <v>0.95402897346745874</v>
      </c>
      <c r="AI442" s="15">
        <v>1.1891197817631614</v>
      </c>
      <c r="AJ442" s="41">
        <f t="shared" si="12"/>
        <v>55.790000000000006</v>
      </c>
      <c r="AK442" s="44">
        <f t="shared" si="13"/>
        <v>11.389671361502346</v>
      </c>
      <c r="AL442" s="10"/>
      <c r="AM442" s="10"/>
    </row>
    <row r="443" spans="1:39" s="16" customFormat="1" ht="19" customHeight="1">
      <c r="A443" s="29" t="s">
        <v>504</v>
      </c>
      <c r="B443" s="29" t="s">
        <v>1364</v>
      </c>
      <c r="C443" s="29"/>
      <c r="D443" s="29"/>
      <c r="E443" s="30" t="s">
        <v>183</v>
      </c>
      <c r="F443" s="30" t="s">
        <v>249</v>
      </c>
      <c r="G443" s="31" t="s">
        <v>439</v>
      </c>
      <c r="H443" s="32">
        <v>9.7000000000000003E-3</v>
      </c>
      <c r="I443" s="33">
        <v>9.9000000000000005E-2</v>
      </c>
      <c r="J443" s="34">
        <v>4.6399999999999997</v>
      </c>
      <c r="K443" s="26">
        <v>14.18</v>
      </c>
      <c r="L443" s="26">
        <v>2.09</v>
      </c>
      <c r="M443" s="32">
        <v>493.6</v>
      </c>
      <c r="N443" s="26">
        <v>11.55</v>
      </c>
      <c r="O443" s="26">
        <v>3.22</v>
      </c>
      <c r="P443" s="26">
        <v>1.82</v>
      </c>
      <c r="Q443" s="26">
        <v>6.07</v>
      </c>
      <c r="R443" s="26">
        <v>0.66600000000000004</v>
      </c>
      <c r="S443" s="13">
        <v>3.68</v>
      </c>
      <c r="T443" s="26">
        <v>18.27</v>
      </c>
      <c r="U443" s="13">
        <v>0.69599999999999995</v>
      </c>
      <c r="V443" s="13">
        <v>1.31</v>
      </c>
      <c r="W443" s="13">
        <v>0.129</v>
      </c>
      <c r="X443" s="13">
        <v>0.57999999999999996</v>
      </c>
      <c r="Y443" s="26">
        <v>6.4000000000000001E-2</v>
      </c>
      <c r="Z443" s="32">
        <v>159.30000000000001</v>
      </c>
      <c r="AA443" s="13"/>
      <c r="AB443" s="13"/>
      <c r="AC443" s="14">
        <v>21.756756756756758</v>
      </c>
      <c r="AD443" s="14">
        <v>32.326820603907642</v>
      </c>
      <c r="AE443" s="14">
        <v>30.502512562814069</v>
      </c>
      <c r="AF443" s="14">
        <v>18.448753462603879</v>
      </c>
      <c r="AG443" s="15">
        <v>1.237170784238325</v>
      </c>
      <c r="AH443" s="15">
        <v>1.2548681820868202</v>
      </c>
      <c r="AI443" s="15">
        <v>1.5698008020639345</v>
      </c>
      <c r="AJ443" s="41">
        <f t="shared" si="12"/>
        <v>32.46</v>
      </c>
      <c r="AK443" s="44">
        <f t="shared" si="13"/>
        <v>27.016967706622882</v>
      </c>
      <c r="AL443" s="10"/>
      <c r="AM443" s="10"/>
    </row>
    <row r="444" spans="1:39" s="16" customFormat="1" ht="19" customHeight="1">
      <c r="A444" s="29" t="s">
        <v>505</v>
      </c>
      <c r="B444" s="29" t="s">
        <v>1364</v>
      </c>
      <c r="C444" s="29"/>
      <c r="D444" s="29"/>
      <c r="E444" s="30" t="s">
        <v>183</v>
      </c>
      <c r="F444" s="30" t="s">
        <v>249</v>
      </c>
      <c r="G444" s="31" t="s">
        <v>439</v>
      </c>
      <c r="H444" s="32">
        <v>1.21E-2</v>
      </c>
      <c r="I444" s="33">
        <v>8.1000000000000003E-2</v>
      </c>
      <c r="J444" s="34">
        <v>4.2</v>
      </c>
      <c r="K444" s="26">
        <v>13.15</v>
      </c>
      <c r="L444" s="26">
        <v>2</v>
      </c>
      <c r="M444" s="32">
        <v>444.3</v>
      </c>
      <c r="N444" s="26">
        <v>11.44</v>
      </c>
      <c r="O444" s="26">
        <v>3.22</v>
      </c>
      <c r="P444" s="26">
        <v>0.98199999999999998</v>
      </c>
      <c r="Q444" s="26">
        <v>4.9800000000000004</v>
      </c>
      <c r="R444" s="26">
        <v>0.60799999999999998</v>
      </c>
      <c r="S444" s="13">
        <v>4.6399999999999997</v>
      </c>
      <c r="T444" s="26">
        <v>34</v>
      </c>
      <c r="U444" s="13">
        <v>1.2070000000000001</v>
      </c>
      <c r="V444" s="13">
        <v>3.68</v>
      </c>
      <c r="W444" s="13">
        <v>0.45400000000000001</v>
      </c>
      <c r="X444" s="13">
        <v>2.64</v>
      </c>
      <c r="Y444" s="26">
        <v>0.38400000000000001</v>
      </c>
      <c r="Z444" s="32">
        <v>256.7</v>
      </c>
      <c r="AA444" s="13"/>
      <c r="AB444" s="13"/>
      <c r="AC444" s="14">
        <v>21.756756756756758</v>
      </c>
      <c r="AD444" s="14">
        <v>17.442273534635881</v>
      </c>
      <c r="AE444" s="14">
        <v>25.025125628140703</v>
      </c>
      <c r="AF444" s="14">
        <v>16.842105263157894</v>
      </c>
      <c r="AG444" s="15">
        <v>0.74568498082782364</v>
      </c>
      <c r="AH444" s="15">
        <v>0.74751150552769918</v>
      </c>
      <c r="AI444" s="15">
        <v>0.87312186294363558</v>
      </c>
      <c r="AJ444" s="41">
        <f t="shared" si="12"/>
        <v>30.79</v>
      </c>
      <c r="AK444" s="44">
        <f t="shared" si="13"/>
        <v>13.06764705882353</v>
      </c>
      <c r="AL444" s="10"/>
      <c r="AM444" s="10"/>
    </row>
    <row r="445" spans="1:39" s="16" customFormat="1" ht="19" customHeight="1">
      <c r="A445" s="29" t="s">
        <v>506</v>
      </c>
      <c r="B445" s="29" t="s">
        <v>1364</v>
      </c>
      <c r="C445" s="29"/>
      <c r="D445" s="29"/>
      <c r="E445" s="30" t="s">
        <v>183</v>
      </c>
      <c r="F445" s="30" t="s">
        <v>249</v>
      </c>
      <c r="G445" s="31" t="s">
        <v>439</v>
      </c>
      <c r="H445" s="32">
        <v>0.157</v>
      </c>
      <c r="I445" s="33">
        <v>2.7570000000000001</v>
      </c>
      <c r="J445" s="34">
        <v>8.3000000000000007</v>
      </c>
      <c r="K445" s="26">
        <v>24.61</v>
      </c>
      <c r="L445" s="26">
        <v>3.52</v>
      </c>
      <c r="M445" s="32">
        <v>377.9</v>
      </c>
      <c r="N445" s="26">
        <v>18.3</v>
      </c>
      <c r="O445" s="26">
        <v>4.2699999999999996</v>
      </c>
      <c r="P445" s="26">
        <v>1.2350000000000001</v>
      </c>
      <c r="Q445" s="26">
        <v>6.05</v>
      </c>
      <c r="R445" s="26">
        <v>0.74299999999999999</v>
      </c>
      <c r="S445" s="13">
        <v>4.59</v>
      </c>
      <c r="T445" s="26">
        <v>30.38</v>
      </c>
      <c r="U445" s="13">
        <v>0.98399999999999999</v>
      </c>
      <c r="V445" s="13">
        <v>2.93</v>
      </c>
      <c r="W445" s="13">
        <v>0.35699999999999998</v>
      </c>
      <c r="X445" s="13">
        <v>2.4300000000000002</v>
      </c>
      <c r="Y445" s="26">
        <v>0.38300000000000001</v>
      </c>
      <c r="Z445" s="32">
        <v>297.89999999999998</v>
      </c>
      <c r="AA445" s="13"/>
      <c r="AB445" s="13"/>
      <c r="AC445" s="14">
        <v>28.851351351351351</v>
      </c>
      <c r="AD445" s="14">
        <v>21.9360568383659</v>
      </c>
      <c r="AE445" s="14">
        <v>30.402010050251253</v>
      </c>
      <c r="AF445" s="14">
        <v>20.581717451523545</v>
      </c>
      <c r="AG445" s="15">
        <v>0.74041560915639815</v>
      </c>
      <c r="AH445" s="15">
        <v>0.74066928269679089</v>
      </c>
      <c r="AI445" s="15">
        <v>0.85091710235651541</v>
      </c>
      <c r="AJ445" s="41">
        <f t="shared" si="12"/>
        <v>54.730000000000004</v>
      </c>
      <c r="AK445" s="44">
        <f t="shared" si="13"/>
        <v>12.439104674127716</v>
      </c>
      <c r="AL445" s="10"/>
      <c r="AM445" s="10"/>
    </row>
    <row r="446" spans="1:39" s="16" customFormat="1" ht="19" customHeight="1">
      <c r="A446" s="29" t="s">
        <v>507</v>
      </c>
      <c r="B446" s="29" t="s">
        <v>1364</v>
      </c>
      <c r="C446" s="29"/>
      <c r="D446" s="29"/>
      <c r="E446" s="30" t="s">
        <v>183</v>
      </c>
      <c r="F446" s="30" t="s">
        <v>249</v>
      </c>
      <c r="G446" s="31" t="s">
        <v>439</v>
      </c>
      <c r="H446" s="32">
        <v>0.92</v>
      </c>
      <c r="I446" s="33">
        <v>0.73099999999999998</v>
      </c>
      <c r="J446" s="34">
        <v>6.86</v>
      </c>
      <c r="K446" s="26">
        <v>28.3</v>
      </c>
      <c r="L446" s="26">
        <v>5.44</v>
      </c>
      <c r="M446" s="32">
        <v>380.3</v>
      </c>
      <c r="N446" s="26">
        <v>35.1</v>
      </c>
      <c r="O446" s="26">
        <v>11.47</v>
      </c>
      <c r="P446" s="26">
        <v>4.33</v>
      </c>
      <c r="Q446" s="26">
        <v>18</v>
      </c>
      <c r="R446" s="26">
        <v>1.774</v>
      </c>
      <c r="S446" s="13">
        <v>9.8000000000000007</v>
      </c>
      <c r="T446" s="26">
        <v>54.9</v>
      </c>
      <c r="U446" s="13">
        <v>1.91</v>
      </c>
      <c r="V446" s="13">
        <v>5.01</v>
      </c>
      <c r="W446" s="13">
        <v>0.60699999999999998</v>
      </c>
      <c r="X446" s="13">
        <v>3.88</v>
      </c>
      <c r="Y446" s="26">
        <v>0.64700000000000002</v>
      </c>
      <c r="Z446" s="32">
        <v>286.60000000000002</v>
      </c>
      <c r="AA446" s="13"/>
      <c r="AB446" s="13"/>
      <c r="AC446" s="14">
        <v>77.500000000000014</v>
      </c>
      <c r="AD446" s="14">
        <v>76.909413854351698</v>
      </c>
      <c r="AE446" s="14">
        <v>90.452261306532662</v>
      </c>
      <c r="AF446" s="14">
        <v>49.141274238227147</v>
      </c>
      <c r="AG446" s="15">
        <v>0.91584850666562867</v>
      </c>
      <c r="AH446" s="15">
        <v>0.91858412552100477</v>
      </c>
      <c r="AI446" s="15">
        <v>1.1551265397382584</v>
      </c>
      <c r="AJ446" s="41">
        <f t="shared" si="12"/>
        <v>75.7</v>
      </c>
      <c r="AK446" s="44">
        <f t="shared" si="13"/>
        <v>6.9271402550091077</v>
      </c>
      <c r="AL446" s="10"/>
      <c r="AM446" s="10"/>
    </row>
    <row r="447" spans="1:39" s="16" customFormat="1" ht="19" customHeight="1">
      <c r="A447" s="29" t="s">
        <v>508</v>
      </c>
      <c r="B447" s="29" t="s">
        <v>1364</v>
      </c>
      <c r="C447" s="29"/>
      <c r="D447" s="29"/>
      <c r="E447" s="30" t="s">
        <v>183</v>
      </c>
      <c r="F447" s="30" t="s">
        <v>249</v>
      </c>
      <c r="G447" s="31" t="s">
        <v>439</v>
      </c>
      <c r="H447" s="32">
        <v>2.1399999999999999E-2</v>
      </c>
      <c r="I447" s="33">
        <v>9.6000000000000002E-2</v>
      </c>
      <c r="J447" s="34">
        <v>4.55</v>
      </c>
      <c r="K447" s="26">
        <v>13.04</v>
      </c>
      <c r="L447" s="26">
        <v>1.92</v>
      </c>
      <c r="M447" s="32">
        <v>410.4</v>
      </c>
      <c r="N447" s="26">
        <v>9.86</v>
      </c>
      <c r="O447" s="26">
        <v>2.46</v>
      </c>
      <c r="P447" s="26">
        <v>0.96399999999999997</v>
      </c>
      <c r="Q447" s="26">
        <v>3.58</v>
      </c>
      <c r="R447" s="26">
        <v>0.45900000000000002</v>
      </c>
      <c r="S447" s="13">
        <v>2.85</v>
      </c>
      <c r="T447" s="26">
        <v>19.61</v>
      </c>
      <c r="U447" s="13">
        <v>0.59299999999999997</v>
      </c>
      <c r="V447" s="13">
        <v>1.7</v>
      </c>
      <c r="W447" s="13">
        <v>0.23</v>
      </c>
      <c r="X447" s="13">
        <v>1.58</v>
      </c>
      <c r="Y447" s="26">
        <v>0.26200000000000001</v>
      </c>
      <c r="Z447" s="32">
        <v>247.4</v>
      </c>
      <c r="AA447" s="13"/>
      <c r="AB447" s="13"/>
      <c r="AC447" s="14">
        <v>16.621621621621621</v>
      </c>
      <c r="AD447" s="14">
        <v>17.122557726465367</v>
      </c>
      <c r="AE447" s="14">
        <v>17.989949748743719</v>
      </c>
      <c r="AF447" s="14">
        <v>12.714681440443213</v>
      </c>
      <c r="AG447" s="15">
        <v>0.98941232937640133</v>
      </c>
      <c r="AH447" s="15">
        <v>0.99018642504858068</v>
      </c>
      <c r="AI447" s="15">
        <v>1.1263790134485914</v>
      </c>
      <c r="AJ447" s="41">
        <f t="shared" si="12"/>
        <v>29.369999999999997</v>
      </c>
      <c r="AK447" s="44">
        <f t="shared" si="13"/>
        <v>20.928097909229983</v>
      </c>
      <c r="AL447" s="10"/>
      <c r="AM447" s="10"/>
    </row>
    <row r="448" spans="1:39" s="16" customFormat="1" ht="19" customHeight="1">
      <c r="A448" s="29" t="s">
        <v>509</v>
      </c>
      <c r="B448" s="29" t="s">
        <v>1364</v>
      </c>
      <c r="C448" s="29"/>
      <c r="D448" s="29"/>
      <c r="E448" s="30" t="s">
        <v>183</v>
      </c>
      <c r="F448" s="30" t="s">
        <v>249</v>
      </c>
      <c r="G448" s="31" t="s">
        <v>439</v>
      </c>
      <c r="H448" s="32">
        <v>0.46400000000000002</v>
      </c>
      <c r="I448" s="33">
        <v>0.26600000000000001</v>
      </c>
      <c r="J448" s="34">
        <v>7.57</v>
      </c>
      <c r="K448" s="26">
        <v>27.9</v>
      </c>
      <c r="L448" s="26">
        <v>4.8099999999999996</v>
      </c>
      <c r="M448" s="32">
        <v>441.9</v>
      </c>
      <c r="N448" s="26">
        <v>30.3</v>
      </c>
      <c r="O448" s="26">
        <v>10.47</v>
      </c>
      <c r="P448" s="26">
        <v>2.95</v>
      </c>
      <c r="Q448" s="26">
        <v>15.88</v>
      </c>
      <c r="R448" s="26">
        <v>1.5309999999999999</v>
      </c>
      <c r="S448" s="13">
        <v>7.09</v>
      </c>
      <c r="T448" s="26">
        <v>24.3</v>
      </c>
      <c r="U448" s="13">
        <v>1.0009999999999999</v>
      </c>
      <c r="V448" s="13">
        <v>1.78</v>
      </c>
      <c r="W448" s="13">
        <v>0.14000000000000001</v>
      </c>
      <c r="X448" s="13">
        <v>0.78100000000000003</v>
      </c>
      <c r="Y448" s="26">
        <v>0.125</v>
      </c>
      <c r="Z448" s="32">
        <v>178.8</v>
      </c>
      <c r="AA448" s="13"/>
      <c r="AB448" s="13"/>
      <c r="AC448" s="14">
        <v>70.743243243243256</v>
      </c>
      <c r="AD448" s="14">
        <v>52.397868561278869</v>
      </c>
      <c r="AE448" s="14">
        <v>79.798994974874375</v>
      </c>
      <c r="AF448" s="14">
        <v>42.40997229916897</v>
      </c>
      <c r="AG448" s="15">
        <v>0.69612182177550264</v>
      </c>
      <c r="AH448" s="15">
        <v>0.69738471932460389</v>
      </c>
      <c r="AI448" s="15">
        <v>0.87841750315874079</v>
      </c>
      <c r="AJ448" s="41">
        <f t="shared" si="12"/>
        <v>70.58</v>
      </c>
      <c r="AK448" s="44">
        <f t="shared" si="13"/>
        <v>18.185185185185183</v>
      </c>
      <c r="AL448" s="10"/>
      <c r="AM448" s="10"/>
    </row>
    <row r="449" spans="1:39" s="16" customFormat="1" ht="19" customHeight="1">
      <c r="A449" s="29" t="s">
        <v>510</v>
      </c>
      <c r="B449" s="29" t="s">
        <v>1364</v>
      </c>
      <c r="C449" s="29"/>
      <c r="D449" s="29"/>
      <c r="E449" s="30" t="s">
        <v>183</v>
      </c>
      <c r="F449" s="30" t="s">
        <v>249</v>
      </c>
      <c r="G449" s="31" t="s">
        <v>439</v>
      </c>
      <c r="H449" s="32">
        <v>8.8999999999999999E-3</v>
      </c>
      <c r="I449" s="33">
        <v>4.9000000000000002E-2</v>
      </c>
      <c r="J449" s="34">
        <v>4.33</v>
      </c>
      <c r="K449" s="26">
        <v>12.08</v>
      </c>
      <c r="L449" s="26">
        <v>1.677</v>
      </c>
      <c r="M449" s="32">
        <v>406.1</v>
      </c>
      <c r="N449" s="26">
        <v>8.73</v>
      </c>
      <c r="O449" s="26">
        <v>2.2200000000000002</v>
      </c>
      <c r="P449" s="26">
        <v>0.95099999999999996</v>
      </c>
      <c r="Q449" s="26">
        <v>3.87</v>
      </c>
      <c r="R449" s="26">
        <v>0.46700000000000003</v>
      </c>
      <c r="S449" s="13">
        <v>3.4</v>
      </c>
      <c r="T449" s="26">
        <v>24.09</v>
      </c>
      <c r="U449" s="13">
        <v>0.78900000000000003</v>
      </c>
      <c r="V449" s="13">
        <v>2.64</v>
      </c>
      <c r="W449" s="13">
        <v>0.33700000000000002</v>
      </c>
      <c r="X449" s="13">
        <v>2.33</v>
      </c>
      <c r="Y449" s="26">
        <v>0.374</v>
      </c>
      <c r="Z449" s="32">
        <v>228.3</v>
      </c>
      <c r="AA449" s="13"/>
      <c r="AB449" s="13"/>
      <c r="AC449" s="14">
        <v>15.000000000000002</v>
      </c>
      <c r="AD449" s="14">
        <v>16.891651865008882</v>
      </c>
      <c r="AE449" s="14">
        <v>19.447236180904522</v>
      </c>
      <c r="AF449" s="14">
        <v>12.936288088642661</v>
      </c>
      <c r="AG449" s="15">
        <v>0.98072610390569426</v>
      </c>
      <c r="AH449" s="15">
        <v>0.9890028617333958</v>
      </c>
      <c r="AI449" s="15">
        <v>1.1830635025707548</v>
      </c>
      <c r="AJ449" s="41">
        <f t="shared" si="12"/>
        <v>26.817</v>
      </c>
      <c r="AK449" s="44">
        <f t="shared" si="13"/>
        <v>16.857617268576174</v>
      </c>
      <c r="AL449" s="10"/>
      <c r="AM449" s="10"/>
    </row>
    <row r="450" spans="1:39" s="16" customFormat="1" ht="19" customHeight="1">
      <c r="A450" s="29" t="s">
        <v>511</v>
      </c>
      <c r="B450" s="29" t="s">
        <v>1365</v>
      </c>
      <c r="C450" s="29"/>
      <c r="D450" s="29"/>
      <c r="E450" s="30" t="s">
        <v>183</v>
      </c>
      <c r="F450" s="30" t="s">
        <v>249</v>
      </c>
      <c r="G450" s="31" t="s">
        <v>439</v>
      </c>
      <c r="H450" s="35">
        <v>0.32600000000000001</v>
      </c>
      <c r="I450" s="35">
        <v>8.4499999999999993</v>
      </c>
      <c r="J450" s="13">
        <v>26.6</v>
      </c>
      <c r="K450" s="13">
        <v>89.3</v>
      </c>
      <c r="L450" s="13">
        <v>16.8</v>
      </c>
      <c r="M450" s="35">
        <v>194.7</v>
      </c>
      <c r="N450" s="13">
        <v>107.7</v>
      </c>
      <c r="O450" s="13">
        <v>59.7</v>
      </c>
      <c r="P450" s="13">
        <v>10.06</v>
      </c>
      <c r="Q450" s="13">
        <v>155.4</v>
      </c>
      <c r="R450" s="13">
        <v>34</v>
      </c>
      <c r="S450" s="13">
        <v>203.9</v>
      </c>
      <c r="T450" s="13">
        <v>749</v>
      </c>
      <c r="U450" s="13">
        <v>30.14</v>
      </c>
      <c r="V450" s="13">
        <v>64.3</v>
      </c>
      <c r="W450" s="13">
        <v>7.14</v>
      </c>
      <c r="X450" s="13">
        <v>37.9</v>
      </c>
      <c r="Y450" s="13">
        <v>4.55</v>
      </c>
      <c r="Z450" s="32">
        <v>102.5</v>
      </c>
      <c r="AA450" s="13"/>
      <c r="AB450" s="13"/>
      <c r="AC450" s="14">
        <v>403.37837837837844</v>
      </c>
      <c r="AD450" s="14">
        <v>178.68561278863234</v>
      </c>
      <c r="AE450" s="14">
        <v>780.9045226130653</v>
      </c>
      <c r="AF450" s="14">
        <v>941.82825484764544</v>
      </c>
      <c r="AG450" s="15">
        <v>0.30176170345623071</v>
      </c>
      <c r="AH450" s="15">
        <v>0.31837159190514974</v>
      </c>
      <c r="AI450" s="15">
        <v>0.33390578030578832</v>
      </c>
      <c r="AJ450" s="41">
        <f t="shared" si="12"/>
        <v>240.40000000000003</v>
      </c>
      <c r="AK450" s="44">
        <f t="shared" si="13"/>
        <v>0.25994659546061416</v>
      </c>
      <c r="AL450" s="10"/>
      <c r="AM450" s="10"/>
    </row>
    <row r="451" spans="1:39" s="16" customFormat="1" ht="19" customHeight="1">
      <c r="A451" s="29" t="s">
        <v>512</v>
      </c>
      <c r="B451" s="29" t="s">
        <v>1365</v>
      </c>
      <c r="C451" s="29"/>
      <c r="D451" s="29"/>
      <c r="E451" s="30" t="s">
        <v>183</v>
      </c>
      <c r="F451" s="30" t="s">
        <v>249</v>
      </c>
      <c r="G451" s="31" t="s">
        <v>439</v>
      </c>
      <c r="H451" s="35">
        <v>0.20300000000000001</v>
      </c>
      <c r="I451" s="35">
        <v>5.88</v>
      </c>
      <c r="J451" s="13">
        <v>34.200000000000003</v>
      </c>
      <c r="K451" s="13">
        <v>119.2</v>
      </c>
      <c r="L451" s="13">
        <v>22.8</v>
      </c>
      <c r="M451" s="35">
        <v>206.7</v>
      </c>
      <c r="N451" s="13">
        <v>156.80000000000001</v>
      </c>
      <c r="O451" s="13">
        <v>88.1</v>
      </c>
      <c r="P451" s="13">
        <v>11.8</v>
      </c>
      <c r="Q451" s="13">
        <v>172.5</v>
      </c>
      <c r="R451" s="13">
        <v>35.299999999999997</v>
      </c>
      <c r="S451" s="13">
        <v>209.6</v>
      </c>
      <c r="T451" s="13">
        <v>808</v>
      </c>
      <c r="U451" s="13">
        <v>32.46</v>
      </c>
      <c r="V451" s="13">
        <v>72.599999999999994</v>
      </c>
      <c r="W451" s="13">
        <v>8.34</v>
      </c>
      <c r="X451" s="13">
        <v>46.27</v>
      </c>
      <c r="Y451" s="13">
        <v>5.69</v>
      </c>
      <c r="Z451" s="32">
        <v>155.4</v>
      </c>
      <c r="AA451" s="13"/>
      <c r="AB451" s="13"/>
      <c r="AC451" s="14">
        <v>595.27027027027032</v>
      </c>
      <c r="AD451" s="14">
        <v>209.59147424511548</v>
      </c>
      <c r="AE451" s="14">
        <v>866.83417085427129</v>
      </c>
      <c r="AF451" s="14">
        <v>977.83933518005529</v>
      </c>
      <c r="AG451" s="15">
        <v>0.28669836210047123</v>
      </c>
      <c r="AH451" s="15">
        <v>0.29177528668285702</v>
      </c>
      <c r="AI451" s="15">
        <v>0.29840652567605652</v>
      </c>
      <c r="AJ451" s="41">
        <f t="shared" si="12"/>
        <v>333</v>
      </c>
      <c r="AK451" s="44">
        <f t="shared" si="13"/>
        <v>0.25581683168316832</v>
      </c>
      <c r="AL451" s="10"/>
      <c r="AM451" s="10"/>
    </row>
    <row r="452" spans="1:39" s="16" customFormat="1" ht="19" customHeight="1">
      <c r="A452" s="29" t="s">
        <v>513</v>
      </c>
      <c r="B452" s="29" t="s">
        <v>1365</v>
      </c>
      <c r="C452" s="29"/>
      <c r="D452" s="29"/>
      <c r="E452" s="30" t="s">
        <v>183</v>
      </c>
      <c r="F452" s="30" t="s">
        <v>249</v>
      </c>
      <c r="G452" s="31" t="s">
        <v>439</v>
      </c>
      <c r="H452" s="35">
        <v>0.69099999999999995</v>
      </c>
      <c r="I452" s="35">
        <v>9.84</v>
      </c>
      <c r="J452" s="13">
        <v>40.6</v>
      </c>
      <c r="K452" s="13">
        <v>124.9</v>
      </c>
      <c r="L452" s="13">
        <v>25.3</v>
      </c>
      <c r="M452" s="35">
        <v>207.2</v>
      </c>
      <c r="N452" s="13">
        <v>155.6</v>
      </c>
      <c r="O452" s="13">
        <v>80.400000000000006</v>
      </c>
      <c r="P452" s="13">
        <v>12.4</v>
      </c>
      <c r="Q452" s="13">
        <v>196</v>
      </c>
      <c r="R452" s="13">
        <v>43.8</v>
      </c>
      <c r="S452" s="13">
        <v>238.7</v>
      </c>
      <c r="T452" s="13">
        <v>819</v>
      </c>
      <c r="U452" s="13">
        <v>34.49</v>
      </c>
      <c r="V452" s="13">
        <v>72.3</v>
      </c>
      <c r="W452" s="13">
        <v>7.69</v>
      </c>
      <c r="X452" s="13">
        <v>39.770000000000003</v>
      </c>
      <c r="Y452" s="13">
        <v>4.6100000000000003</v>
      </c>
      <c r="Z452" s="32">
        <v>108.8</v>
      </c>
      <c r="AA452" s="13"/>
      <c r="AB452" s="13"/>
      <c r="AC452" s="14">
        <v>543.24324324324334</v>
      </c>
      <c r="AD452" s="14">
        <v>220.24866785079931</v>
      </c>
      <c r="AE452" s="14">
        <v>984.92462311557779</v>
      </c>
      <c r="AF452" s="14">
        <v>1213.2963988919666</v>
      </c>
      <c r="AG452" s="15">
        <v>0.28825192925380339</v>
      </c>
      <c r="AH452" s="15">
        <v>0.30110268356461867</v>
      </c>
      <c r="AI452" s="15">
        <v>0.31016641152204943</v>
      </c>
      <c r="AJ452" s="41">
        <f t="shared" si="12"/>
        <v>346.4</v>
      </c>
      <c r="AK452" s="44">
        <f t="shared" si="13"/>
        <v>0.25299145299145298</v>
      </c>
      <c r="AL452" s="10"/>
      <c r="AM452" s="10"/>
    </row>
    <row r="453" spans="1:39" s="16" customFormat="1" ht="19" customHeight="1">
      <c r="A453" s="29" t="s">
        <v>514</v>
      </c>
      <c r="B453" s="29" t="s">
        <v>1365</v>
      </c>
      <c r="C453" s="29"/>
      <c r="D453" s="29"/>
      <c r="E453" s="30" t="s">
        <v>183</v>
      </c>
      <c r="F453" s="30" t="s">
        <v>249</v>
      </c>
      <c r="G453" s="31" t="s">
        <v>439</v>
      </c>
      <c r="H453" s="35">
        <v>0.33200000000000002</v>
      </c>
      <c r="I453" s="35">
        <v>6.76</v>
      </c>
      <c r="J453" s="13">
        <v>33.1</v>
      </c>
      <c r="K453" s="13">
        <v>109.3</v>
      </c>
      <c r="L453" s="13">
        <v>20.9</v>
      </c>
      <c r="M453" s="35">
        <v>210.1</v>
      </c>
      <c r="N453" s="13">
        <v>143.69999999999999</v>
      </c>
      <c r="O453" s="13">
        <v>74.2</v>
      </c>
      <c r="P453" s="13">
        <v>11.57</v>
      </c>
      <c r="Q453" s="13">
        <v>157</v>
      </c>
      <c r="R453" s="13">
        <v>33</v>
      </c>
      <c r="S453" s="13">
        <v>200.9</v>
      </c>
      <c r="T453" s="13">
        <v>780</v>
      </c>
      <c r="U453" s="13">
        <v>31.4</v>
      </c>
      <c r="V453" s="13">
        <v>70.900000000000006</v>
      </c>
      <c r="W453" s="13">
        <v>8.4</v>
      </c>
      <c r="X453" s="13">
        <v>47.5</v>
      </c>
      <c r="Y453" s="13">
        <v>5.92</v>
      </c>
      <c r="Z453" s="32">
        <v>141</v>
      </c>
      <c r="AA453" s="13"/>
      <c r="AB453" s="13"/>
      <c r="AC453" s="14">
        <v>501.35135135135141</v>
      </c>
      <c r="AD453" s="14">
        <v>205.50621669627</v>
      </c>
      <c r="AE453" s="14">
        <v>788.94472361809039</v>
      </c>
      <c r="AF453" s="14">
        <v>914.12742382271472</v>
      </c>
      <c r="AG453" s="15">
        <v>0.31854117931985032</v>
      </c>
      <c r="AH453" s="15">
        <v>0.3267612743834411</v>
      </c>
      <c r="AI453" s="15">
        <v>0.33552734871160594</v>
      </c>
      <c r="AJ453" s="41">
        <f t="shared" si="12"/>
        <v>307</v>
      </c>
      <c r="AK453" s="44">
        <f t="shared" si="13"/>
        <v>0.26935897435897438</v>
      </c>
      <c r="AL453" s="10"/>
      <c r="AM453" s="10"/>
    </row>
    <row r="454" spans="1:39" s="16" customFormat="1" ht="19" customHeight="1">
      <c r="A454" s="29" t="s">
        <v>515</v>
      </c>
      <c r="B454" s="29" t="s">
        <v>1365</v>
      </c>
      <c r="C454" s="29"/>
      <c r="D454" s="29"/>
      <c r="E454" s="30" t="s">
        <v>183</v>
      </c>
      <c r="F454" s="30" t="s">
        <v>249</v>
      </c>
      <c r="G454" s="31" t="s">
        <v>439</v>
      </c>
      <c r="H454" s="35">
        <v>0.371</v>
      </c>
      <c r="I454" s="35">
        <v>7.35</v>
      </c>
      <c r="J454" s="13">
        <v>44.9</v>
      </c>
      <c r="K454" s="13">
        <v>137</v>
      </c>
      <c r="L454" s="13">
        <v>26.6</v>
      </c>
      <c r="M454" s="35">
        <v>205.8</v>
      </c>
      <c r="N454" s="13">
        <v>162</v>
      </c>
      <c r="O454" s="13">
        <v>77.099999999999994</v>
      </c>
      <c r="P454" s="13">
        <v>11.9</v>
      </c>
      <c r="Q454" s="13">
        <v>179</v>
      </c>
      <c r="R454" s="13">
        <v>38.299999999999997</v>
      </c>
      <c r="S454" s="13">
        <v>225.2</v>
      </c>
      <c r="T454" s="13">
        <v>827</v>
      </c>
      <c r="U454" s="13">
        <v>33.9</v>
      </c>
      <c r="V454" s="13">
        <v>71.400000000000006</v>
      </c>
      <c r="W454" s="13">
        <v>7.77</v>
      </c>
      <c r="X454" s="13">
        <v>38.89</v>
      </c>
      <c r="Y454" s="13">
        <v>4.6399999999999997</v>
      </c>
      <c r="Z454" s="32">
        <v>131.30000000000001</v>
      </c>
      <c r="AA454" s="13"/>
      <c r="AB454" s="13"/>
      <c r="AC454" s="14">
        <v>520.94594594594594</v>
      </c>
      <c r="AD454" s="14">
        <v>211.36767317939612</v>
      </c>
      <c r="AE454" s="14">
        <v>899.4974874371859</v>
      </c>
      <c r="AF454" s="14">
        <v>1060.9418282548475</v>
      </c>
      <c r="AG454" s="15">
        <v>0.29760801199379344</v>
      </c>
      <c r="AH454" s="15">
        <v>0.30877509067771514</v>
      </c>
      <c r="AI454" s="15">
        <v>0.3200955237981592</v>
      </c>
      <c r="AJ454" s="41">
        <f t="shared" ref="AJ454:AJ517" si="14">J454+K454+L454+N454</f>
        <v>370.5</v>
      </c>
      <c r="AK454" s="44">
        <f t="shared" ref="AK454:AK517" si="15">M454/T454</f>
        <v>0.24885126964933496</v>
      </c>
      <c r="AL454" s="10"/>
      <c r="AM454" s="10"/>
    </row>
    <row r="455" spans="1:39" s="16" customFormat="1" ht="19" customHeight="1">
      <c r="A455" s="29" t="s">
        <v>516</v>
      </c>
      <c r="B455" s="29" t="s">
        <v>1365</v>
      </c>
      <c r="C455" s="29"/>
      <c r="D455" s="29"/>
      <c r="E455" s="30" t="s">
        <v>183</v>
      </c>
      <c r="F455" s="30" t="s">
        <v>249</v>
      </c>
      <c r="G455" s="31" t="s">
        <v>439</v>
      </c>
      <c r="H455" s="35">
        <v>0.33700000000000002</v>
      </c>
      <c r="I455" s="35">
        <v>8.26</v>
      </c>
      <c r="J455" s="13">
        <v>51.6</v>
      </c>
      <c r="K455" s="13">
        <v>176.4</v>
      </c>
      <c r="L455" s="13">
        <v>31.9</v>
      </c>
      <c r="M455" s="35">
        <v>254.1</v>
      </c>
      <c r="N455" s="13">
        <v>200</v>
      </c>
      <c r="O455" s="13">
        <v>102.7</v>
      </c>
      <c r="P455" s="13">
        <v>14.11</v>
      </c>
      <c r="Q455" s="13">
        <v>238.9</v>
      </c>
      <c r="R455" s="13">
        <v>49.6</v>
      </c>
      <c r="S455" s="13">
        <v>264.3</v>
      </c>
      <c r="T455" s="13">
        <v>901</v>
      </c>
      <c r="U455" s="13">
        <v>37.31</v>
      </c>
      <c r="V455" s="13">
        <v>74.900000000000006</v>
      </c>
      <c r="W455" s="13">
        <v>7.56</v>
      </c>
      <c r="X455" s="13">
        <v>37.9</v>
      </c>
      <c r="Y455" s="13">
        <v>4.41</v>
      </c>
      <c r="Z455" s="32">
        <v>132.4</v>
      </c>
      <c r="AA455" s="13"/>
      <c r="AB455" s="13"/>
      <c r="AC455" s="14">
        <v>693.91891891891896</v>
      </c>
      <c r="AD455" s="14">
        <v>250.62166962699823</v>
      </c>
      <c r="AE455" s="14">
        <v>1200.502512562814</v>
      </c>
      <c r="AF455" s="14">
        <v>1373.9612188365652</v>
      </c>
      <c r="AG455" s="15">
        <v>0.26458914100330144</v>
      </c>
      <c r="AH455" s="15">
        <v>0.2745887361331224</v>
      </c>
      <c r="AI455" s="15">
        <v>0.28762147482586808</v>
      </c>
      <c r="AJ455" s="41">
        <f t="shared" si="14"/>
        <v>459.9</v>
      </c>
      <c r="AK455" s="44">
        <f t="shared" si="15"/>
        <v>0.2820199778024417</v>
      </c>
      <c r="AL455" s="10"/>
      <c r="AM455" s="10"/>
    </row>
    <row r="456" spans="1:39" s="16" customFormat="1" ht="19" customHeight="1">
      <c r="A456" s="29" t="s">
        <v>517</v>
      </c>
      <c r="B456" s="29" t="s">
        <v>1365</v>
      </c>
      <c r="C456" s="29"/>
      <c r="D456" s="29"/>
      <c r="E456" s="30" t="s">
        <v>183</v>
      </c>
      <c r="F456" s="30" t="s">
        <v>249</v>
      </c>
      <c r="G456" s="31" t="s">
        <v>439</v>
      </c>
      <c r="H456" s="35">
        <v>0.16400000000000001</v>
      </c>
      <c r="I456" s="35">
        <v>3.64</v>
      </c>
      <c r="J456" s="13">
        <v>30.1</v>
      </c>
      <c r="K456" s="13">
        <v>106.9</v>
      </c>
      <c r="L456" s="13">
        <v>20</v>
      </c>
      <c r="M456" s="35">
        <v>193.1</v>
      </c>
      <c r="N456" s="13">
        <v>134</v>
      </c>
      <c r="O456" s="13">
        <v>68.099999999999994</v>
      </c>
      <c r="P456" s="13">
        <v>11.23</v>
      </c>
      <c r="Q456" s="13">
        <v>136.5</v>
      </c>
      <c r="R456" s="13">
        <v>30.2</v>
      </c>
      <c r="S456" s="13">
        <v>197.2</v>
      </c>
      <c r="T456" s="13">
        <v>833</v>
      </c>
      <c r="U456" s="13">
        <v>33.49</v>
      </c>
      <c r="V456" s="13">
        <v>80.2</v>
      </c>
      <c r="W456" s="13">
        <v>9.74</v>
      </c>
      <c r="X456" s="13">
        <v>55.6</v>
      </c>
      <c r="Y456" s="13">
        <v>7.11</v>
      </c>
      <c r="Z456" s="32">
        <v>144</v>
      </c>
      <c r="AA456" s="13"/>
      <c r="AB456" s="13"/>
      <c r="AC456" s="14">
        <v>460.1351351351351</v>
      </c>
      <c r="AD456" s="14">
        <v>199.46714031971584</v>
      </c>
      <c r="AE456" s="14">
        <v>685.929648241206</v>
      </c>
      <c r="AF456" s="14">
        <v>836.56509695290856</v>
      </c>
      <c r="AG456" s="15">
        <v>0.34809051497434501</v>
      </c>
      <c r="AH456" s="15">
        <v>0.35504947570259848</v>
      </c>
      <c r="AI456" s="15">
        <v>0.35517946630169184</v>
      </c>
      <c r="AJ456" s="41">
        <f t="shared" si="14"/>
        <v>291</v>
      </c>
      <c r="AK456" s="44">
        <f t="shared" si="15"/>
        <v>0.231812725090036</v>
      </c>
      <c r="AL456" s="10"/>
      <c r="AM456" s="10"/>
    </row>
    <row r="457" spans="1:39" s="16" customFormat="1" ht="19" customHeight="1">
      <c r="A457" s="29" t="s">
        <v>518</v>
      </c>
      <c r="B457" s="29" t="s">
        <v>1365</v>
      </c>
      <c r="C457" s="29"/>
      <c r="D457" s="29"/>
      <c r="E457" s="30" t="s">
        <v>183</v>
      </c>
      <c r="F457" s="30" t="s">
        <v>249</v>
      </c>
      <c r="G457" s="31" t="s">
        <v>439</v>
      </c>
      <c r="H457" s="35">
        <v>0.45500000000000002</v>
      </c>
      <c r="I457" s="35">
        <v>7.96</v>
      </c>
      <c r="J457" s="13">
        <v>46.3</v>
      </c>
      <c r="K457" s="13">
        <v>160.19999999999999</v>
      </c>
      <c r="L457" s="13">
        <v>30.5</v>
      </c>
      <c r="M457" s="35">
        <v>203.8</v>
      </c>
      <c r="N457" s="13">
        <v>191.4</v>
      </c>
      <c r="O457" s="13">
        <v>86.1</v>
      </c>
      <c r="P457" s="13">
        <v>11.5</v>
      </c>
      <c r="Q457" s="13">
        <v>148.19999999999999</v>
      </c>
      <c r="R457" s="13">
        <v>28.74</v>
      </c>
      <c r="S457" s="13">
        <v>169.6</v>
      </c>
      <c r="T457" s="13">
        <v>709</v>
      </c>
      <c r="U457" s="13">
        <v>26.1</v>
      </c>
      <c r="V457" s="13">
        <v>57.8</v>
      </c>
      <c r="W457" s="13">
        <v>6.55</v>
      </c>
      <c r="X457" s="13">
        <v>34.380000000000003</v>
      </c>
      <c r="Y457" s="13">
        <v>4.3600000000000003</v>
      </c>
      <c r="Z457" s="32">
        <v>164.5</v>
      </c>
      <c r="AA457" s="13"/>
      <c r="AB457" s="13"/>
      <c r="AC457" s="14">
        <v>581.75675675675677</v>
      </c>
      <c r="AD457" s="14">
        <v>204.26287744227355</v>
      </c>
      <c r="AE457" s="14">
        <v>744.72361809045219</v>
      </c>
      <c r="AF457" s="14">
        <v>796.12188365650968</v>
      </c>
      <c r="AG457" s="15">
        <v>0.30797723255544074</v>
      </c>
      <c r="AH457" s="15">
        <v>0.31032814388751523</v>
      </c>
      <c r="AI457" s="15">
        <v>0.31625347126147635</v>
      </c>
      <c r="AJ457" s="41">
        <f t="shared" si="14"/>
        <v>428.4</v>
      </c>
      <c r="AK457" s="44">
        <f t="shared" si="15"/>
        <v>0.28744710860366718</v>
      </c>
      <c r="AL457" s="10"/>
      <c r="AM457" s="10"/>
    </row>
    <row r="458" spans="1:39" s="16" customFormat="1" ht="19" customHeight="1">
      <c r="A458" s="29" t="s">
        <v>519</v>
      </c>
      <c r="B458" s="29" t="s">
        <v>1365</v>
      </c>
      <c r="C458" s="29"/>
      <c r="D458" s="29"/>
      <c r="E458" s="30" t="s">
        <v>183</v>
      </c>
      <c r="F458" s="30" t="s">
        <v>249</v>
      </c>
      <c r="G458" s="31" t="s">
        <v>439</v>
      </c>
      <c r="H458" s="35">
        <v>0.34</v>
      </c>
      <c r="I458" s="35">
        <v>8.89</v>
      </c>
      <c r="J458" s="13">
        <v>55.8</v>
      </c>
      <c r="K458" s="13">
        <v>187</v>
      </c>
      <c r="L458" s="13">
        <v>33.78</v>
      </c>
      <c r="M458" s="35">
        <v>233.6</v>
      </c>
      <c r="N458" s="13">
        <v>217.7</v>
      </c>
      <c r="O458" s="13">
        <v>105.5</v>
      </c>
      <c r="P458" s="13">
        <v>13.18</v>
      </c>
      <c r="Q458" s="13">
        <v>203.5</v>
      </c>
      <c r="R458" s="13">
        <v>41.43</v>
      </c>
      <c r="S458" s="13">
        <v>243.9</v>
      </c>
      <c r="T458" s="13">
        <v>907</v>
      </c>
      <c r="U458" s="13">
        <v>36.24</v>
      </c>
      <c r="V458" s="13">
        <v>79.7</v>
      </c>
      <c r="W458" s="13">
        <v>8.5399999999999991</v>
      </c>
      <c r="X458" s="13">
        <v>44.99</v>
      </c>
      <c r="Y458" s="13">
        <v>5.67</v>
      </c>
      <c r="Z458" s="32">
        <v>172.8</v>
      </c>
      <c r="AA458" s="13"/>
      <c r="AB458" s="13"/>
      <c r="AC458" s="14">
        <v>712.83783783783792</v>
      </c>
      <c r="AD458" s="14">
        <v>234.10301953818828</v>
      </c>
      <c r="AE458" s="14">
        <v>1022.6130653266331</v>
      </c>
      <c r="AF458" s="14">
        <v>1147.6454293628808</v>
      </c>
      <c r="AG458" s="15">
        <v>0.26978927391298491</v>
      </c>
      <c r="AH458" s="15">
        <v>0.27419275466990156</v>
      </c>
      <c r="AI458" s="15">
        <v>0.28020590013897456</v>
      </c>
      <c r="AJ458" s="41">
        <f t="shared" si="14"/>
        <v>494.28000000000003</v>
      </c>
      <c r="AK458" s="44">
        <f t="shared" si="15"/>
        <v>0.25755237045203966</v>
      </c>
      <c r="AL458" s="10"/>
      <c r="AM458" s="10"/>
    </row>
    <row r="459" spans="1:39" s="16" customFormat="1" ht="19" customHeight="1">
      <c r="A459" s="29" t="s">
        <v>520</v>
      </c>
      <c r="B459" s="29" t="s">
        <v>1365</v>
      </c>
      <c r="C459" s="29"/>
      <c r="D459" s="29"/>
      <c r="E459" s="30" t="s">
        <v>183</v>
      </c>
      <c r="F459" s="30" t="s">
        <v>249</v>
      </c>
      <c r="G459" s="31" t="s">
        <v>439</v>
      </c>
      <c r="H459" s="35">
        <v>0.27</v>
      </c>
      <c r="I459" s="35">
        <v>6.47</v>
      </c>
      <c r="J459" s="13">
        <v>34.799999999999997</v>
      </c>
      <c r="K459" s="13">
        <v>122.6</v>
      </c>
      <c r="L459" s="13">
        <v>23.7</v>
      </c>
      <c r="M459" s="35">
        <v>194.3</v>
      </c>
      <c r="N459" s="13">
        <v>157.9</v>
      </c>
      <c r="O459" s="13">
        <v>85.1</v>
      </c>
      <c r="P459" s="13">
        <v>11.6</v>
      </c>
      <c r="Q459" s="13">
        <v>174.9</v>
      </c>
      <c r="R459" s="13">
        <v>35.4</v>
      </c>
      <c r="S459" s="13">
        <v>214.1</v>
      </c>
      <c r="T459" s="13">
        <v>791</v>
      </c>
      <c r="U459" s="13">
        <v>32.340000000000003</v>
      </c>
      <c r="V459" s="13">
        <v>71.7</v>
      </c>
      <c r="W459" s="13">
        <v>7.8</v>
      </c>
      <c r="X459" s="13">
        <v>42.32</v>
      </c>
      <c r="Y459" s="13">
        <v>5.05</v>
      </c>
      <c r="Z459" s="32">
        <v>148.4</v>
      </c>
      <c r="AA459" s="13"/>
      <c r="AB459" s="13"/>
      <c r="AC459" s="14">
        <v>575</v>
      </c>
      <c r="AD459" s="14">
        <v>206.03907637655419</v>
      </c>
      <c r="AE459" s="14">
        <v>878.89447236180899</v>
      </c>
      <c r="AF459" s="14">
        <v>980.6094182825484</v>
      </c>
      <c r="AG459" s="15">
        <v>0.28343057944480626</v>
      </c>
      <c r="AH459" s="15">
        <v>0.28983264853476548</v>
      </c>
      <c r="AI459" s="15">
        <v>0.29992017316304465</v>
      </c>
      <c r="AJ459" s="41">
        <f t="shared" si="14"/>
        <v>339</v>
      </c>
      <c r="AK459" s="44">
        <f t="shared" si="15"/>
        <v>0.2456384323640961</v>
      </c>
      <c r="AL459" s="10"/>
      <c r="AM459" s="10"/>
    </row>
    <row r="460" spans="1:39" s="16" customFormat="1" ht="19" customHeight="1">
      <c r="A460" s="29" t="s">
        <v>521</v>
      </c>
      <c r="B460" s="29" t="s">
        <v>1365</v>
      </c>
      <c r="C460" s="29"/>
      <c r="D460" s="29"/>
      <c r="E460" s="30" t="s">
        <v>183</v>
      </c>
      <c r="F460" s="30" t="s">
        <v>249</v>
      </c>
      <c r="G460" s="31" t="s">
        <v>439</v>
      </c>
      <c r="H460" s="35">
        <v>0.38300000000000001</v>
      </c>
      <c r="I460" s="35">
        <v>10.24</v>
      </c>
      <c r="J460" s="13">
        <v>32.299999999999997</v>
      </c>
      <c r="K460" s="13">
        <v>115</v>
      </c>
      <c r="L460" s="13">
        <v>22.8</v>
      </c>
      <c r="M460" s="35">
        <v>193.9</v>
      </c>
      <c r="N460" s="13">
        <v>152</v>
      </c>
      <c r="O460" s="13">
        <v>84.7</v>
      </c>
      <c r="P460" s="13">
        <v>11.25</v>
      </c>
      <c r="Q460" s="13">
        <v>170.4</v>
      </c>
      <c r="R460" s="13">
        <v>33.6</v>
      </c>
      <c r="S460" s="13">
        <v>201.9</v>
      </c>
      <c r="T460" s="13">
        <v>789</v>
      </c>
      <c r="U460" s="13">
        <v>31.82</v>
      </c>
      <c r="V460" s="13">
        <v>71.5</v>
      </c>
      <c r="W460" s="13">
        <v>8.1</v>
      </c>
      <c r="X460" s="13">
        <v>43.8</v>
      </c>
      <c r="Y460" s="13">
        <v>5.54</v>
      </c>
      <c r="Z460" s="32">
        <v>163.69999999999999</v>
      </c>
      <c r="AA460" s="13"/>
      <c r="AB460" s="13"/>
      <c r="AC460" s="14">
        <v>572.29729729729729</v>
      </c>
      <c r="AD460" s="14">
        <v>199.82238010657196</v>
      </c>
      <c r="AE460" s="14">
        <v>856.2814070351759</v>
      </c>
      <c r="AF460" s="14">
        <v>930.7479224376732</v>
      </c>
      <c r="AG460" s="15">
        <v>0.27974990737376593</v>
      </c>
      <c r="AH460" s="15">
        <v>0.28544669773207232</v>
      </c>
      <c r="AI460" s="15">
        <v>0.29690599909206838</v>
      </c>
      <c r="AJ460" s="41">
        <f t="shared" si="14"/>
        <v>322.10000000000002</v>
      </c>
      <c r="AK460" s="44">
        <f t="shared" si="15"/>
        <v>0.24575411913814957</v>
      </c>
      <c r="AL460" s="10"/>
      <c r="AM460" s="10"/>
    </row>
    <row r="461" spans="1:39" s="16" customFormat="1" ht="19" customHeight="1">
      <c r="A461" s="29" t="s">
        <v>522</v>
      </c>
      <c r="B461" s="29" t="s">
        <v>1365</v>
      </c>
      <c r="C461" s="29"/>
      <c r="D461" s="29"/>
      <c r="E461" s="30" t="s">
        <v>183</v>
      </c>
      <c r="F461" s="30" t="s">
        <v>249</v>
      </c>
      <c r="G461" s="31" t="s">
        <v>439</v>
      </c>
      <c r="H461" s="35">
        <v>1.35</v>
      </c>
      <c r="I461" s="35">
        <v>8.83</v>
      </c>
      <c r="J461" s="13">
        <v>43.5</v>
      </c>
      <c r="K461" s="13">
        <v>132.4</v>
      </c>
      <c r="L461" s="13">
        <v>27.2</v>
      </c>
      <c r="M461" s="35">
        <v>202.9</v>
      </c>
      <c r="N461" s="13">
        <v>160.9</v>
      </c>
      <c r="O461" s="13">
        <v>81.900000000000006</v>
      </c>
      <c r="P461" s="13">
        <v>12.73</v>
      </c>
      <c r="Q461" s="13">
        <v>211.9</v>
      </c>
      <c r="R461" s="13">
        <v>45.6</v>
      </c>
      <c r="S461" s="13">
        <v>256.10000000000002</v>
      </c>
      <c r="T461" s="13">
        <v>846</v>
      </c>
      <c r="U461" s="13">
        <v>35.15</v>
      </c>
      <c r="V461" s="13">
        <v>72.2</v>
      </c>
      <c r="W461" s="13">
        <v>7.31</v>
      </c>
      <c r="X461" s="13">
        <v>36.799999999999997</v>
      </c>
      <c r="Y461" s="13">
        <v>4.25</v>
      </c>
      <c r="Z461" s="32">
        <v>120.9</v>
      </c>
      <c r="AA461" s="13"/>
      <c r="AB461" s="13"/>
      <c r="AC461" s="14">
        <v>553.37837837837844</v>
      </c>
      <c r="AD461" s="14">
        <v>226.11012433392543</v>
      </c>
      <c r="AE461" s="14">
        <v>1064.824120603015</v>
      </c>
      <c r="AF461" s="14">
        <v>1263.1578947368421</v>
      </c>
      <c r="AG461" s="15">
        <v>0.27945837987057182</v>
      </c>
      <c r="AH461" s="15">
        <v>0.29455742558592468</v>
      </c>
      <c r="AI461" s="15">
        <v>0.31032683915870762</v>
      </c>
      <c r="AJ461" s="41">
        <f t="shared" si="14"/>
        <v>364</v>
      </c>
      <c r="AK461" s="44">
        <f t="shared" si="15"/>
        <v>0.23983451536643027</v>
      </c>
      <c r="AL461" s="10"/>
      <c r="AM461" s="10"/>
    </row>
    <row r="462" spans="1:39" s="16" customFormat="1" ht="19" customHeight="1">
      <c r="A462" s="29" t="s">
        <v>523</v>
      </c>
      <c r="B462" s="29" t="s">
        <v>1365</v>
      </c>
      <c r="C462" s="29"/>
      <c r="D462" s="29"/>
      <c r="E462" s="30" t="s">
        <v>183</v>
      </c>
      <c r="F462" s="30" t="s">
        <v>249</v>
      </c>
      <c r="G462" s="31" t="s">
        <v>439</v>
      </c>
      <c r="H462" s="35">
        <v>0.373</v>
      </c>
      <c r="I462" s="35">
        <v>9.3800000000000008</v>
      </c>
      <c r="J462" s="13">
        <v>35.299999999999997</v>
      </c>
      <c r="K462" s="13">
        <v>126</v>
      </c>
      <c r="L462" s="13">
        <v>23.1</v>
      </c>
      <c r="M462" s="35">
        <v>197.3</v>
      </c>
      <c r="N462" s="13">
        <v>152</v>
      </c>
      <c r="O462" s="13">
        <v>81.8</v>
      </c>
      <c r="P462" s="13">
        <v>11.27</v>
      </c>
      <c r="Q462" s="13">
        <v>163</v>
      </c>
      <c r="R462" s="13">
        <v>33.799999999999997</v>
      </c>
      <c r="S462" s="13">
        <v>209.2</v>
      </c>
      <c r="T462" s="13">
        <v>842</v>
      </c>
      <c r="U462" s="13">
        <v>34.299999999999997</v>
      </c>
      <c r="V462" s="13">
        <v>77.3</v>
      </c>
      <c r="W462" s="13">
        <v>8.94</v>
      </c>
      <c r="X462" s="13">
        <v>47.34</v>
      </c>
      <c r="Y462" s="13">
        <v>6.22</v>
      </c>
      <c r="Z462" s="32">
        <v>163.80000000000001</v>
      </c>
      <c r="AA462" s="13"/>
      <c r="AB462" s="13"/>
      <c r="AC462" s="14">
        <v>552.70270270270271</v>
      </c>
      <c r="AD462" s="14">
        <v>200.17761989342807</v>
      </c>
      <c r="AE462" s="14">
        <v>819.09547738693459</v>
      </c>
      <c r="AF462" s="14">
        <v>936.2880886426592</v>
      </c>
      <c r="AG462" s="15">
        <v>0.29184704105723175</v>
      </c>
      <c r="AH462" s="15">
        <v>0.29751061318617777</v>
      </c>
      <c r="AI462" s="15">
        <v>0.30382112195199379</v>
      </c>
      <c r="AJ462" s="41">
        <f t="shared" si="14"/>
        <v>336.4</v>
      </c>
      <c r="AK462" s="44">
        <f t="shared" si="15"/>
        <v>0.23432304038004753</v>
      </c>
      <c r="AL462" s="10"/>
      <c r="AM462" s="10"/>
    </row>
    <row r="463" spans="1:39" s="16" customFormat="1" ht="19" customHeight="1">
      <c r="A463" s="29" t="s">
        <v>524</v>
      </c>
      <c r="B463" s="29" t="s">
        <v>1365</v>
      </c>
      <c r="C463" s="29"/>
      <c r="D463" s="29"/>
      <c r="E463" s="30" t="s">
        <v>183</v>
      </c>
      <c r="F463" s="30" t="s">
        <v>249</v>
      </c>
      <c r="G463" s="31" t="s">
        <v>439</v>
      </c>
      <c r="H463" s="35">
        <v>0.30099999999999999</v>
      </c>
      <c r="I463" s="35">
        <v>8.7200000000000006</v>
      </c>
      <c r="J463" s="13">
        <v>67.7</v>
      </c>
      <c r="K463" s="13">
        <v>220.7</v>
      </c>
      <c r="L463" s="13">
        <v>38.700000000000003</v>
      </c>
      <c r="M463" s="35">
        <v>218.1</v>
      </c>
      <c r="N463" s="13">
        <v>255</v>
      </c>
      <c r="O463" s="13">
        <v>122.6</v>
      </c>
      <c r="P463" s="13">
        <v>15.07</v>
      </c>
      <c r="Q463" s="13">
        <v>216.8</v>
      </c>
      <c r="R463" s="13">
        <v>41.6</v>
      </c>
      <c r="S463" s="13">
        <v>251.9</v>
      </c>
      <c r="T463" s="13">
        <v>910</v>
      </c>
      <c r="U463" s="13">
        <v>37.4</v>
      </c>
      <c r="V463" s="13">
        <v>81.7</v>
      </c>
      <c r="W463" s="13">
        <v>8.2899999999999991</v>
      </c>
      <c r="X463" s="13">
        <v>44.7</v>
      </c>
      <c r="Y463" s="13">
        <v>5.44</v>
      </c>
      <c r="Z463" s="32">
        <v>201</v>
      </c>
      <c r="AA463" s="13"/>
      <c r="AB463" s="13"/>
      <c r="AC463" s="14">
        <v>828.37837837837833</v>
      </c>
      <c r="AD463" s="14">
        <v>267.67317939609239</v>
      </c>
      <c r="AE463" s="14">
        <v>1089.4472361809046</v>
      </c>
      <c r="AF463" s="14">
        <v>1152.3545706371192</v>
      </c>
      <c r="AG463" s="15">
        <v>0.27914235513806485</v>
      </c>
      <c r="AH463" s="15">
        <v>0.28176521667620263</v>
      </c>
      <c r="AI463" s="15">
        <v>0.28946116898085772</v>
      </c>
      <c r="AJ463" s="41">
        <f t="shared" si="14"/>
        <v>582.09999999999991</v>
      </c>
      <c r="AK463" s="44">
        <f t="shared" si="15"/>
        <v>0.23967032967032967</v>
      </c>
      <c r="AL463" s="10"/>
      <c r="AM463" s="10"/>
    </row>
    <row r="464" spans="1:39" s="16" customFormat="1" ht="19" customHeight="1">
      <c r="A464" s="29" t="s">
        <v>525</v>
      </c>
      <c r="B464" s="29" t="s">
        <v>1365</v>
      </c>
      <c r="C464" s="29"/>
      <c r="D464" s="29"/>
      <c r="E464" s="30" t="s">
        <v>183</v>
      </c>
      <c r="F464" s="30" t="s">
        <v>249</v>
      </c>
      <c r="G464" s="31" t="s">
        <v>439</v>
      </c>
      <c r="H464" s="35">
        <v>0.73099999999999998</v>
      </c>
      <c r="I464" s="35">
        <v>9.5399999999999991</v>
      </c>
      <c r="J464" s="13">
        <v>45.6</v>
      </c>
      <c r="K464" s="13">
        <v>138.5</v>
      </c>
      <c r="L464" s="13">
        <v>28</v>
      </c>
      <c r="M464" s="35">
        <v>192.5</v>
      </c>
      <c r="N464" s="13">
        <v>183.6</v>
      </c>
      <c r="O464" s="13">
        <v>92.1</v>
      </c>
      <c r="P464" s="13">
        <v>12.28</v>
      </c>
      <c r="Q464" s="13">
        <v>169.1</v>
      </c>
      <c r="R464" s="13">
        <v>33.89</v>
      </c>
      <c r="S464" s="13">
        <v>209</v>
      </c>
      <c r="T464" s="13">
        <v>811</v>
      </c>
      <c r="U464" s="13">
        <v>33.36</v>
      </c>
      <c r="V464" s="13">
        <v>79</v>
      </c>
      <c r="W464" s="13">
        <v>9.09</v>
      </c>
      <c r="X464" s="13">
        <v>49.95</v>
      </c>
      <c r="Y464" s="13">
        <v>6.37</v>
      </c>
      <c r="Z464" s="32">
        <v>168</v>
      </c>
      <c r="AA464" s="13"/>
      <c r="AB464" s="13"/>
      <c r="AC464" s="14">
        <v>622.29729729729729</v>
      </c>
      <c r="AD464" s="14">
        <v>218.11722912966252</v>
      </c>
      <c r="AE464" s="14">
        <v>849.74874371859289</v>
      </c>
      <c r="AF464" s="14">
        <v>938.78116343490308</v>
      </c>
      <c r="AG464" s="15">
        <v>0.29634566182336958</v>
      </c>
      <c r="AH464" s="15">
        <v>0.29994784700195887</v>
      </c>
      <c r="AI464" s="15">
        <v>0.3056116507622661</v>
      </c>
      <c r="AJ464" s="41">
        <f t="shared" si="14"/>
        <v>395.7</v>
      </c>
      <c r="AK464" s="44">
        <f t="shared" si="15"/>
        <v>0.23736128236744761</v>
      </c>
      <c r="AL464" s="10"/>
      <c r="AM464" s="10"/>
    </row>
    <row r="465" spans="1:39" s="16" customFormat="1" ht="19" customHeight="1">
      <c r="A465" s="29" t="s">
        <v>526</v>
      </c>
      <c r="B465" s="29" t="s">
        <v>1365</v>
      </c>
      <c r="C465" s="29"/>
      <c r="D465" s="29"/>
      <c r="E465" s="30" t="s">
        <v>183</v>
      </c>
      <c r="F465" s="30" t="s">
        <v>249</v>
      </c>
      <c r="G465" s="31" t="s">
        <v>439</v>
      </c>
      <c r="H465" s="35">
        <v>0.34100000000000003</v>
      </c>
      <c r="I465" s="35">
        <v>7.79</v>
      </c>
      <c r="J465" s="13">
        <v>45.1</v>
      </c>
      <c r="K465" s="13">
        <v>162.1</v>
      </c>
      <c r="L465" s="13">
        <v>29.4</v>
      </c>
      <c r="M465" s="35">
        <v>217.7</v>
      </c>
      <c r="N465" s="13">
        <v>186.9</v>
      </c>
      <c r="O465" s="13">
        <v>98.6</v>
      </c>
      <c r="P465" s="13">
        <v>13.49</v>
      </c>
      <c r="Q465" s="13">
        <v>237.3</v>
      </c>
      <c r="R465" s="13">
        <v>48.2</v>
      </c>
      <c r="S465" s="13">
        <v>258.3</v>
      </c>
      <c r="T465" s="13">
        <v>870</v>
      </c>
      <c r="U465" s="13">
        <v>35.67</v>
      </c>
      <c r="V465" s="13">
        <v>73.8</v>
      </c>
      <c r="W465" s="13">
        <v>7.56</v>
      </c>
      <c r="X465" s="13">
        <v>37.6</v>
      </c>
      <c r="Y465" s="13">
        <v>4.84</v>
      </c>
      <c r="Z465" s="32">
        <v>124.2</v>
      </c>
      <c r="AA465" s="13"/>
      <c r="AB465" s="13"/>
      <c r="AC465" s="14">
        <v>666.21621621621625</v>
      </c>
      <c r="AD465" s="14">
        <v>239.60923623445828</v>
      </c>
      <c r="AE465" s="14">
        <v>1192.462311557789</v>
      </c>
      <c r="AF465" s="14">
        <v>1335.1800554016622</v>
      </c>
      <c r="AG465" s="15">
        <v>0.25782751848047614</v>
      </c>
      <c r="AH465" s="15">
        <v>0.26882745720579759</v>
      </c>
      <c r="AI465" s="15">
        <v>0.28526389644011202</v>
      </c>
      <c r="AJ465" s="41">
        <f t="shared" si="14"/>
        <v>423.5</v>
      </c>
      <c r="AK465" s="44">
        <f t="shared" si="15"/>
        <v>0.25022988505747124</v>
      </c>
      <c r="AL465" s="10"/>
      <c r="AM465" s="10"/>
    </row>
    <row r="466" spans="1:39" s="16" customFormat="1" ht="19" customHeight="1">
      <c r="A466" s="29" t="s">
        <v>527</v>
      </c>
      <c r="B466" s="29" t="s">
        <v>1365</v>
      </c>
      <c r="C466" s="29"/>
      <c r="D466" s="29"/>
      <c r="E466" s="30" t="s">
        <v>183</v>
      </c>
      <c r="F466" s="30" t="s">
        <v>249</v>
      </c>
      <c r="G466" s="31" t="s">
        <v>439</v>
      </c>
      <c r="H466" s="35">
        <v>0.435</v>
      </c>
      <c r="I466" s="35">
        <v>9.49</v>
      </c>
      <c r="J466" s="13">
        <v>31.4</v>
      </c>
      <c r="K466" s="13">
        <v>107.9</v>
      </c>
      <c r="L466" s="13">
        <v>21.57</v>
      </c>
      <c r="M466" s="35">
        <v>194.7</v>
      </c>
      <c r="N466" s="13">
        <v>148.19999999999999</v>
      </c>
      <c r="O466" s="13">
        <v>79.5</v>
      </c>
      <c r="P466" s="13">
        <v>11.1</v>
      </c>
      <c r="Q466" s="13">
        <v>162.6</v>
      </c>
      <c r="R466" s="13">
        <v>34.19</v>
      </c>
      <c r="S466" s="13">
        <v>204.7</v>
      </c>
      <c r="T466" s="13">
        <v>789</v>
      </c>
      <c r="U466" s="13">
        <v>32.47</v>
      </c>
      <c r="V466" s="13">
        <v>74.400000000000006</v>
      </c>
      <c r="W466" s="13">
        <v>8.44</v>
      </c>
      <c r="X466" s="13">
        <v>46.41</v>
      </c>
      <c r="Y466" s="13">
        <v>5.89</v>
      </c>
      <c r="Z466" s="32">
        <v>137.1</v>
      </c>
      <c r="AA466" s="13"/>
      <c r="AB466" s="13"/>
      <c r="AC466" s="14">
        <v>537.16216216216219</v>
      </c>
      <c r="AD466" s="14">
        <v>197.15808170515098</v>
      </c>
      <c r="AE466" s="14">
        <v>817.08542713567829</v>
      </c>
      <c r="AF466" s="14">
        <v>947.0914127423822</v>
      </c>
      <c r="AG466" s="15">
        <v>0.29116992086709176</v>
      </c>
      <c r="AH466" s="15">
        <v>0.29759672316025793</v>
      </c>
      <c r="AI466" s="15">
        <v>0.30381812259706859</v>
      </c>
      <c r="AJ466" s="41">
        <f t="shared" si="14"/>
        <v>309.07</v>
      </c>
      <c r="AK466" s="44">
        <f t="shared" si="15"/>
        <v>0.24676806083650188</v>
      </c>
      <c r="AL466" s="10"/>
      <c r="AM466" s="10"/>
    </row>
    <row r="467" spans="1:39" s="16" customFormat="1" ht="19" customHeight="1">
      <c r="A467" s="29" t="s">
        <v>528</v>
      </c>
      <c r="B467" s="29" t="s">
        <v>1365</v>
      </c>
      <c r="C467" s="29"/>
      <c r="D467" s="29"/>
      <c r="E467" s="30" t="s">
        <v>183</v>
      </c>
      <c r="F467" s="30" t="s">
        <v>249</v>
      </c>
      <c r="G467" s="31" t="s">
        <v>439</v>
      </c>
      <c r="H467" s="35">
        <v>0.39100000000000001</v>
      </c>
      <c r="I467" s="35">
        <v>9.1300000000000008</v>
      </c>
      <c r="J467" s="13">
        <v>35.5</v>
      </c>
      <c r="K467" s="13">
        <v>127.4</v>
      </c>
      <c r="L467" s="13">
        <v>24.7</v>
      </c>
      <c r="M467" s="35">
        <v>199.7</v>
      </c>
      <c r="N467" s="13">
        <v>163.30000000000001</v>
      </c>
      <c r="O467" s="13">
        <v>90.8</v>
      </c>
      <c r="P467" s="13">
        <v>11.41</v>
      </c>
      <c r="Q467" s="13">
        <v>248.5</v>
      </c>
      <c r="R467" s="13">
        <v>50.2</v>
      </c>
      <c r="S467" s="13">
        <v>266.89999999999998</v>
      </c>
      <c r="T467" s="13">
        <v>869</v>
      </c>
      <c r="U467" s="13">
        <v>36.31</v>
      </c>
      <c r="V467" s="13">
        <v>72.400000000000006</v>
      </c>
      <c r="W467" s="13">
        <v>6.9</v>
      </c>
      <c r="X467" s="13">
        <v>31.42</v>
      </c>
      <c r="Y467" s="13">
        <v>3.95</v>
      </c>
      <c r="Z467" s="32">
        <v>109.2</v>
      </c>
      <c r="AA467" s="13"/>
      <c r="AB467" s="13"/>
      <c r="AC467" s="14">
        <v>613.51351351351354</v>
      </c>
      <c r="AD467" s="14">
        <v>202.66429840142098</v>
      </c>
      <c r="AE467" s="14">
        <v>1248.7437185929648</v>
      </c>
      <c r="AF467" s="14">
        <v>1390.5817174515237</v>
      </c>
      <c r="AG467" s="15">
        <v>0.21765446245272871</v>
      </c>
      <c r="AH467" s="15">
        <v>0.23154133057279866</v>
      </c>
      <c r="AI467" s="15">
        <v>0.25147548593673569</v>
      </c>
      <c r="AJ467" s="41">
        <f t="shared" si="14"/>
        <v>350.9</v>
      </c>
      <c r="AK467" s="44">
        <f t="shared" si="15"/>
        <v>0.2298043728423475</v>
      </c>
      <c r="AL467" s="10"/>
      <c r="AM467" s="10"/>
    </row>
    <row r="468" spans="1:39" s="16" customFormat="1" ht="19" customHeight="1">
      <c r="A468" s="29" t="s">
        <v>529</v>
      </c>
      <c r="B468" s="29" t="s">
        <v>1365</v>
      </c>
      <c r="C468" s="29"/>
      <c r="D468" s="29"/>
      <c r="E468" s="30" t="s">
        <v>183</v>
      </c>
      <c r="F468" s="30" t="s">
        <v>249</v>
      </c>
      <c r="G468" s="31" t="s">
        <v>439</v>
      </c>
      <c r="H468" s="35">
        <v>0.23300000000000001</v>
      </c>
      <c r="I468" s="35">
        <v>7.327</v>
      </c>
      <c r="J468" s="13">
        <v>72.400000000000006</v>
      </c>
      <c r="K468" s="13">
        <v>244</v>
      </c>
      <c r="L468" s="13">
        <v>43.8</v>
      </c>
      <c r="M468" s="35">
        <v>245.3</v>
      </c>
      <c r="N468" s="13">
        <v>259.3</v>
      </c>
      <c r="O468" s="13">
        <v>126.4</v>
      </c>
      <c r="P468" s="13">
        <v>13.14</v>
      </c>
      <c r="Q468" s="13">
        <v>224</v>
      </c>
      <c r="R468" s="13">
        <v>43.74</v>
      </c>
      <c r="S468" s="13">
        <v>260.2</v>
      </c>
      <c r="T468" s="13">
        <v>930</v>
      </c>
      <c r="U468" s="13">
        <v>38.44</v>
      </c>
      <c r="V468" s="13">
        <v>82.3</v>
      </c>
      <c r="W468" s="13">
        <v>8.31</v>
      </c>
      <c r="X468" s="13">
        <v>41.23</v>
      </c>
      <c r="Y468" s="13">
        <v>5.29</v>
      </c>
      <c r="Z468" s="32">
        <v>223.3</v>
      </c>
      <c r="AA468" s="13"/>
      <c r="AB468" s="13"/>
      <c r="AC468" s="14">
        <v>854.05405405405418</v>
      </c>
      <c r="AD468" s="14">
        <v>233.39253996447604</v>
      </c>
      <c r="AE468" s="14">
        <v>1125.6281407035176</v>
      </c>
      <c r="AF468" s="14">
        <v>1211.634349030471</v>
      </c>
      <c r="AG468" s="15">
        <v>0.23578788613902432</v>
      </c>
      <c r="AH468" s="15">
        <v>0.23803828911190869</v>
      </c>
      <c r="AI468" s="15">
        <v>0.24320520912867841</v>
      </c>
      <c r="AJ468" s="41">
        <f t="shared" si="14"/>
        <v>619.5</v>
      </c>
      <c r="AK468" s="44">
        <f t="shared" si="15"/>
        <v>0.26376344086021508</v>
      </c>
      <c r="AL468" s="10"/>
      <c r="AM468" s="10"/>
    </row>
    <row r="469" spans="1:39" s="16" customFormat="1" ht="19" customHeight="1">
      <c r="A469" s="29" t="s">
        <v>530</v>
      </c>
      <c r="B469" s="29" t="s">
        <v>1365</v>
      </c>
      <c r="C469" s="29"/>
      <c r="D469" s="29"/>
      <c r="E469" s="30" t="s">
        <v>183</v>
      </c>
      <c r="F469" s="30" t="s">
        <v>249</v>
      </c>
      <c r="G469" s="31" t="s">
        <v>439</v>
      </c>
      <c r="H469" s="35">
        <v>0.255</v>
      </c>
      <c r="I469" s="35">
        <v>6.32</v>
      </c>
      <c r="J469" s="13">
        <v>73.2</v>
      </c>
      <c r="K469" s="13">
        <v>243.4</v>
      </c>
      <c r="L469" s="13">
        <v>43.49</v>
      </c>
      <c r="M469" s="35">
        <v>322.8</v>
      </c>
      <c r="N469" s="13">
        <v>261</v>
      </c>
      <c r="O469" s="13">
        <v>128.5</v>
      </c>
      <c r="P469" s="13">
        <v>14.41</v>
      </c>
      <c r="Q469" s="13">
        <v>315</v>
      </c>
      <c r="R469" s="13">
        <v>62.8</v>
      </c>
      <c r="S469" s="13">
        <v>308.60000000000002</v>
      </c>
      <c r="T469" s="13">
        <v>969</v>
      </c>
      <c r="U469" s="13">
        <v>38.020000000000003</v>
      </c>
      <c r="V469" s="13">
        <v>71.599999999999994</v>
      </c>
      <c r="W469" s="13">
        <v>6.19</v>
      </c>
      <c r="X469" s="13">
        <v>26.29</v>
      </c>
      <c r="Y469" s="13">
        <v>3.16</v>
      </c>
      <c r="Z469" s="32">
        <v>147.80000000000001</v>
      </c>
      <c r="AA469" s="13"/>
      <c r="AB469" s="13"/>
      <c r="AC469" s="14">
        <v>868.24324324324334</v>
      </c>
      <c r="AD469" s="14">
        <v>255.95026642984016</v>
      </c>
      <c r="AE469" s="14">
        <v>1582.9145728643216</v>
      </c>
      <c r="AF469" s="14">
        <v>1739.6121883656508</v>
      </c>
      <c r="AG469" s="15">
        <v>0.20884029967216783</v>
      </c>
      <c r="AH469" s="15">
        <v>0.21832634340413787</v>
      </c>
      <c r="AI469" s="15">
        <v>0.23383552839499849</v>
      </c>
      <c r="AJ469" s="41">
        <f t="shared" si="14"/>
        <v>621.09</v>
      </c>
      <c r="AK469" s="44">
        <f t="shared" si="15"/>
        <v>0.33312693498452012</v>
      </c>
      <c r="AL469" s="10"/>
      <c r="AM469" s="10"/>
    </row>
    <row r="470" spans="1:39" s="16" customFormat="1" ht="19" customHeight="1">
      <c r="A470" s="29" t="s">
        <v>531</v>
      </c>
      <c r="B470" s="29" t="s">
        <v>1365</v>
      </c>
      <c r="C470" s="29"/>
      <c r="D470" s="29"/>
      <c r="E470" s="30" t="s">
        <v>183</v>
      </c>
      <c r="F470" s="30" t="s">
        <v>249</v>
      </c>
      <c r="G470" s="31" t="s">
        <v>439</v>
      </c>
      <c r="H470" s="35">
        <v>0.25900000000000001</v>
      </c>
      <c r="I470" s="35">
        <v>7.31</v>
      </c>
      <c r="J470" s="13">
        <v>39.299999999999997</v>
      </c>
      <c r="K470" s="13">
        <v>141.5</v>
      </c>
      <c r="L470" s="13">
        <v>27.6</v>
      </c>
      <c r="M470" s="35">
        <v>199</v>
      </c>
      <c r="N470" s="13">
        <v>184.7</v>
      </c>
      <c r="O470" s="13">
        <v>98.3</v>
      </c>
      <c r="P470" s="13">
        <v>11.41</v>
      </c>
      <c r="Q470" s="13">
        <v>179</v>
      </c>
      <c r="R470" s="13">
        <v>34.44</v>
      </c>
      <c r="S470" s="13">
        <v>203.5</v>
      </c>
      <c r="T470" s="13">
        <v>796</v>
      </c>
      <c r="U470" s="13">
        <v>31.91</v>
      </c>
      <c r="V470" s="13">
        <v>72.3</v>
      </c>
      <c r="W470" s="13">
        <v>7.88</v>
      </c>
      <c r="X470" s="13">
        <v>40.799999999999997</v>
      </c>
      <c r="Y470" s="13">
        <v>5.42</v>
      </c>
      <c r="Z470" s="32">
        <v>167.4</v>
      </c>
      <c r="AA470" s="13"/>
      <c r="AB470" s="13"/>
      <c r="AC470" s="14">
        <v>664.18918918918916</v>
      </c>
      <c r="AD470" s="14">
        <v>202.66429840142098</v>
      </c>
      <c r="AE470" s="14">
        <v>899.4974874371859</v>
      </c>
      <c r="AF470" s="14">
        <v>954.01662049861488</v>
      </c>
      <c r="AG470" s="15">
        <v>0.25921343633708693</v>
      </c>
      <c r="AH470" s="15">
        <v>0.26219920530662966</v>
      </c>
      <c r="AI470" s="15">
        <v>0.27043572865488752</v>
      </c>
      <c r="AJ470" s="41">
        <f t="shared" si="14"/>
        <v>393.1</v>
      </c>
      <c r="AK470" s="44">
        <f t="shared" si="15"/>
        <v>0.25</v>
      </c>
      <c r="AL470" s="10"/>
      <c r="AM470" s="10"/>
    </row>
    <row r="471" spans="1:39" s="16" customFormat="1" ht="19" customHeight="1">
      <c r="A471" s="29" t="s">
        <v>532</v>
      </c>
      <c r="B471" s="29" t="s">
        <v>1365</v>
      </c>
      <c r="C471" s="29"/>
      <c r="D471" s="29"/>
      <c r="E471" s="30" t="s">
        <v>183</v>
      </c>
      <c r="F471" s="30" t="s">
        <v>249</v>
      </c>
      <c r="G471" s="31" t="s">
        <v>439</v>
      </c>
      <c r="H471" s="35">
        <v>2.129</v>
      </c>
      <c r="I471" s="35">
        <v>9.5500000000000007</v>
      </c>
      <c r="J471" s="13">
        <v>41.4</v>
      </c>
      <c r="K471" s="13">
        <v>128.69999999999999</v>
      </c>
      <c r="L471" s="13">
        <v>25.9</v>
      </c>
      <c r="M471" s="35">
        <v>202.4</v>
      </c>
      <c r="N471" s="13">
        <v>166.4</v>
      </c>
      <c r="O471" s="13">
        <v>84.7</v>
      </c>
      <c r="P471" s="13">
        <v>13.12</v>
      </c>
      <c r="Q471" s="13">
        <v>209.4</v>
      </c>
      <c r="R471" s="13">
        <v>44.7</v>
      </c>
      <c r="S471" s="13">
        <v>251.1</v>
      </c>
      <c r="T471" s="13">
        <v>872</v>
      </c>
      <c r="U471" s="13">
        <v>35.4</v>
      </c>
      <c r="V471" s="13">
        <v>77.7</v>
      </c>
      <c r="W471" s="13">
        <v>7.75</v>
      </c>
      <c r="X471" s="13">
        <v>39.04</v>
      </c>
      <c r="Y471" s="13">
        <v>4.87</v>
      </c>
      <c r="Z471" s="32">
        <v>116.4</v>
      </c>
      <c r="AA471" s="13"/>
      <c r="AB471" s="13"/>
      <c r="AC471" s="14">
        <v>572.29729729729729</v>
      </c>
      <c r="AD471" s="14">
        <v>233.0373001776199</v>
      </c>
      <c r="AE471" s="14">
        <v>1052.2613065326632</v>
      </c>
      <c r="AF471" s="14">
        <v>1238.2271468144045</v>
      </c>
      <c r="AG471" s="15">
        <v>0.28689306698844269</v>
      </c>
      <c r="AH471" s="15">
        <v>0.30029824371867342</v>
      </c>
      <c r="AI471" s="15">
        <v>0.31483103475935637</v>
      </c>
      <c r="AJ471" s="41">
        <f t="shared" si="14"/>
        <v>362.4</v>
      </c>
      <c r="AK471" s="44">
        <f t="shared" si="15"/>
        <v>0.23211009174311928</v>
      </c>
      <c r="AL471" s="10"/>
      <c r="AM471" s="10"/>
    </row>
    <row r="472" spans="1:39" s="16" customFormat="1" ht="19" customHeight="1">
      <c r="A472" s="29" t="s">
        <v>533</v>
      </c>
      <c r="B472" s="29" t="s">
        <v>1365</v>
      </c>
      <c r="C472" s="29"/>
      <c r="D472" s="29"/>
      <c r="E472" s="30" t="s">
        <v>183</v>
      </c>
      <c r="F472" s="30" t="s">
        <v>249</v>
      </c>
      <c r="G472" s="31" t="s">
        <v>439</v>
      </c>
      <c r="H472" s="35">
        <v>0.33</v>
      </c>
      <c r="I472" s="35">
        <v>8.11</v>
      </c>
      <c r="J472" s="13">
        <v>35.200000000000003</v>
      </c>
      <c r="K472" s="13">
        <v>123.5</v>
      </c>
      <c r="L472" s="13">
        <v>23.8</v>
      </c>
      <c r="M472" s="35">
        <v>191.7</v>
      </c>
      <c r="N472" s="13">
        <v>154.19999999999999</v>
      </c>
      <c r="O472" s="13">
        <v>83</v>
      </c>
      <c r="P472" s="13">
        <v>11.43</v>
      </c>
      <c r="Q472" s="13">
        <v>169.2</v>
      </c>
      <c r="R472" s="13">
        <v>35</v>
      </c>
      <c r="S472" s="13">
        <v>206.2</v>
      </c>
      <c r="T472" s="13">
        <v>758</v>
      </c>
      <c r="U472" s="13">
        <v>31.84</v>
      </c>
      <c r="V472" s="13">
        <v>74.7</v>
      </c>
      <c r="W472" s="13">
        <v>8.24</v>
      </c>
      <c r="X472" s="13">
        <v>45.4</v>
      </c>
      <c r="Y472" s="13">
        <v>5.79</v>
      </c>
      <c r="Z472" s="32">
        <v>140</v>
      </c>
      <c r="AA472" s="13"/>
      <c r="AB472" s="13"/>
      <c r="AC472" s="14">
        <v>560.81081081081084</v>
      </c>
      <c r="AD472" s="14">
        <v>203.0195381882771</v>
      </c>
      <c r="AE472" s="14">
        <v>850.25125628140688</v>
      </c>
      <c r="AF472" s="14">
        <v>969.52908587257616</v>
      </c>
      <c r="AG472" s="15">
        <v>0.28775422842545889</v>
      </c>
      <c r="AH472" s="15">
        <v>0.29400587302161491</v>
      </c>
      <c r="AI472" s="15">
        <v>0.30162914544506025</v>
      </c>
      <c r="AJ472" s="41">
        <f t="shared" si="14"/>
        <v>336.7</v>
      </c>
      <c r="AK472" s="44">
        <f t="shared" si="15"/>
        <v>0.25290237467018467</v>
      </c>
      <c r="AL472" s="10"/>
      <c r="AM472" s="10"/>
    </row>
    <row r="473" spans="1:39" s="16" customFormat="1" ht="19" customHeight="1">
      <c r="A473" s="29" t="s">
        <v>534</v>
      </c>
      <c r="B473" s="29" t="s">
        <v>1365</v>
      </c>
      <c r="C473" s="29"/>
      <c r="D473" s="29"/>
      <c r="E473" s="30" t="s">
        <v>183</v>
      </c>
      <c r="F473" s="30" t="s">
        <v>249</v>
      </c>
      <c r="G473" s="31" t="s">
        <v>439</v>
      </c>
      <c r="H473" s="35">
        <v>0.34399999999999997</v>
      </c>
      <c r="I473" s="35">
        <v>8.85</v>
      </c>
      <c r="J473" s="13">
        <v>49.1</v>
      </c>
      <c r="K473" s="13">
        <v>168</v>
      </c>
      <c r="L473" s="13">
        <v>30.9</v>
      </c>
      <c r="M473" s="35">
        <v>221.4</v>
      </c>
      <c r="N473" s="13">
        <v>199.6</v>
      </c>
      <c r="O473" s="13">
        <v>100.5</v>
      </c>
      <c r="P473" s="13">
        <v>13.83</v>
      </c>
      <c r="Q473" s="13">
        <v>258.60000000000002</v>
      </c>
      <c r="R473" s="13">
        <v>54.6</v>
      </c>
      <c r="S473" s="13">
        <v>277.3</v>
      </c>
      <c r="T473" s="13">
        <v>864</v>
      </c>
      <c r="U473" s="13">
        <v>36.06</v>
      </c>
      <c r="V473" s="13">
        <v>73.599999999999994</v>
      </c>
      <c r="W473" s="13">
        <v>7.08</v>
      </c>
      <c r="X473" s="13">
        <v>32.67</v>
      </c>
      <c r="Y473" s="13">
        <v>4.07</v>
      </c>
      <c r="Z473" s="32">
        <v>134.30000000000001</v>
      </c>
      <c r="AA473" s="13"/>
      <c r="AB473" s="13"/>
      <c r="AC473" s="14">
        <v>679.05405405405406</v>
      </c>
      <c r="AD473" s="14">
        <v>245.64831261101244</v>
      </c>
      <c r="AE473" s="14">
        <v>1299.497487437186</v>
      </c>
      <c r="AF473" s="14">
        <v>1512.4653739612188</v>
      </c>
      <c r="AG473" s="15">
        <v>0.24831125948416444</v>
      </c>
      <c r="AH473" s="15">
        <v>0.26150132275769733</v>
      </c>
      <c r="AI473" s="15">
        <v>0.27700168297693928</v>
      </c>
      <c r="AJ473" s="41">
        <f t="shared" si="14"/>
        <v>447.6</v>
      </c>
      <c r="AK473" s="44">
        <f t="shared" si="15"/>
        <v>0.25625000000000003</v>
      </c>
      <c r="AL473" s="10"/>
      <c r="AM473" s="10"/>
    </row>
    <row r="474" spans="1:39" s="16" customFormat="1" ht="19" customHeight="1">
      <c r="A474" s="29" t="s">
        <v>535</v>
      </c>
      <c r="B474" s="29" t="s">
        <v>1366</v>
      </c>
      <c r="C474" s="29"/>
      <c r="D474" s="29"/>
      <c r="E474" s="30" t="s">
        <v>183</v>
      </c>
      <c r="F474" s="30" t="s">
        <v>249</v>
      </c>
      <c r="G474" s="31" t="s">
        <v>439</v>
      </c>
      <c r="H474" s="35">
        <v>1.1599999999999999</v>
      </c>
      <c r="I474" s="35">
        <v>2.48</v>
      </c>
      <c r="J474" s="13">
        <v>20.56</v>
      </c>
      <c r="K474" s="13">
        <v>68.7</v>
      </c>
      <c r="L474" s="13">
        <v>11.23</v>
      </c>
      <c r="M474" s="35">
        <v>2330</v>
      </c>
      <c r="N474" s="13">
        <v>65.5</v>
      </c>
      <c r="O474" s="13">
        <v>24.4</v>
      </c>
      <c r="P474" s="13">
        <v>3.93</v>
      </c>
      <c r="Q474" s="13">
        <v>32.5</v>
      </c>
      <c r="R474" s="13">
        <v>4.3600000000000003</v>
      </c>
      <c r="S474" s="13">
        <v>23.88</v>
      </c>
      <c r="T474" s="13">
        <v>97.1</v>
      </c>
      <c r="U474" s="13">
        <v>3.99</v>
      </c>
      <c r="V474" s="13">
        <v>8.5</v>
      </c>
      <c r="W474" s="13">
        <v>0.82399999999999995</v>
      </c>
      <c r="X474" s="13">
        <v>4.05</v>
      </c>
      <c r="Y474" s="13">
        <v>0.42</v>
      </c>
      <c r="Z474" s="35">
        <v>24.8</v>
      </c>
      <c r="AA474" s="13"/>
      <c r="AB474" s="13"/>
      <c r="AC474" s="14">
        <v>164.86486486486487</v>
      </c>
      <c r="AD474" s="14">
        <v>69.80461811722914</v>
      </c>
      <c r="AE474" s="14">
        <v>163.31658291457285</v>
      </c>
      <c r="AF474" s="14">
        <v>120.77562326869807</v>
      </c>
      <c r="AG474" s="15">
        <v>0.42540258500013095</v>
      </c>
      <c r="AH474" s="15">
        <v>0.42540731923093855</v>
      </c>
      <c r="AI474" s="15">
        <v>0.46968387742690343</v>
      </c>
      <c r="AJ474" s="41">
        <f t="shared" si="14"/>
        <v>165.99</v>
      </c>
      <c r="AK474" s="44">
        <f t="shared" si="15"/>
        <v>23.995880535530382</v>
      </c>
      <c r="AL474" s="10"/>
      <c r="AM474" s="10"/>
    </row>
    <row r="475" spans="1:39" s="16" customFormat="1" ht="19" customHeight="1">
      <c r="A475" s="29" t="s">
        <v>536</v>
      </c>
      <c r="B475" s="29" t="s">
        <v>1366</v>
      </c>
      <c r="C475" s="29"/>
      <c r="D475" s="29"/>
      <c r="E475" s="30" t="s">
        <v>183</v>
      </c>
      <c r="F475" s="30" t="s">
        <v>249</v>
      </c>
      <c r="G475" s="31" t="s">
        <v>439</v>
      </c>
      <c r="H475" s="35">
        <v>0.25</v>
      </c>
      <c r="I475" s="35">
        <v>1.6779999999999999</v>
      </c>
      <c r="J475" s="13">
        <v>26.5</v>
      </c>
      <c r="K475" s="13">
        <v>78.900000000000006</v>
      </c>
      <c r="L475" s="13">
        <v>14.1</v>
      </c>
      <c r="M475" s="35">
        <v>1667</v>
      </c>
      <c r="N475" s="13">
        <v>83.9</v>
      </c>
      <c r="O475" s="13">
        <v>27.3</v>
      </c>
      <c r="P475" s="13">
        <v>4.07</v>
      </c>
      <c r="Q475" s="13">
        <v>32.299999999999997</v>
      </c>
      <c r="R475" s="13">
        <v>4.26</v>
      </c>
      <c r="S475" s="13">
        <v>24.2</v>
      </c>
      <c r="T475" s="13">
        <v>90.9</v>
      </c>
      <c r="U475" s="13">
        <v>4.03</v>
      </c>
      <c r="V475" s="13">
        <v>9.75</v>
      </c>
      <c r="W475" s="13">
        <v>1.04</v>
      </c>
      <c r="X475" s="13">
        <v>4.95</v>
      </c>
      <c r="Y475" s="13">
        <v>0.57599999999999996</v>
      </c>
      <c r="Z475" s="35">
        <v>25.3</v>
      </c>
      <c r="AA475" s="13"/>
      <c r="AB475" s="13"/>
      <c r="AC475" s="14">
        <v>184.45945945945948</v>
      </c>
      <c r="AD475" s="14">
        <v>72.291296625222031</v>
      </c>
      <c r="AE475" s="14">
        <v>162.3115577889447</v>
      </c>
      <c r="AF475" s="14">
        <v>118.00554016620498</v>
      </c>
      <c r="AG475" s="15">
        <v>0.41693966928866638</v>
      </c>
      <c r="AH475" s="15">
        <v>0.4177926790395855</v>
      </c>
      <c r="AI475" s="15">
        <v>0.4548322607097377</v>
      </c>
      <c r="AJ475" s="41">
        <f t="shared" si="14"/>
        <v>203.4</v>
      </c>
      <c r="AK475" s="44">
        <f t="shared" si="15"/>
        <v>18.338833883388336</v>
      </c>
      <c r="AL475" s="10"/>
      <c r="AM475" s="10"/>
    </row>
    <row r="476" spans="1:39" s="16" customFormat="1" ht="19" customHeight="1">
      <c r="A476" s="29" t="s">
        <v>537</v>
      </c>
      <c r="B476" s="29" t="s">
        <v>1366</v>
      </c>
      <c r="C476" s="29"/>
      <c r="D476" s="29"/>
      <c r="E476" s="30" t="s">
        <v>183</v>
      </c>
      <c r="F476" s="30" t="s">
        <v>249</v>
      </c>
      <c r="G476" s="31" t="s">
        <v>439</v>
      </c>
      <c r="H476" s="35">
        <v>2.1399999999999999E-2</v>
      </c>
      <c r="I476" s="35">
        <v>0.52400000000000002</v>
      </c>
      <c r="J476" s="13">
        <v>4.67</v>
      </c>
      <c r="K476" s="13">
        <v>15.3</v>
      </c>
      <c r="L476" s="13">
        <v>2.57</v>
      </c>
      <c r="M476" s="35">
        <v>1745</v>
      </c>
      <c r="N476" s="13">
        <v>16.2</v>
      </c>
      <c r="O476" s="13">
        <v>5.67</v>
      </c>
      <c r="P476" s="13">
        <v>1.42</v>
      </c>
      <c r="Q476" s="13">
        <v>7.45</v>
      </c>
      <c r="R476" s="13">
        <v>0.92500000000000004</v>
      </c>
      <c r="S476" s="13">
        <v>6.2</v>
      </c>
      <c r="T476" s="13">
        <v>36.799999999999997</v>
      </c>
      <c r="U476" s="13">
        <v>1.212</v>
      </c>
      <c r="V476" s="13">
        <v>3.47</v>
      </c>
      <c r="W476" s="13">
        <v>0.47299999999999998</v>
      </c>
      <c r="X476" s="13">
        <v>2.77</v>
      </c>
      <c r="Y476" s="13">
        <v>0.41099999999999998</v>
      </c>
      <c r="Z476" s="35">
        <v>17.899999999999999</v>
      </c>
      <c r="AA476" s="13"/>
      <c r="AB476" s="13"/>
      <c r="AC476" s="14">
        <v>38.310810810810814</v>
      </c>
      <c r="AD476" s="14">
        <v>25.22202486678508</v>
      </c>
      <c r="AE476" s="14">
        <v>37.437185929648237</v>
      </c>
      <c r="AF476" s="14">
        <v>25.623268698060944</v>
      </c>
      <c r="AG476" s="15">
        <v>0.66594566066757288</v>
      </c>
      <c r="AH476" s="15">
        <v>0.665989956188351</v>
      </c>
      <c r="AI476" s="15">
        <v>0.75281375163522501</v>
      </c>
      <c r="AJ476" s="41">
        <f t="shared" si="14"/>
        <v>38.739999999999995</v>
      </c>
      <c r="AK476" s="44">
        <f t="shared" si="15"/>
        <v>47.41847826086957</v>
      </c>
      <c r="AL476" s="10"/>
      <c r="AM476" s="10"/>
    </row>
    <row r="477" spans="1:39" s="16" customFormat="1" ht="19" customHeight="1">
      <c r="A477" s="29" t="s">
        <v>538</v>
      </c>
      <c r="B477" s="29" t="s">
        <v>1366</v>
      </c>
      <c r="C477" s="29"/>
      <c r="D477" s="29"/>
      <c r="E477" s="30" t="s">
        <v>183</v>
      </c>
      <c r="F477" s="30" t="s">
        <v>249</v>
      </c>
      <c r="G477" s="31" t="s">
        <v>439</v>
      </c>
      <c r="H477" s="35">
        <v>0.30499999999999999</v>
      </c>
      <c r="I477" s="35">
        <v>0.72499999999999998</v>
      </c>
      <c r="J477" s="13">
        <v>12.34</v>
      </c>
      <c r="K477" s="13">
        <v>39.1</v>
      </c>
      <c r="L477" s="13">
        <v>7.85</v>
      </c>
      <c r="M477" s="35">
        <v>1438</v>
      </c>
      <c r="N477" s="13">
        <v>49.5</v>
      </c>
      <c r="O477" s="13">
        <v>21.9</v>
      </c>
      <c r="P477" s="13">
        <v>3.1</v>
      </c>
      <c r="Q477" s="13">
        <v>31.4</v>
      </c>
      <c r="R477" s="13">
        <v>4.45</v>
      </c>
      <c r="S477" s="13">
        <v>25.28</v>
      </c>
      <c r="T477" s="13">
        <v>105.3</v>
      </c>
      <c r="U477" s="13">
        <v>4.7300000000000004</v>
      </c>
      <c r="V477" s="13">
        <v>10.89</v>
      </c>
      <c r="W477" s="13">
        <v>1.1000000000000001</v>
      </c>
      <c r="X477" s="13">
        <v>4.9800000000000004</v>
      </c>
      <c r="Y477" s="13">
        <v>0.53200000000000003</v>
      </c>
      <c r="Z477" s="35">
        <v>27.6</v>
      </c>
      <c r="AA477" s="13"/>
      <c r="AB477" s="13"/>
      <c r="AC477" s="14">
        <v>147.97297297297297</v>
      </c>
      <c r="AD477" s="14">
        <v>55.062166962699827</v>
      </c>
      <c r="AE477" s="14">
        <v>157.78894472361807</v>
      </c>
      <c r="AF477" s="14">
        <v>123.26869806094183</v>
      </c>
      <c r="AG477" s="15">
        <v>0.36016366836983454</v>
      </c>
      <c r="AH477" s="15">
        <v>0.36034940842582369</v>
      </c>
      <c r="AI477" s="15">
        <v>0.39547050324460936</v>
      </c>
      <c r="AJ477" s="41">
        <f t="shared" si="14"/>
        <v>108.78999999999999</v>
      </c>
      <c r="AK477" s="44">
        <f t="shared" si="15"/>
        <v>13.656220322886989</v>
      </c>
      <c r="AL477" s="10"/>
      <c r="AM477" s="10"/>
    </row>
    <row r="478" spans="1:39" s="16" customFormat="1" ht="19" customHeight="1">
      <c r="A478" s="29" t="s">
        <v>539</v>
      </c>
      <c r="B478" s="29" t="s">
        <v>1366</v>
      </c>
      <c r="C478" s="29"/>
      <c r="D478" s="29"/>
      <c r="E478" s="30" t="s">
        <v>183</v>
      </c>
      <c r="F478" s="30" t="s">
        <v>249</v>
      </c>
      <c r="G478" s="31" t="s">
        <v>439</v>
      </c>
      <c r="H478" s="35">
        <v>0.35</v>
      </c>
      <c r="I478" s="35">
        <v>1.1439999999999999</v>
      </c>
      <c r="J478" s="13">
        <v>14.14</v>
      </c>
      <c r="K478" s="13">
        <v>44.8</v>
      </c>
      <c r="L478" s="13">
        <v>7.85</v>
      </c>
      <c r="M478" s="35">
        <v>1736</v>
      </c>
      <c r="N478" s="13">
        <v>46.2</v>
      </c>
      <c r="O478" s="13">
        <v>17.3</v>
      </c>
      <c r="P478" s="13">
        <v>3.1</v>
      </c>
      <c r="Q478" s="13">
        <v>18.2</v>
      </c>
      <c r="R478" s="13">
        <v>2.48</v>
      </c>
      <c r="S478" s="13">
        <v>13.85</v>
      </c>
      <c r="T478" s="13">
        <v>64.099999999999994</v>
      </c>
      <c r="U478" s="13">
        <v>2.41</v>
      </c>
      <c r="V478" s="13">
        <v>6.15</v>
      </c>
      <c r="W478" s="13">
        <v>0.69599999999999995</v>
      </c>
      <c r="X478" s="13">
        <v>3.73</v>
      </c>
      <c r="Y478" s="13">
        <v>0.47799999999999998</v>
      </c>
      <c r="Z478" s="35">
        <v>24</v>
      </c>
      <c r="AA478" s="13"/>
      <c r="AB478" s="13"/>
      <c r="AC478" s="14">
        <v>116.8918918918919</v>
      </c>
      <c r="AD478" s="14">
        <v>55.062166962699827</v>
      </c>
      <c r="AE478" s="14">
        <v>91.457286432160799</v>
      </c>
      <c r="AF478" s="14">
        <v>68.69806094182826</v>
      </c>
      <c r="AG478" s="15">
        <v>0.52855660296446894</v>
      </c>
      <c r="AH478" s="15">
        <v>0.53253965099754985</v>
      </c>
      <c r="AI478" s="15">
        <v>0.56236145734013088</v>
      </c>
      <c r="AJ478" s="41">
        <f t="shared" si="14"/>
        <v>112.99</v>
      </c>
      <c r="AK478" s="44">
        <f t="shared" si="15"/>
        <v>27.082683307332296</v>
      </c>
      <c r="AL478" s="10"/>
      <c r="AM478" s="10"/>
    </row>
    <row r="479" spans="1:39" s="16" customFormat="1" ht="19" customHeight="1">
      <c r="A479" s="29" t="s">
        <v>540</v>
      </c>
      <c r="B479" s="29" t="s">
        <v>1366</v>
      </c>
      <c r="C479" s="29"/>
      <c r="D479" s="29"/>
      <c r="E479" s="30" t="s">
        <v>183</v>
      </c>
      <c r="F479" s="30" t="s">
        <v>249</v>
      </c>
      <c r="G479" s="31" t="s">
        <v>439</v>
      </c>
      <c r="H479" s="35">
        <v>1.6</v>
      </c>
      <c r="I479" s="35">
        <v>1.1619999999999999</v>
      </c>
      <c r="J479" s="13">
        <v>13.79</v>
      </c>
      <c r="K479" s="13">
        <v>43.7</v>
      </c>
      <c r="L479" s="13">
        <v>8.26</v>
      </c>
      <c r="M479" s="35">
        <v>1860</v>
      </c>
      <c r="N479" s="13">
        <v>47.6</v>
      </c>
      <c r="O479" s="13">
        <v>15.6</v>
      </c>
      <c r="P479" s="13">
        <v>3.35</v>
      </c>
      <c r="Q479" s="13">
        <v>19.5</v>
      </c>
      <c r="R479" s="13">
        <v>2.3199999999999998</v>
      </c>
      <c r="S479" s="13">
        <v>12.87</v>
      </c>
      <c r="T479" s="13">
        <v>56.9</v>
      </c>
      <c r="U479" s="13">
        <v>2.29</v>
      </c>
      <c r="V479" s="13">
        <v>5.27</v>
      </c>
      <c r="W479" s="13">
        <v>0.57899999999999996</v>
      </c>
      <c r="X479" s="13">
        <v>3.02</v>
      </c>
      <c r="Y479" s="13">
        <v>0.36</v>
      </c>
      <c r="Z479" s="35">
        <v>21.2</v>
      </c>
      <c r="AA479" s="13"/>
      <c r="AB479" s="13"/>
      <c r="AC479" s="14">
        <v>105.4054054054054</v>
      </c>
      <c r="AD479" s="14">
        <v>59.502664298401427</v>
      </c>
      <c r="AE479" s="14">
        <v>97.989949748743712</v>
      </c>
      <c r="AF479" s="14">
        <v>64.265927977839326</v>
      </c>
      <c r="AG479" s="15">
        <v>0.58509363946197879</v>
      </c>
      <c r="AH479" s="15">
        <v>0.58548288372410462</v>
      </c>
      <c r="AI479" s="15">
        <v>0.66573424298556849</v>
      </c>
      <c r="AJ479" s="41">
        <f t="shared" si="14"/>
        <v>113.35</v>
      </c>
      <c r="AK479" s="44">
        <f t="shared" si="15"/>
        <v>32.688927943760987</v>
      </c>
      <c r="AL479" s="10"/>
      <c r="AM479" s="10"/>
    </row>
    <row r="480" spans="1:39" s="16" customFormat="1" ht="19" customHeight="1">
      <c r="A480" s="29" t="s">
        <v>541</v>
      </c>
      <c r="B480" s="29" t="s">
        <v>1366</v>
      </c>
      <c r="C480" s="29"/>
      <c r="D480" s="29"/>
      <c r="E480" s="30" t="s">
        <v>183</v>
      </c>
      <c r="F480" s="30" t="s">
        <v>249</v>
      </c>
      <c r="G480" s="31" t="s">
        <v>439</v>
      </c>
      <c r="H480" s="35">
        <v>0.51500000000000001</v>
      </c>
      <c r="I480" s="35">
        <v>0.68899999999999995</v>
      </c>
      <c r="J480" s="13">
        <v>5.1100000000000003</v>
      </c>
      <c r="K480" s="13">
        <v>20.399999999999999</v>
      </c>
      <c r="L480" s="13">
        <v>4</v>
      </c>
      <c r="M480" s="35">
        <v>1840</v>
      </c>
      <c r="N480" s="13">
        <v>26.4</v>
      </c>
      <c r="O480" s="13">
        <v>10.64</v>
      </c>
      <c r="P480" s="13">
        <v>2.2799999999999998</v>
      </c>
      <c r="Q480" s="13">
        <v>13.06</v>
      </c>
      <c r="R480" s="13">
        <v>1.91</v>
      </c>
      <c r="S480" s="13">
        <v>11.57</v>
      </c>
      <c r="T480" s="13">
        <v>58.8</v>
      </c>
      <c r="U480" s="13">
        <v>2.2269999999999999</v>
      </c>
      <c r="V480" s="13">
        <v>4.9000000000000004</v>
      </c>
      <c r="W480" s="13">
        <v>0.46400000000000002</v>
      </c>
      <c r="X480" s="13">
        <v>2.2999999999999998</v>
      </c>
      <c r="Y480" s="13">
        <v>0.24</v>
      </c>
      <c r="Z480" s="35">
        <v>13.7</v>
      </c>
      <c r="AA480" s="13"/>
      <c r="AB480" s="13"/>
      <c r="AC480" s="14">
        <v>71.891891891891902</v>
      </c>
      <c r="AD480" s="14">
        <v>40.49733570159858</v>
      </c>
      <c r="AE480" s="14">
        <v>65.628140703517587</v>
      </c>
      <c r="AF480" s="14">
        <v>52.908587257617725</v>
      </c>
      <c r="AG480" s="15">
        <v>0.58896634820824512</v>
      </c>
      <c r="AH480" s="15">
        <v>0.58957823902683559</v>
      </c>
      <c r="AI480" s="15">
        <v>0.62392318191176988</v>
      </c>
      <c r="AJ480" s="41">
        <f t="shared" si="14"/>
        <v>55.91</v>
      </c>
      <c r="AK480" s="44">
        <f t="shared" si="15"/>
        <v>31.292517006802722</v>
      </c>
      <c r="AL480" s="10"/>
      <c r="AM480" s="10"/>
    </row>
    <row r="481" spans="1:39" s="16" customFormat="1" ht="19" customHeight="1">
      <c r="A481" s="29" t="s">
        <v>542</v>
      </c>
      <c r="B481" s="29" t="s">
        <v>1366</v>
      </c>
      <c r="C481" s="29"/>
      <c r="D481" s="29"/>
      <c r="E481" s="30" t="s">
        <v>183</v>
      </c>
      <c r="F481" s="30" t="s">
        <v>249</v>
      </c>
      <c r="G481" s="31" t="s">
        <v>439</v>
      </c>
      <c r="H481" s="35">
        <v>1.78E-2</v>
      </c>
      <c r="I481" s="35">
        <v>0.38</v>
      </c>
      <c r="J481" s="13">
        <v>5.03</v>
      </c>
      <c r="K481" s="13">
        <v>16.48</v>
      </c>
      <c r="L481" s="13">
        <v>3.18</v>
      </c>
      <c r="M481" s="35">
        <v>1742</v>
      </c>
      <c r="N481" s="13">
        <v>17.86</v>
      </c>
      <c r="O481" s="13">
        <v>7.21</v>
      </c>
      <c r="P481" s="13">
        <v>2.0089999999999999</v>
      </c>
      <c r="Q481" s="13">
        <v>10.11</v>
      </c>
      <c r="R481" s="13">
        <v>1.6339999999999999</v>
      </c>
      <c r="S481" s="13">
        <v>10.68</v>
      </c>
      <c r="T481" s="13">
        <v>59.2</v>
      </c>
      <c r="U481" s="13">
        <v>2.1230000000000002</v>
      </c>
      <c r="V481" s="13">
        <v>5.69</v>
      </c>
      <c r="W481" s="13">
        <v>0.68600000000000005</v>
      </c>
      <c r="X481" s="13">
        <v>4.5199999999999996</v>
      </c>
      <c r="Y481" s="13">
        <v>0.57699999999999996</v>
      </c>
      <c r="Z481" s="35">
        <v>24.5</v>
      </c>
      <c r="AA481" s="13"/>
      <c r="AB481" s="13"/>
      <c r="AC481" s="14">
        <v>48.716216216216218</v>
      </c>
      <c r="AD481" s="14">
        <v>35.683836589698046</v>
      </c>
      <c r="AE481" s="14">
        <v>50.804020100502505</v>
      </c>
      <c r="AF481" s="14">
        <v>45.263157894736842</v>
      </c>
      <c r="AG481" s="15">
        <v>0.71711719968461141</v>
      </c>
      <c r="AH481" s="15">
        <v>0.71727505533392233</v>
      </c>
      <c r="AI481" s="15">
        <v>0.7506558827237062</v>
      </c>
      <c r="AJ481" s="41">
        <f t="shared" si="14"/>
        <v>42.55</v>
      </c>
      <c r="AK481" s="44">
        <f t="shared" si="15"/>
        <v>29.425675675675674</v>
      </c>
      <c r="AL481" s="10"/>
      <c r="AM481" s="10"/>
    </row>
    <row r="482" spans="1:39" s="16" customFormat="1" ht="19" customHeight="1">
      <c r="A482" s="29" t="s">
        <v>543</v>
      </c>
      <c r="B482" s="29" t="s">
        <v>1366</v>
      </c>
      <c r="C482" s="29"/>
      <c r="D482" s="29"/>
      <c r="E482" s="30" t="s">
        <v>183</v>
      </c>
      <c r="F482" s="30" t="s">
        <v>249</v>
      </c>
      <c r="G482" s="31" t="s">
        <v>439</v>
      </c>
      <c r="H482" s="35">
        <v>2.52E-2</v>
      </c>
      <c r="I482" s="35">
        <v>0.38500000000000001</v>
      </c>
      <c r="J482" s="13">
        <v>3.7</v>
      </c>
      <c r="K482" s="13">
        <v>12.96</v>
      </c>
      <c r="L482" s="13">
        <v>2.42</v>
      </c>
      <c r="M482" s="35">
        <v>1727</v>
      </c>
      <c r="N482" s="13">
        <v>14.46</v>
      </c>
      <c r="O482" s="13">
        <v>6.35</v>
      </c>
      <c r="P482" s="13">
        <v>1.71</v>
      </c>
      <c r="Q482" s="13">
        <v>8.9499999999999993</v>
      </c>
      <c r="R482" s="13">
        <v>1.347</v>
      </c>
      <c r="S482" s="13">
        <v>7.77</v>
      </c>
      <c r="T482" s="13">
        <v>49</v>
      </c>
      <c r="U482" s="13">
        <v>1.629</v>
      </c>
      <c r="V482" s="13">
        <v>4.62</v>
      </c>
      <c r="W482" s="13">
        <v>0.623</v>
      </c>
      <c r="X482" s="13">
        <v>3.68</v>
      </c>
      <c r="Y482" s="13">
        <v>0.53600000000000003</v>
      </c>
      <c r="Z482" s="35">
        <v>19.399999999999999</v>
      </c>
      <c r="AA482" s="13"/>
      <c r="AB482" s="13"/>
      <c r="AC482" s="14">
        <v>42.905405405405403</v>
      </c>
      <c r="AD482" s="14">
        <v>30.373001776198937</v>
      </c>
      <c r="AE482" s="14">
        <v>44.974874371859293</v>
      </c>
      <c r="AF482" s="14">
        <v>37.313019390581715</v>
      </c>
      <c r="AG482" s="15">
        <v>0.69123589167399691</v>
      </c>
      <c r="AH482" s="15">
        <v>0.69142763132442497</v>
      </c>
      <c r="AI482" s="15">
        <v>0.74163960028274734</v>
      </c>
      <c r="AJ482" s="41">
        <f t="shared" si="14"/>
        <v>33.54</v>
      </c>
      <c r="AK482" s="44">
        <f t="shared" si="15"/>
        <v>35.244897959183675</v>
      </c>
      <c r="AL482" s="10"/>
      <c r="AM482" s="10"/>
    </row>
    <row r="483" spans="1:39" s="16" customFormat="1" ht="19" customHeight="1">
      <c r="A483" s="29" t="s">
        <v>544</v>
      </c>
      <c r="B483" s="29" t="s">
        <v>1366</v>
      </c>
      <c r="C483" s="29"/>
      <c r="D483" s="29"/>
      <c r="E483" s="30" t="s">
        <v>183</v>
      </c>
      <c r="F483" s="30" t="s">
        <v>249</v>
      </c>
      <c r="G483" s="31" t="s">
        <v>439</v>
      </c>
      <c r="H483" s="35">
        <v>0.216</v>
      </c>
      <c r="I483" s="35">
        <v>2.145</v>
      </c>
      <c r="J483" s="13">
        <v>26.9</v>
      </c>
      <c r="K483" s="13">
        <v>85.8</v>
      </c>
      <c r="L483" s="13">
        <v>14.3</v>
      </c>
      <c r="M483" s="35">
        <v>1749</v>
      </c>
      <c r="N483" s="13">
        <v>86.4</v>
      </c>
      <c r="O483" s="13">
        <v>29.1</v>
      </c>
      <c r="P483" s="13">
        <v>4.3600000000000003</v>
      </c>
      <c r="Q483" s="13">
        <v>28.2</v>
      </c>
      <c r="R483" s="13">
        <v>3.25</v>
      </c>
      <c r="S483" s="13">
        <v>17.09</v>
      </c>
      <c r="T483" s="13">
        <v>59.8</v>
      </c>
      <c r="U483" s="13">
        <v>2.57</v>
      </c>
      <c r="V483" s="13">
        <v>5.64</v>
      </c>
      <c r="W483" s="13">
        <v>0.623</v>
      </c>
      <c r="X483" s="13">
        <v>2.91</v>
      </c>
      <c r="Y483" s="13">
        <v>0.39700000000000002</v>
      </c>
      <c r="Z483" s="35">
        <v>23.7</v>
      </c>
      <c r="AA483" s="13"/>
      <c r="AB483" s="13"/>
      <c r="AC483" s="14">
        <v>196.62162162162164</v>
      </c>
      <c r="AD483" s="14">
        <v>77.442273534635888</v>
      </c>
      <c r="AE483" s="14">
        <v>141.70854271356782</v>
      </c>
      <c r="AF483" s="14">
        <v>90.02770083102493</v>
      </c>
      <c r="AG483" s="15">
        <v>0.45779112652759218</v>
      </c>
      <c r="AH483" s="15">
        <v>0.46394280260545134</v>
      </c>
      <c r="AI483" s="15">
        <v>0.51101289484877188</v>
      </c>
      <c r="AJ483" s="41">
        <f t="shared" si="14"/>
        <v>213.39999999999998</v>
      </c>
      <c r="AK483" s="44">
        <f t="shared" si="15"/>
        <v>29.247491638795989</v>
      </c>
      <c r="AL483" s="10"/>
      <c r="AM483" s="10"/>
    </row>
    <row r="484" spans="1:39" s="16" customFormat="1" ht="19" customHeight="1">
      <c r="A484" s="29" t="s">
        <v>545</v>
      </c>
      <c r="B484" s="29" t="s">
        <v>1366</v>
      </c>
      <c r="C484" s="29"/>
      <c r="D484" s="29"/>
      <c r="E484" s="30" t="s">
        <v>183</v>
      </c>
      <c r="F484" s="30" t="s">
        <v>249</v>
      </c>
      <c r="G484" s="31" t="s">
        <v>439</v>
      </c>
      <c r="H484" s="35">
        <v>0.11600000000000001</v>
      </c>
      <c r="I484" s="35">
        <v>0.60499999999999998</v>
      </c>
      <c r="J484" s="13">
        <v>6.95</v>
      </c>
      <c r="K484" s="13">
        <v>21.3</v>
      </c>
      <c r="L484" s="13">
        <v>4.1100000000000003</v>
      </c>
      <c r="M484" s="35">
        <v>1834</v>
      </c>
      <c r="N484" s="13">
        <v>24.5</v>
      </c>
      <c r="O484" s="13">
        <v>8.7200000000000006</v>
      </c>
      <c r="P484" s="13">
        <v>1.7</v>
      </c>
      <c r="Q484" s="13">
        <v>10.67</v>
      </c>
      <c r="R484" s="13">
        <v>1.33</v>
      </c>
      <c r="S484" s="13">
        <v>8.42</v>
      </c>
      <c r="T484" s="13">
        <v>43.5</v>
      </c>
      <c r="U484" s="13">
        <v>1.62</v>
      </c>
      <c r="V484" s="13">
        <v>4.1900000000000004</v>
      </c>
      <c r="W484" s="13">
        <v>0.55800000000000005</v>
      </c>
      <c r="X484" s="13">
        <v>2.94</v>
      </c>
      <c r="Y484" s="13">
        <v>0.34799999999999998</v>
      </c>
      <c r="Z484" s="35">
        <v>19</v>
      </c>
      <c r="AA484" s="13"/>
      <c r="AB484" s="13"/>
      <c r="AC484" s="14">
        <v>58.918918918918926</v>
      </c>
      <c r="AD484" s="14">
        <v>30.195381882770871</v>
      </c>
      <c r="AE484" s="14">
        <v>53.618090452261306</v>
      </c>
      <c r="AF484" s="14">
        <v>36.842105263157897</v>
      </c>
      <c r="AG484" s="15">
        <v>0.53663025259854913</v>
      </c>
      <c r="AH484" s="15">
        <v>0.53722655331154578</v>
      </c>
      <c r="AI484" s="15">
        <v>0.59931599318735218</v>
      </c>
      <c r="AJ484" s="41">
        <f t="shared" si="14"/>
        <v>56.86</v>
      </c>
      <c r="AK484" s="44">
        <f t="shared" si="15"/>
        <v>42.160919540229884</v>
      </c>
      <c r="AL484" s="10"/>
      <c r="AM484" s="10"/>
    </row>
    <row r="485" spans="1:39" s="16" customFormat="1" ht="19" customHeight="1">
      <c r="A485" s="29" t="s">
        <v>546</v>
      </c>
      <c r="B485" s="29" t="s">
        <v>1366</v>
      </c>
      <c r="C485" s="29"/>
      <c r="D485" s="29"/>
      <c r="E485" s="30" t="s">
        <v>183</v>
      </c>
      <c r="F485" s="30" t="s">
        <v>249</v>
      </c>
      <c r="G485" s="31" t="s">
        <v>439</v>
      </c>
      <c r="H485" s="35">
        <v>0.29399999999999998</v>
      </c>
      <c r="I485" s="35">
        <v>1.998</v>
      </c>
      <c r="J485" s="13">
        <v>30.29</v>
      </c>
      <c r="K485" s="13">
        <v>93.5</v>
      </c>
      <c r="L485" s="13">
        <v>16.899999999999999</v>
      </c>
      <c r="M485" s="35">
        <v>1764</v>
      </c>
      <c r="N485" s="13">
        <v>99.2</v>
      </c>
      <c r="O485" s="13">
        <v>33.799999999999997</v>
      </c>
      <c r="P485" s="13">
        <v>4.8099999999999996</v>
      </c>
      <c r="Q485" s="13">
        <v>34.47</v>
      </c>
      <c r="R485" s="13">
        <v>4.25</v>
      </c>
      <c r="S485" s="13">
        <v>22.76</v>
      </c>
      <c r="T485" s="13">
        <v>88.1</v>
      </c>
      <c r="U485" s="13">
        <v>3.66</v>
      </c>
      <c r="V485" s="13">
        <v>8.09</v>
      </c>
      <c r="W485" s="13">
        <v>0.94299999999999995</v>
      </c>
      <c r="X485" s="13">
        <v>4.42</v>
      </c>
      <c r="Y485" s="13">
        <v>0.51800000000000002</v>
      </c>
      <c r="Z485" s="35">
        <v>24</v>
      </c>
      <c r="AA485" s="13"/>
      <c r="AB485" s="13"/>
      <c r="AC485" s="14">
        <v>228.37837837837836</v>
      </c>
      <c r="AD485" s="14">
        <v>85.435168738898753</v>
      </c>
      <c r="AE485" s="14">
        <v>173.21608040201002</v>
      </c>
      <c r="AF485" s="14">
        <v>117.72853185595568</v>
      </c>
      <c r="AG485" s="15">
        <v>0.42547981861283057</v>
      </c>
      <c r="AH485" s="15">
        <v>0.42955134733101707</v>
      </c>
      <c r="AI485" s="15">
        <v>0.46655851046876995</v>
      </c>
      <c r="AJ485" s="41">
        <f t="shared" si="14"/>
        <v>239.89</v>
      </c>
      <c r="AK485" s="44">
        <f t="shared" si="15"/>
        <v>20.022701475595916</v>
      </c>
      <c r="AL485" s="10"/>
      <c r="AM485" s="10"/>
    </row>
    <row r="486" spans="1:39" s="16" customFormat="1" ht="19" customHeight="1">
      <c r="A486" s="29" t="s">
        <v>547</v>
      </c>
      <c r="B486" s="29" t="s">
        <v>1366</v>
      </c>
      <c r="C486" s="29"/>
      <c r="D486" s="29"/>
      <c r="E486" s="30" t="s">
        <v>183</v>
      </c>
      <c r="F486" s="30" t="s">
        <v>249</v>
      </c>
      <c r="G486" s="31" t="s">
        <v>439</v>
      </c>
      <c r="H486" s="35">
        <v>0.218</v>
      </c>
      <c r="I486" s="35">
        <v>0.93200000000000005</v>
      </c>
      <c r="J486" s="13">
        <v>11.33</v>
      </c>
      <c r="K486" s="13">
        <v>37.4</v>
      </c>
      <c r="L486" s="13">
        <v>6.99</v>
      </c>
      <c r="M486" s="35">
        <v>1786</v>
      </c>
      <c r="N486" s="13">
        <v>42.7</v>
      </c>
      <c r="O486" s="13">
        <v>16.440000000000001</v>
      </c>
      <c r="P486" s="13">
        <v>3.62</v>
      </c>
      <c r="Q486" s="13">
        <v>21.8</v>
      </c>
      <c r="R486" s="13">
        <v>2.95</v>
      </c>
      <c r="S486" s="13">
        <v>16.98</v>
      </c>
      <c r="T486" s="13">
        <v>73.599999999999994</v>
      </c>
      <c r="U486" s="13">
        <v>3.22</v>
      </c>
      <c r="V486" s="13">
        <v>7.11</v>
      </c>
      <c r="W486" s="13">
        <v>0.78700000000000003</v>
      </c>
      <c r="X486" s="13">
        <v>3.81</v>
      </c>
      <c r="Y486" s="13">
        <v>0.47899999999999998</v>
      </c>
      <c r="Z486" s="35">
        <v>23.1</v>
      </c>
      <c r="AA486" s="13"/>
      <c r="AB486" s="13"/>
      <c r="AC486" s="14">
        <v>111.08108108108109</v>
      </c>
      <c r="AD486" s="14">
        <v>64.298401420959152</v>
      </c>
      <c r="AE486" s="14">
        <v>109.54773869346734</v>
      </c>
      <c r="AF486" s="14">
        <v>81.717451523545705</v>
      </c>
      <c r="AG486" s="15">
        <v>0.58286493565675646</v>
      </c>
      <c r="AH486" s="15">
        <v>0.58287901257103925</v>
      </c>
      <c r="AI486" s="15">
        <v>0.64121229223344089</v>
      </c>
      <c r="AJ486" s="41">
        <f t="shared" si="14"/>
        <v>98.42</v>
      </c>
      <c r="AK486" s="44">
        <f t="shared" si="15"/>
        <v>24.26630434782609</v>
      </c>
      <c r="AL486" s="10"/>
      <c r="AM486" s="10"/>
    </row>
    <row r="487" spans="1:39" s="16" customFormat="1" ht="19" customHeight="1">
      <c r="A487" s="29" t="s">
        <v>548</v>
      </c>
      <c r="B487" s="29" t="s">
        <v>1366</v>
      </c>
      <c r="C487" s="29"/>
      <c r="D487" s="29"/>
      <c r="E487" s="30" t="s">
        <v>183</v>
      </c>
      <c r="F487" s="30" t="s">
        <v>249</v>
      </c>
      <c r="G487" s="31" t="s">
        <v>439</v>
      </c>
      <c r="H487" s="35">
        <v>2.1899999999999999E-2</v>
      </c>
      <c r="I487" s="35">
        <v>0.27100000000000002</v>
      </c>
      <c r="J487" s="13">
        <v>2.11</v>
      </c>
      <c r="K487" s="13">
        <v>7.15</v>
      </c>
      <c r="L487" s="13">
        <v>1.341</v>
      </c>
      <c r="M487" s="35">
        <v>1808</v>
      </c>
      <c r="N487" s="13">
        <v>8.44</v>
      </c>
      <c r="O487" s="13">
        <v>3.65</v>
      </c>
      <c r="P487" s="13">
        <v>1.1220000000000001</v>
      </c>
      <c r="Q487" s="13">
        <v>6.38</v>
      </c>
      <c r="R487" s="13">
        <v>1.085</v>
      </c>
      <c r="S487" s="13">
        <v>7.69</v>
      </c>
      <c r="T487" s="13">
        <v>48.92</v>
      </c>
      <c r="U487" s="13">
        <v>1.5980000000000001</v>
      </c>
      <c r="V487" s="13">
        <v>4.24</v>
      </c>
      <c r="W487" s="13">
        <v>0.51200000000000001</v>
      </c>
      <c r="X487" s="13">
        <v>2.76</v>
      </c>
      <c r="Y487" s="13">
        <v>0.34899999999999998</v>
      </c>
      <c r="Z487" s="35">
        <v>16.899999999999999</v>
      </c>
      <c r="AA487" s="13"/>
      <c r="AB487" s="13"/>
      <c r="AC487" s="14">
        <v>24.662162162162161</v>
      </c>
      <c r="AD487" s="14">
        <v>19.928952042628779</v>
      </c>
      <c r="AE487" s="14">
        <v>32.060301507537687</v>
      </c>
      <c r="AF487" s="14">
        <v>30.05540166204986</v>
      </c>
      <c r="AG487" s="15">
        <v>0.70268287917382821</v>
      </c>
      <c r="AH487" s="15">
        <v>0.70873696809527242</v>
      </c>
      <c r="AI487" s="15">
        <v>0.75652424490046</v>
      </c>
      <c r="AJ487" s="41">
        <f t="shared" si="14"/>
        <v>19.040999999999997</v>
      </c>
      <c r="AK487" s="44">
        <f t="shared" si="15"/>
        <v>36.95829926410466</v>
      </c>
      <c r="AL487" s="10"/>
      <c r="AM487" s="10"/>
    </row>
    <row r="488" spans="1:39" s="16" customFormat="1" ht="19" customHeight="1">
      <c r="A488" s="29" t="s">
        <v>549</v>
      </c>
      <c r="B488" s="29" t="s">
        <v>1366</v>
      </c>
      <c r="C488" s="29"/>
      <c r="D488" s="29"/>
      <c r="E488" s="30" t="s">
        <v>183</v>
      </c>
      <c r="F488" s="30" t="s">
        <v>249</v>
      </c>
      <c r="G488" s="31" t="s">
        <v>439</v>
      </c>
      <c r="H488" s="35">
        <v>8.1</v>
      </c>
      <c r="I488" s="35">
        <v>2.8</v>
      </c>
      <c r="J488" s="13">
        <v>29.6</v>
      </c>
      <c r="K488" s="13">
        <v>79</v>
      </c>
      <c r="L488" s="13">
        <v>13.2</v>
      </c>
      <c r="M488" s="35">
        <v>1524</v>
      </c>
      <c r="N488" s="13">
        <v>75</v>
      </c>
      <c r="O488" s="13">
        <v>25.5</v>
      </c>
      <c r="P488" s="13">
        <v>3.46</v>
      </c>
      <c r="Q488" s="13">
        <v>29.6</v>
      </c>
      <c r="R488" s="13">
        <v>3.8</v>
      </c>
      <c r="S488" s="13">
        <v>21.2</v>
      </c>
      <c r="T488" s="13">
        <v>87.8</v>
      </c>
      <c r="U488" s="13">
        <v>3.71</v>
      </c>
      <c r="V488" s="13">
        <v>8.09</v>
      </c>
      <c r="W488" s="13">
        <v>0.85</v>
      </c>
      <c r="X488" s="13">
        <v>4.5</v>
      </c>
      <c r="Y488" s="13">
        <v>0.59</v>
      </c>
      <c r="Z488" s="35">
        <v>26.6</v>
      </c>
      <c r="AA488" s="13"/>
      <c r="AB488" s="13"/>
      <c r="AC488" s="14">
        <v>172.29729729729732</v>
      </c>
      <c r="AD488" s="14">
        <v>61.456483126110129</v>
      </c>
      <c r="AE488" s="14">
        <v>148.74371859296483</v>
      </c>
      <c r="AF488" s="14">
        <v>105.26315789473684</v>
      </c>
      <c r="AG488" s="15">
        <v>0.38285751716607519</v>
      </c>
      <c r="AH488" s="15">
        <v>0.38389208152857435</v>
      </c>
      <c r="AI488" s="15">
        <v>0.42036181890552882</v>
      </c>
      <c r="AJ488" s="41">
        <f t="shared" si="14"/>
        <v>196.8</v>
      </c>
      <c r="AK488" s="44">
        <f t="shared" si="15"/>
        <v>17.357630979498861</v>
      </c>
      <c r="AL488" s="10"/>
      <c r="AM488" s="10"/>
    </row>
    <row r="489" spans="1:39" s="16" customFormat="1" ht="19" customHeight="1">
      <c r="A489" s="29" t="s">
        <v>550</v>
      </c>
      <c r="B489" s="29" t="s">
        <v>1366</v>
      </c>
      <c r="C489" s="29"/>
      <c r="D489" s="29"/>
      <c r="E489" s="30" t="s">
        <v>183</v>
      </c>
      <c r="F489" s="30" t="s">
        <v>249</v>
      </c>
      <c r="G489" s="31" t="s">
        <v>439</v>
      </c>
      <c r="H489" s="35">
        <v>6.4000000000000003E-3</v>
      </c>
      <c r="I489" s="35">
        <v>0.111</v>
      </c>
      <c r="J489" s="13">
        <v>1.48</v>
      </c>
      <c r="K489" s="13">
        <v>4.9400000000000004</v>
      </c>
      <c r="L489" s="13">
        <v>0.91800000000000004</v>
      </c>
      <c r="M489" s="35">
        <v>1804</v>
      </c>
      <c r="N489" s="13">
        <v>5.83</v>
      </c>
      <c r="O489" s="13">
        <v>2.17</v>
      </c>
      <c r="P489" s="13">
        <v>0.627</v>
      </c>
      <c r="Q489" s="13">
        <v>3.27</v>
      </c>
      <c r="R489" s="13">
        <v>0.52300000000000002</v>
      </c>
      <c r="S489" s="13">
        <v>4.25</v>
      </c>
      <c r="T489" s="13">
        <v>32.56</v>
      </c>
      <c r="U489" s="13">
        <v>0.95599999999999996</v>
      </c>
      <c r="V489" s="13">
        <v>3.07</v>
      </c>
      <c r="W489" s="13">
        <v>0.38400000000000001</v>
      </c>
      <c r="X489" s="13">
        <v>2.56</v>
      </c>
      <c r="Y489" s="13">
        <v>0.34</v>
      </c>
      <c r="Z489" s="35">
        <v>16.2</v>
      </c>
      <c r="AA489" s="13"/>
      <c r="AB489" s="13"/>
      <c r="AC489" s="14">
        <v>14.662162162162163</v>
      </c>
      <c r="AD489" s="14">
        <v>11.13676731793961</v>
      </c>
      <c r="AE489" s="14">
        <v>16.4321608040201</v>
      </c>
      <c r="AF489" s="14">
        <v>14.487534626038782</v>
      </c>
      <c r="AG489" s="15">
        <v>0.71632158256359513</v>
      </c>
      <c r="AH489" s="15">
        <v>0.71748495480484298</v>
      </c>
      <c r="AI489" s="15">
        <v>0.76259795818581089</v>
      </c>
      <c r="AJ489" s="41">
        <f t="shared" si="14"/>
        <v>13.167999999999999</v>
      </c>
      <c r="AK489" s="44">
        <f t="shared" si="15"/>
        <v>55.405405405405403</v>
      </c>
      <c r="AL489" s="10"/>
      <c r="AM489" s="10"/>
    </row>
    <row r="490" spans="1:39" s="16" customFormat="1" ht="19" customHeight="1">
      <c r="A490" s="29" t="s">
        <v>551</v>
      </c>
      <c r="B490" s="29" t="s">
        <v>1366</v>
      </c>
      <c r="C490" s="29"/>
      <c r="D490" s="29"/>
      <c r="E490" s="30" t="s">
        <v>183</v>
      </c>
      <c r="F490" s="30" t="s">
        <v>249</v>
      </c>
      <c r="G490" s="31" t="s">
        <v>439</v>
      </c>
      <c r="H490" s="35">
        <v>0.126</v>
      </c>
      <c r="I490" s="35">
        <v>1.3859999999999999</v>
      </c>
      <c r="J490" s="13">
        <v>28.3</v>
      </c>
      <c r="K490" s="13">
        <v>86</v>
      </c>
      <c r="L490" s="13">
        <v>15.19</v>
      </c>
      <c r="M490" s="35">
        <v>1766</v>
      </c>
      <c r="N490" s="13">
        <v>91.5</v>
      </c>
      <c r="O490" s="13">
        <v>30.4</v>
      </c>
      <c r="P490" s="13">
        <v>4.7</v>
      </c>
      <c r="Q490" s="13">
        <v>29.6</v>
      </c>
      <c r="R490" s="13">
        <v>3.63</v>
      </c>
      <c r="S490" s="13">
        <v>19.38</v>
      </c>
      <c r="T490" s="13">
        <v>67.5</v>
      </c>
      <c r="U490" s="13">
        <v>3.02</v>
      </c>
      <c r="V490" s="13">
        <v>6.63</v>
      </c>
      <c r="W490" s="13">
        <v>0.75700000000000001</v>
      </c>
      <c r="X490" s="13">
        <v>3.65</v>
      </c>
      <c r="Y490" s="13">
        <v>0.371</v>
      </c>
      <c r="Z490" s="35">
        <v>21.8</v>
      </c>
      <c r="AA490" s="13"/>
      <c r="AB490" s="13"/>
      <c r="AC490" s="14">
        <v>205.40540540540542</v>
      </c>
      <c r="AD490" s="14">
        <v>83.481349911190065</v>
      </c>
      <c r="AE490" s="14">
        <v>148.74371859296483</v>
      </c>
      <c r="AF490" s="14">
        <v>100.55401662049861</v>
      </c>
      <c r="AG490" s="15">
        <v>0.47144744546409917</v>
      </c>
      <c r="AH490" s="15">
        <v>0.47759988291509509</v>
      </c>
      <c r="AI490" s="15">
        <v>0.51568172800328427</v>
      </c>
      <c r="AJ490" s="41">
        <f t="shared" si="14"/>
        <v>220.99</v>
      </c>
      <c r="AK490" s="44">
        <f t="shared" si="15"/>
        <v>26.162962962962961</v>
      </c>
      <c r="AL490" s="10"/>
      <c r="AM490" s="10"/>
    </row>
    <row r="491" spans="1:39" s="16" customFormat="1" ht="19" customHeight="1">
      <c r="A491" s="29" t="s">
        <v>552</v>
      </c>
      <c r="B491" s="29" t="s">
        <v>1366</v>
      </c>
      <c r="C491" s="29"/>
      <c r="D491" s="29"/>
      <c r="E491" s="30" t="s">
        <v>183</v>
      </c>
      <c r="F491" s="30" t="s">
        <v>249</v>
      </c>
      <c r="G491" s="31" t="s">
        <v>439</v>
      </c>
      <c r="H491" s="35">
        <v>0.23400000000000001</v>
      </c>
      <c r="I491" s="35">
        <v>0.84399999999999997</v>
      </c>
      <c r="J491" s="13">
        <v>23.5</v>
      </c>
      <c r="K491" s="13">
        <v>74.3</v>
      </c>
      <c r="L491" s="13">
        <v>13.4</v>
      </c>
      <c r="M491" s="35">
        <v>1765</v>
      </c>
      <c r="N491" s="13">
        <v>76.900000000000006</v>
      </c>
      <c r="O491" s="13">
        <v>28.7</v>
      </c>
      <c r="P491" s="13">
        <v>4.59</v>
      </c>
      <c r="Q491" s="13">
        <v>33</v>
      </c>
      <c r="R491" s="13">
        <v>4.18</v>
      </c>
      <c r="S491" s="13">
        <v>22.6</v>
      </c>
      <c r="T491" s="13">
        <v>82.9</v>
      </c>
      <c r="U491" s="13">
        <v>3.69</v>
      </c>
      <c r="V491" s="13">
        <v>7.92</v>
      </c>
      <c r="W491" s="13">
        <v>0.89200000000000002</v>
      </c>
      <c r="X491" s="13">
        <v>3.93</v>
      </c>
      <c r="Y491" s="13">
        <v>0.41199999999999998</v>
      </c>
      <c r="Z491" s="35">
        <v>24.3</v>
      </c>
      <c r="AA491" s="13"/>
      <c r="AB491" s="13"/>
      <c r="AC491" s="14">
        <v>193.91891891891893</v>
      </c>
      <c r="AD491" s="14">
        <v>81.52753108348135</v>
      </c>
      <c r="AE491" s="14">
        <v>165.8291457286432</v>
      </c>
      <c r="AF491" s="14">
        <v>115.78947368421052</v>
      </c>
      <c r="AG491" s="15">
        <v>0.45324792039313516</v>
      </c>
      <c r="AH491" s="15">
        <v>0.45463594374199945</v>
      </c>
      <c r="AI491" s="15">
        <v>0.49926885688997941</v>
      </c>
      <c r="AJ491" s="41">
        <f t="shared" si="14"/>
        <v>188.10000000000002</v>
      </c>
      <c r="AK491" s="44">
        <f t="shared" si="15"/>
        <v>21.29071170084439</v>
      </c>
      <c r="AL491" s="10"/>
      <c r="AM491" s="10"/>
    </row>
    <row r="492" spans="1:39" s="16" customFormat="1" ht="19" customHeight="1">
      <c r="A492" s="29" t="s">
        <v>553</v>
      </c>
      <c r="B492" s="29" t="s">
        <v>1366</v>
      </c>
      <c r="C492" s="29"/>
      <c r="D492" s="29"/>
      <c r="E492" s="30" t="s">
        <v>183</v>
      </c>
      <c r="F492" s="30" t="s">
        <v>249</v>
      </c>
      <c r="G492" s="31" t="s">
        <v>439</v>
      </c>
      <c r="H492" s="35">
        <v>0.26400000000000001</v>
      </c>
      <c r="I492" s="35">
        <v>0.85899999999999999</v>
      </c>
      <c r="J492" s="13">
        <v>17</v>
      </c>
      <c r="K492" s="13">
        <v>52.7</v>
      </c>
      <c r="L492" s="13">
        <v>9.1</v>
      </c>
      <c r="M492" s="35">
        <v>1778</v>
      </c>
      <c r="N492" s="13">
        <v>57.8</v>
      </c>
      <c r="O492" s="13">
        <v>22.9</v>
      </c>
      <c r="P492" s="13">
        <v>2.58</v>
      </c>
      <c r="Q492" s="13">
        <v>24.4</v>
      </c>
      <c r="R492" s="13">
        <v>2.99</v>
      </c>
      <c r="S492" s="13">
        <v>16.8</v>
      </c>
      <c r="T492" s="13">
        <v>65.8</v>
      </c>
      <c r="U492" s="13">
        <v>2.95</v>
      </c>
      <c r="V492" s="13">
        <v>6.98</v>
      </c>
      <c r="W492" s="13">
        <v>0.871</v>
      </c>
      <c r="X492" s="13">
        <v>4.3899999999999997</v>
      </c>
      <c r="Y492" s="13">
        <v>0.56499999999999995</v>
      </c>
      <c r="Z492" s="35">
        <v>24.3</v>
      </c>
      <c r="AA492" s="13"/>
      <c r="AB492" s="13"/>
      <c r="AC492" s="14">
        <v>154.72972972972974</v>
      </c>
      <c r="AD492" s="14">
        <v>45.825932504440502</v>
      </c>
      <c r="AE492" s="14">
        <v>122.61306532663315</v>
      </c>
      <c r="AF492" s="14">
        <v>82.825484764542935</v>
      </c>
      <c r="AG492" s="15">
        <v>0.33046420041398616</v>
      </c>
      <c r="AH492" s="15">
        <v>0.33270249112061012</v>
      </c>
      <c r="AI492" s="15">
        <v>0.36476022188451823</v>
      </c>
      <c r="AJ492" s="41">
        <f t="shared" si="14"/>
        <v>136.6</v>
      </c>
      <c r="AK492" s="44">
        <f t="shared" si="15"/>
        <v>27.021276595744681</v>
      </c>
      <c r="AL492" s="10"/>
      <c r="AM492" s="10"/>
    </row>
    <row r="493" spans="1:39" s="16" customFormat="1" ht="19" customHeight="1">
      <c r="A493" s="29" t="s">
        <v>554</v>
      </c>
      <c r="B493" s="29" t="s">
        <v>1366</v>
      </c>
      <c r="C493" s="29"/>
      <c r="D493" s="29"/>
      <c r="E493" s="30" t="s">
        <v>183</v>
      </c>
      <c r="F493" s="30" t="s">
        <v>249</v>
      </c>
      <c r="G493" s="31" t="s">
        <v>439</v>
      </c>
      <c r="H493" s="35">
        <v>7.1999999999999995E-2</v>
      </c>
      <c r="I493" s="35">
        <v>1.395</v>
      </c>
      <c r="J493" s="13">
        <v>9.58</v>
      </c>
      <c r="K493" s="13">
        <v>30.3</v>
      </c>
      <c r="L493" s="13">
        <v>5.49</v>
      </c>
      <c r="M493" s="35">
        <v>1589</v>
      </c>
      <c r="N493" s="13">
        <v>30.8</v>
      </c>
      <c r="O493" s="13">
        <v>10.52</v>
      </c>
      <c r="P493" s="13">
        <v>2.13</v>
      </c>
      <c r="Q493" s="13">
        <v>11.98</v>
      </c>
      <c r="R493" s="13">
        <v>1.76</v>
      </c>
      <c r="S493" s="13">
        <v>10.02</v>
      </c>
      <c r="T493" s="13">
        <v>55.2</v>
      </c>
      <c r="U493" s="13">
        <v>1.9350000000000001</v>
      </c>
      <c r="V493" s="13">
        <v>5.23</v>
      </c>
      <c r="W493" s="13">
        <v>0.69699999999999995</v>
      </c>
      <c r="X493" s="13">
        <v>3.74</v>
      </c>
      <c r="Y493" s="13">
        <v>0.52700000000000002</v>
      </c>
      <c r="Z493" s="35">
        <v>23.2</v>
      </c>
      <c r="AA493" s="13"/>
      <c r="AB493" s="13"/>
      <c r="AC493" s="14">
        <v>71.081081081081081</v>
      </c>
      <c r="AD493" s="14">
        <v>37.833037300177622</v>
      </c>
      <c r="AE493" s="14">
        <v>60.201005025125625</v>
      </c>
      <c r="AF493" s="14">
        <v>48.75346260387812</v>
      </c>
      <c r="AG493" s="15">
        <v>0.57636252473274752</v>
      </c>
      <c r="AH493" s="15">
        <v>0.57835211159572786</v>
      </c>
      <c r="AI493" s="15">
        <v>0.60353163217505557</v>
      </c>
      <c r="AJ493" s="41">
        <f t="shared" si="14"/>
        <v>76.17</v>
      </c>
      <c r="AK493" s="44">
        <f t="shared" si="15"/>
        <v>28.786231884057969</v>
      </c>
      <c r="AL493" s="10"/>
      <c r="AM493" s="10"/>
    </row>
    <row r="494" spans="1:39" s="16" customFormat="1" ht="19" customHeight="1">
      <c r="A494" s="29" t="s">
        <v>555</v>
      </c>
      <c r="B494" s="29" t="s">
        <v>1366</v>
      </c>
      <c r="C494" s="29"/>
      <c r="D494" s="29"/>
      <c r="E494" s="30" t="s">
        <v>183</v>
      </c>
      <c r="F494" s="30" t="s">
        <v>249</v>
      </c>
      <c r="G494" s="31" t="s">
        <v>439</v>
      </c>
      <c r="H494" s="35">
        <v>1.66</v>
      </c>
      <c r="I494" s="35">
        <v>1.0209999999999999</v>
      </c>
      <c r="J494" s="13">
        <v>11.81</v>
      </c>
      <c r="K494" s="13">
        <v>35.200000000000003</v>
      </c>
      <c r="L494" s="13">
        <v>7.01</v>
      </c>
      <c r="M494" s="35">
        <v>1621</v>
      </c>
      <c r="N494" s="13">
        <v>44.9</v>
      </c>
      <c r="O494" s="13">
        <v>16.059999999999999</v>
      </c>
      <c r="P494" s="13">
        <v>2.63</v>
      </c>
      <c r="Q494" s="13">
        <v>20.100000000000001</v>
      </c>
      <c r="R494" s="13">
        <v>2.5299999999999998</v>
      </c>
      <c r="S494" s="13">
        <v>15.36</v>
      </c>
      <c r="T494" s="13">
        <v>68.5</v>
      </c>
      <c r="U494" s="13">
        <v>2.81</v>
      </c>
      <c r="V494" s="13">
        <v>6.22</v>
      </c>
      <c r="W494" s="13">
        <v>0.66200000000000003</v>
      </c>
      <c r="X494" s="13">
        <v>3.56</v>
      </c>
      <c r="Y494" s="13">
        <v>0.45300000000000001</v>
      </c>
      <c r="Z494" s="35">
        <v>23.7</v>
      </c>
      <c r="AA494" s="13"/>
      <c r="AB494" s="13"/>
      <c r="AC494" s="14">
        <v>108.51351351351352</v>
      </c>
      <c r="AD494" s="14">
        <v>46.714031971580816</v>
      </c>
      <c r="AE494" s="14">
        <v>101.00502512562814</v>
      </c>
      <c r="AF494" s="14">
        <v>70.08310249307479</v>
      </c>
      <c r="AG494" s="15">
        <v>0.44591788655072107</v>
      </c>
      <c r="AH494" s="15">
        <v>0.44620450462600975</v>
      </c>
      <c r="AI494" s="15">
        <v>0.49802792753695996</v>
      </c>
      <c r="AJ494" s="41">
        <f t="shared" si="14"/>
        <v>98.92</v>
      </c>
      <c r="AK494" s="44">
        <f t="shared" si="15"/>
        <v>23.664233576642335</v>
      </c>
      <c r="AL494" s="10"/>
      <c r="AM494" s="10"/>
    </row>
    <row r="495" spans="1:39" s="16" customFormat="1" ht="19" customHeight="1">
      <c r="A495" s="29" t="s">
        <v>556</v>
      </c>
      <c r="B495" s="29" t="s">
        <v>1366</v>
      </c>
      <c r="C495" s="29"/>
      <c r="D495" s="29"/>
      <c r="E495" s="30" t="s">
        <v>183</v>
      </c>
      <c r="F495" s="30" t="s">
        <v>249</v>
      </c>
      <c r="G495" s="31" t="s">
        <v>439</v>
      </c>
      <c r="H495" s="35">
        <v>0.34799999999999998</v>
      </c>
      <c r="I495" s="35">
        <v>1.625</v>
      </c>
      <c r="J495" s="13">
        <v>21.08</v>
      </c>
      <c r="K495" s="13">
        <v>55.4</v>
      </c>
      <c r="L495" s="13">
        <v>8.1999999999999993</v>
      </c>
      <c r="M495" s="35">
        <v>2106</v>
      </c>
      <c r="N495" s="13">
        <v>37.200000000000003</v>
      </c>
      <c r="O495" s="13">
        <v>7.1</v>
      </c>
      <c r="P495" s="13">
        <v>1.496</v>
      </c>
      <c r="Q495" s="13">
        <v>7.17</v>
      </c>
      <c r="R495" s="13">
        <v>0.96199999999999997</v>
      </c>
      <c r="S495" s="13">
        <v>5.56</v>
      </c>
      <c r="T495" s="13">
        <v>33.08</v>
      </c>
      <c r="U495" s="13">
        <v>1.101</v>
      </c>
      <c r="V495" s="13">
        <v>2.93</v>
      </c>
      <c r="W495" s="13">
        <v>0.35</v>
      </c>
      <c r="X495" s="13">
        <v>1.77</v>
      </c>
      <c r="Y495" s="13">
        <v>0.223</v>
      </c>
      <c r="Z495" s="35">
        <v>22.2</v>
      </c>
      <c r="AA495" s="13"/>
      <c r="AB495" s="13"/>
      <c r="AC495" s="14">
        <v>47.972972972972975</v>
      </c>
      <c r="AD495" s="14">
        <v>26.571936056838368</v>
      </c>
      <c r="AE495" s="14">
        <v>36.030150753768844</v>
      </c>
      <c r="AF495" s="14">
        <v>26.64819944598338</v>
      </c>
      <c r="AG495" s="15">
        <v>0.63264161802543484</v>
      </c>
      <c r="AH495" s="15">
        <v>0.63913388383757863</v>
      </c>
      <c r="AI495" s="15">
        <v>0.67380798490081095</v>
      </c>
      <c r="AJ495" s="41">
        <f t="shared" si="14"/>
        <v>121.88</v>
      </c>
      <c r="AK495" s="44">
        <f t="shared" si="15"/>
        <v>63.663845223700122</v>
      </c>
      <c r="AL495" s="10"/>
      <c r="AM495" s="10"/>
    </row>
    <row r="496" spans="1:39" s="16" customFormat="1" ht="19" customHeight="1">
      <c r="A496" s="29" t="s">
        <v>557</v>
      </c>
      <c r="B496" s="29" t="s">
        <v>1366</v>
      </c>
      <c r="C496" s="29"/>
      <c r="D496" s="29"/>
      <c r="E496" s="30" t="s">
        <v>183</v>
      </c>
      <c r="F496" s="30" t="s">
        <v>249</v>
      </c>
      <c r="G496" s="31" t="s">
        <v>439</v>
      </c>
      <c r="H496" s="35">
        <v>9.6</v>
      </c>
      <c r="I496" s="35">
        <v>1.04</v>
      </c>
      <c r="J496" s="13">
        <v>22.61</v>
      </c>
      <c r="K496" s="13">
        <v>70.400000000000006</v>
      </c>
      <c r="L496" s="13">
        <v>13.48</v>
      </c>
      <c r="M496" s="35">
        <v>1557</v>
      </c>
      <c r="N496" s="13">
        <v>88.5</v>
      </c>
      <c r="O496" s="13">
        <v>30.9</v>
      </c>
      <c r="P496" s="13">
        <v>4.1100000000000003</v>
      </c>
      <c r="Q496" s="13">
        <v>37</v>
      </c>
      <c r="R496" s="13">
        <v>4.75</v>
      </c>
      <c r="S496" s="13">
        <v>28.52</v>
      </c>
      <c r="T496" s="13">
        <v>110.3</v>
      </c>
      <c r="U496" s="13">
        <v>4.6100000000000003</v>
      </c>
      <c r="V496" s="13">
        <v>9.9600000000000009</v>
      </c>
      <c r="W496" s="13">
        <v>1.0449999999999999</v>
      </c>
      <c r="X496" s="13">
        <v>4.55</v>
      </c>
      <c r="Y496" s="13">
        <v>0.57499999999999996</v>
      </c>
      <c r="Z496" s="35">
        <v>26.5</v>
      </c>
      <c r="AA496" s="13"/>
      <c r="AB496" s="13"/>
      <c r="AC496" s="14">
        <v>208.78378378378378</v>
      </c>
      <c r="AD496" s="14">
        <v>73.001776198934294</v>
      </c>
      <c r="AE496" s="14">
        <v>185.92964824120602</v>
      </c>
      <c r="AF496" s="14">
        <v>131.57894736842104</v>
      </c>
      <c r="AG496" s="15">
        <v>0.36989760305047059</v>
      </c>
      <c r="AH496" s="15">
        <v>0.37051920298608615</v>
      </c>
      <c r="AI496" s="15">
        <v>0.40782462794633612</v>
      </c>
      <c r="AJ496" s="41">
        <f t="shared" si="14"/>
        <v>194.99</v>
      </c>
      <c r="AK496" s="44">
        <f t="shared" si="15"/>
        <v>14.116047144152311</v>
      </c>
      <c r="AL496" s="10"/>
      <c r="AM496" s="10"/>
    </row>
    <row r="497" spans="1:39" s="16" customFormat="1" ht="19" customHeight="1">
      <c r="A497" s="29" t="s">
        <v>558</v>
      </c>
      <c r="B497" s="29" t="s">
        <v>1366</v>
      </c>
      <c r="C497" s="29"/>
      <c r="D497" s="29"/>
      <c r="E497" s="30" t="s">
        <v>183</v>
      </c>
      <c r="F497" s="30" t="s">
        <v>249</v>
      </c>
      <c r="G497" s="31" t="s">
        <v>439</v>
      </c>
      <c r="H497" s="35">
        <v>0.23599999999999999</v>
      </c>
      <c r="I497" s="35">
        <v>0.89300000000000002</v>
      </c>
      <c r="J497" s="13">
        <v>9.77</v>
      </c>
      <c r="K497" s="13">
        <v>30</v>
      </c>
      <c r="L497" s="13">
        <v>5.46</v>
      </c>
      <c r="M497" s="35">
        <v>1730</v>
      </c>
      <c r="N497" s="13">
        <v>34.1</v>
      </c>
      <c r="O497" s="13">
        <v>13.39</v>
      </c>
      <c r="P497" s="13">
        <v>2.4700000000000002</v>
      </c>
      <c r="Q497" s="13">
        <v>15.27</v>
      </c>
      <c r="R497" s="13">
        <v>2.012</v>
      </c>
      <c r="S497" s="13">
        <v>11.95</v>
      </c>
      <c r="T497" s="13">
        <v>59.6</v>
      </c>
      <c r="U497" s="13">
        <v>2.222</v>
      </c>
      <c r="V497" s="13">
        <v>5.38</v>
      </c>
      <c r="W497" s="13">
        <v>0.69599999999999995</v>
      </c>
      <c r="X497" s="13">
        <v>3.92</v>
      </c>
      <c r="Y497" s="13">
        <v>0.49399999999999999</v>
      </c>
      <c r="Z497" s="35">
        <v>25.8</v>
      </c>
      <c r="AA497" s="13"/>
      <c r="AB497" s="13"/>
      <c r="AC497" s="14">
        <v>90.472972972972983</v>
      </c>
      <c r="AD497" s="14">
        <v>43.8721136767318</v>
      </c>
      <c r="AE497" s="14">
        <v>76.733668341708537</v>
      </c>
      <c r="AF497" s="14">
        <v>55.734072022160667</v>
      </c>
      <c r="AG497" s="15">
        <v>0.52476520468065435</v>
      </c>
      <c r="AH497" s="15">
        <v>0.526545793107282</v>
      </c>
      <c r="AI497" s="15">
        <v>0.56990490219312617</v>
      </c>
      <c r="AJ497" s="41">
        <f t="shared" si="14"/>
        <v>79.33</v>
      </c>
      <c r="AK497" s="44">
        <f t="shared" si="15"/>
        <v>29.026845637583893</v>
      </c>
      <c r="AL497" s="10"/>
      <c r="AM497" s="10"/>
    </row>
    <row r="498" spans="1:39" s="16" customFormat="1" ht="19" customHeight="1">
      <c r="A498" s="29" t="s">
        <v>559</v>
      </c>
      <c r="B498" s="29" t="s">
        <v>1365</v>
      </c>
      <c r="C498" s="29"/>
      <c r="D498" s="29"/>
      <c r="E498" s="30" t="s">
        <v>183</v>
      </c>
      <c r="F498" s="30" t="s">
        <v>249</v>
      </c>
      <c r="G498" s="31" t="s">
        <v>439</v>
      </c>
      <c r="H498" s="35">
        <v>7.1000000000000004E-3</v>
      </c>
      <c r="I498" s="35">
        <v>0.15010000000000001</v>
      </c>
      <c r="J498" s="13">
        <v>2.17</v>
      </c>
      <c r="K498" s="13">
        <v>7.73</v>
      </c>
      <c r="L498" s="13">
        <v>1.446</v>
      </c>
      <c r="M498" s="35">
        <v>594.4</v>
      </c>
      <c r="N498" s="13">
        <v>7.36</v>
      </c>
      <c r="O498" s="13">
        <v>3.06</v>
      </c>
      <c r="P498" s="13">
        <v>0.84</v>
      </c>
      <c r="Q498" s="13">
        <v>5.03</v>
      </c>
      <c r="R498" s="13">
        <v>1.19</v>
      </c>
      <c r="S498" s="13">
        <v>11.6</v>
      </c>
      <c r="T498" s="13">
        <v>101</v>
      </c>
      <c r="U498" s="13">
        <v>3.198</v>
      </c>
      <c r="V498" s="13">
        <v>11.07</v>
      </c>
      <c r="W498" s="13">
        <v>1.504</v>
      </c>
      <c r="X498" s="13">
        <v>7.71</v>
      </c>
      <c r="Y498" s="13">
        <v>0.95499999999999996</v>
      </c>
      <c r="Z498" s="35">
        <v>589.9</v>
      </c>
      <c r="AA498" s="13"/>
      <c r="AB498" s="13"/>
      <c r="AC498" s="14">
        <v>20.675675675675677</v>
      </c>
      <c r="AD498" s="14">
        <v>14.920071047957371</v>
      </c>
      <c r="AE498" s="14">
        <v>25.276381909547737</v>
      </c>
      <c r="AF498" s="14">
        <v>32.963988919667585</v>
      </c>
      <c r="AG498" s="15">
        <v>0.64937553754960253</v>
      </c>
      <c r="AH498" s="15">
        <v>0.65265486752313184</v>
      </c>
      <c r="AI498" s="15">
        <v>0.6177098084826329</v>
      </c>
      <c r="AJ498" s="41">
        <f t="shared" si="14"/>
        <v>18.706</v>
      </c>
      <c r="AK498" s="44">
        <f t="shared" si="15"/>
        <v>5.885148514851485</v>
      </c>
      <c r="AL498" s="10"/>
      <c r="AM498" s="10"/>
    </row>
    <row r="499" spans="1:39" s="16" customFormat="1" ht="19" customHeight="1">
      <c r="A499" s="29" t="s">
        <v>560</v>
      </c>
      <c r="B499" s="29" t="s">
        <v>1365</v>
      </c>
      <c r="C499" s="29"/>
      <c r="D499" s="29"/>
      <c r="E499" s="30" t="s">
        <v>183</v>
      </c>
      <c r="F499" s="30" t="s">
        <v>249</v>
      </c>
      <c r="G499" s="31" t="s">
        <v>439</v>
      </c>
      <c r="H499" s="35">
        <v>8.5999999999999993E-2</v>
      </c>
      <c r="I499" s="35">
        <v>0.34899999999999998</v>
      </c>
      <c r="J499" s="13">
        <v>7.23</v>
      </c>
      <c r="K499" s="13">
        <v>22.46</v>
      </c>
      <c r="L499" s="13">
        <v>4.5599999999999996</v>
      </c>
      <c r="M499" s="35">
        <v>264.7</v>
      </c>
      <c r="N499" s="13">
        <v>23.79</v>
      </c>
      <c r="O499" s="13">
        <v>11.1</v>
      </c>
      <c r="P499" s="13">
        <v>3.15</v>
      </c>
      <c r="Q499" s="13">
        <v>18.63</v>
      </c>
      <c r="R499" s="13">
        <v>4.4000000000000004</v>
      </c>
      <c r="S499" s="13">
        <v>38.39</v>
      </c>
      <c r="T499" s="13">
        <v>304.2</v>
      </c>
      <c r="U499" s="13">
        <v>9.67</v>
      </c>
      <c r="V499" s="13">
        <v>30.06</v>
      </c>
      <c r="W499" s="13">
        <v>3.7530000000000001</v>
      </c>
      <c r="X499" s="13">
        <v>18.95</v>
      </c>
      <c r="Y499" s="13">
        <v>2.3769999999999998</v>
      </c>
      <c r="Z499" s="35">
        <v>245.5</v>
      </c>
      <c r="AA499" s="13"/>
      <c r="AB499" s="13"/>
      <c r="AC499" s="14">
        <v>75</v>
      </c>
      <c r="AD499" s="14">
        <v>55.950266429840141</v>
      </c>
      <c r="AE499" s="14">
        <v>93.618090452261299</v>
      </c>
      <c r="AF499" s="14">
        <v>121.8836565096953</v>
      </c>
      <c r="AG499" s="15">
        <v>0.66363302157879234</v>
      </c>
      <c r="AH499" s="15">
        <v>0.66771577699501616</v>
      </c>
      <c r="AI499" s="15">
        <v>0.63452123182689757</v>
      </c>
      <c r="AJ499" s="41">
        <f t="shared" si="14"/>
        <v>58.04</v>
      </c>
      <c r="AK499" s="44">
        <f t="shared" si="15"/>
        <v>0.87015121630506242</v>
      </c>
      <c r="AL499" s="10"/>
      <c r="AM499" s="10"/>
    </row>
    <row r="500" spans="1:39" s="16" customFormat="1" ht="19" customHeight="1">
      <c r="A500" s="29" t="s">
        <v>561</v>
      </c>
      <c r="B500" s="29" t="s">
        <v>1365</v>
      </c>
      <c r="C500" s="29"/>
      <c r="D500" s="29"/>
      <c r="E500" s="30" t="s">
        <v>183</v>
      </c>
      <c r="F500" s="30" t="s">
        <v>249</v>
      </c>
      <c r="G500" s="31" t="s">
        <v>439</v>
      </c>
      <c r="H500" s="35">
        <v>7.4000000000000003E-3</v>
      </c>
      <c r="I500" s="35">
        <v>0.26600000000000001</v>
      </c>
      <c r="J500" s="13">
        <v>5.44</v>
      </c>
      <c r="K500" s="13">
        <v>19.670000000000002</v>
      </c>
      <c r="L500" s="13">
        <v>3.95</v>
      </c>
      <c r="M500" s="35">
        <v>296.89999999999998</v>
      </c>
      <c r="N500" s="13">
        <v>20.77</v>
      </c>
      <c r="O500" s="13">
        <v>10.24</v>
      </c>
      <c r="P500" s="13">
        <v>2.82</v>
      </c>
      <c r="Q500" s="13">
        <v>17.82</v>
      </c>
      <c r="R500" s="13">
        <v>4.2</v>
      </c>
      <c r="S500" s="13">
        <v>39.200000000000003</v>
      </c>
      <c r="T500" s="13">
        <v>308.7</v>
      </c>
      <c r="U500" s="13">
        <v>9.84</v>
      </c>
      <c r="V500" s="13">
        <v>30.61</v>
      </c>
      <c r="W500" s="13">
        <v>3.92</v>
      </c>
      <c r="X500" s="13">
        <v>18.3</v>
      </c>
      <c r="Y500" s="13">
        <v>2.089</v>
      </c>
      <c r="Z500" s="35">
        <v>262.2</v>
      </c>
      <c r="AA500" s="13"/>
      <c r="AB500" s="13"/>
      <c r="AC500" s="14">
        <v>69.189189189189193</v>
      </c>
      <c r="AD500" s="14">
        <v>50.088809946714029</v>
      </c>
      <c r="AE500" s="14">
        <v>89.547738693467338</v>
      </c>
      <c r="AF500" s="14">
        <v>116.34349030470915</v>
      </c>
      <c r="AG500" s="15">
        <v>0.63109209198934857</v>
      </c>
      <c r="AH500" s="15">
        <v>0.63634741054805333</v>
      </c>
      <c r="AI500" s="15">
        <v>0.60879048582813422</v>
      </c>
      <c r="AJ500" s="41">
        <f t="shared" si="14"/>
        <v>49.83</v>
      </c>
      <c r="AK500" s="44">
        <f t="shared" si="15"/>
        <v>0.96177518626498215</v>
      </c>
      <c r="AL500" s="10"/>
      <c r="AM500" s="10"/>
    </row>
    <row r="501" spans="1:39" s="16" customFormat="1" ht="19" customHeight="1">
      <c r="A501" s="29" t="s">
        <v>562</v>
      </c>
      <c r="B501" s="29" t="s">
        <v>1365</v>
      </c>
      <c r="C501" s="29"/>
      <c r="D501" s="29"/>
      <c r="E501" s="30" t="s">
        <v>183</v>
      </c>
      <c r="F501" s="30" t="s">
        <v>249</v>
      </c>
      <c r="G501" s="31" t="s">
        <v>439</v>
      </c>
      <c r="H501" s="35">
        <v>4.0500000000000001E-2</v>
      </c>
      <c r="I501" s="35">
        <v>0.72</v>
      </c>
      <c r="J501" s="13">
        <v>3.43</v>
      </c>
      <c r="K501" s="13">
        <v>12.9</v>
      </c>
      <c r="L501" s="13">
        <v>2.96</v>
      </c>
      <c r="M501" s="35">
        <v>254.7</v>
      </c>
      <c r="N501" s="13">
        <v>17.100000000000001</v>
      </c>
      <c r="O501" s="13">
        <v>8.19</v>
      </c>
      <c r="P501" s="13">
        <v>2.5099999999999998</v>
      </c>
      <c r="Q501" s="13">
        <v>17.16</v>
      </c>
      <c r="R501" s="13">
        <v>3.61</v>
      </c>
      <c r="S501" s="13">
        <v>35.700000000000003</v>
      </c>
      <c r="T501" s="13">
        <v>291.39999999999998</v>
      </c>
      <c r="U501" s="13">
        <v>9.26</v>
      </c>
      <c r="V501" s="13">
        <v>26.98</v>
      </c>
      <c r="W501" s="13">
        <v>3.06</v>
      </c>
      <c r="X501" s="13">
        <v>13.33</v>
      </c>
      <c r="Y501" s="13">
        <v>1.4139999999999999</v>
      </c>
      <c r="Z501" s="35">
        <v>167.9</v>
      </c>
      <c r="AA501" s="13"/>
      <c r="AB501" s="13"/>
      <c r="AC501" s="14">
        <v>55.337837837837839</v>
      </c>
      <c r="AD501" s="14">
        <v>44.582593250444049</v>
      </c>
      <c r="AE501" s="14">
        <v>86.231155778894475</v>
      </c>
      <c r="AF501" s="14">
        <v>100</v>
      </c>
      <c r="AG501" s="15">
        <v>0.62983556090173043</v>
      </c>
      <c r="AH501" s="15">
        <v>0.64538984835362567</v>
      </c>
      <c r="AI501" s="15">
        <v>0.66142996989314906</v>
      </c>
      <c r="AJ501" s="41">
        <f t="shared" si="14"/>
        <v>36.39</v>
      </c>
      <c r="AK501" s="44">
        <f t="shared" si="15"/>
        <v>0.87405628002745372</v>
      </c>
      <c r="AL501" s="10"/>
      <c r="AM501" s="10"/>
    </row>
    <row r="502" spans="1:39" s="16" customFormat="1" ht="19" customHeight="1">
      <c r="A502" s="29" t="s">
        <v>563</v>
      </c>
      <c r="B502" s="29" t="s">
        <v>1365</v>
      </c>
      <c r="C502" s="29"/>
      <c r="D502" s="29"/>
      <c r="E502" s="30" t="s">
        <v>183</v>
      </c>
      <c r="F502" s="30" t="s">
        <v>249</v>
      </c>
      <c r="G502" s="31" t="s">
        <v>439</v>
      </c>
      <c r="H502" s="35">
        <v>0.04</v>
      </c>
      <c r="I502" s="35">
        <v>1.1950000000000001</v>
      </c>
      <c r="J502" s="13">
        <v>2.3719999999999999</v>
      </c>
      <c r="K502" s="13">
        <v>9.5399999999999991</v>
      </c>
      <c r="L502" s="13">
        <v>2.0699999999999998</v>
      </c>
      <c r="M502" s="35">
        <v>231.6</v>
      </c>
      <c r="N502" s="13">
        <v>13.07</v>
      </c>
      <c r="O502" s="13">
        <v>6.46</v>
      </c>
      <c r="P502" s="13">
        <v>2.02</v>
      </c>
      <c r="Q502" s="13">
        <v>13.19</v>
      </c>
      <c r="R502" s="13">
        <v>2.7690000000000001</v>
      </c>
      <c r="S502" s="13">
        <v>23.67</v>
      </c>
      <c r="T502" s="13">
        <v>158.69999999999999</v>
      </c>
      <c r="U502" s="13">
        <v>5.45</v>
      </c>
      <c r="V502" s="13">
        <v>14.74</v>
      </c>
      <c r="W502" s="13">
        <v>1.647</v>
      </c>
      <c r="X502" s="13">
        <v>7.43</v>
      </c>
      <c r="Y502" s="13">
        <v>0.8</v>
      </c>
      <c r="Z502" s="35">
        <v>140.9</v>
      </c>
      <c r="AA502" s="13"/>
      <c r="AB502" s="13"/>
      <c r="AC502" s="14">
        <v>43.648648648648653</v>
      </c>
      <c r="AD502" s="14">
        <v>35.879218472468921</v>
      </c>
      <c r="AE502" s="14">
        <v>66.281407035175874</v>
      </c>
      <c r="AF502" s="14">
        <v>76.70360110803324</v>
      </c>
      <c r="AG502" s="15">
        <v>0.65276449191771513</v>
      </c>
      <c r="AH502" s="15">
        <v>0.66705510735940365</v>
      </c>
      <c r="AI502" s="15">
        <v>0.68117262849470195</v>
      </c>
      <c r="AJ502" s="41">
        <f t="shared" si="14"/>
        <v>27.052</v>
      </c>
      <c r="AK502" s="44">
        <f t="shared" si="15"/>
        <v>1.4593572778827979</v>
      </c>
      <c r="AL502" s="10"/>
      <c r="AM502" s="10"/>
    </row>
    <row r="503" spans="1:39" s="16" customFormat="1" ht="19" customHeight="1">
      <c r="A503" s="29" t="s">
        <v>564</v>
      </c>
      <c r="B503" s="29" t="s">
        <v>1365</v>
      </c>
      <c r="C503" s="29"/>
      <c r="D503" s="29"/>
      <c r="E503" s="30" t="s">
        <v>183</v>
      </c>
      <c r="F503" s="30" t="s">
        <v>249</v>
      </c>
      <c r="G503" s="31" t="s">
        <v>439</v>
      </c>
      <c r="H503" s="35">
        <v>1.46E-2</v>
      </c>
      <c r="I503" s="35">
        <v>0.59199999999999997</v>
      </c>
      <c r="J503" s="13">
        <v>4.3899999999999997</v>
      </c>
      <c r="K503" s="13">
        <v>14.7</v>
      </c>
      <c r="L503" s="13">
        <v>3.05</v>
      </c>
      <c r="M503" s="35">
        <v>418.9</v>
      </c>
      <c r="N503" s="13">
        <v>15.7</v>
      </c>
      <c r="O503" s="13">
        <v>6.75</v>
      </c>
      <c r="P503" s="13">
        <v>2.23</v>
      </c>
      <c r="Q503" s="13">
        <v>13.29</v>
      </c>
      <c r="R503" s="13">
        <v>3.1</v>
      </c>
      <c r="S503" s="13">
        <v>28.64</v>
      </c>
      <c r="T503" s="13">
        <v>246</v>
      </c>
      <c r="U503" s="13">
        <v>7.72</v>
      </c>
      <c r="V503" s="13">
        <v>24.53</v>
      </c>
      <c r="W503" s="13">
        <v>2.9529999999999998</v>
      </c>
      <c r="X503" s="13">
        <v>14.04</v>
      </c>
      <c r="Y503" s="13">
        <v>1.65</v>
      </c>
      <c r="Z503" s="35">
        <v>346.7</v>
      </c>
      <c r="AA503" s="13"/>
      <c r="AB503" s="13"/>
      <c r="AC503" s="14">
        <v>45.608108108108112</v>
      </c>
      <c r="AD503" s="14">
        <v>39.609236234458265</v>
      </c>
      <c r="AE503" s="14">
        <v>66.783919597989936</v>
      </c>
      <c r="AF503" s="14">
        <v>85.872576177285325</v>
      </c>
      <c r="AG503" s="15">
        <v>0.70484067318431676</v>
      </c>
      <c r="AH503" s="15">
        <v>0.71769428376618738</v>
      </c>
      <c r="AI503" s="15">
        <v>0.70331562534279413</v>
      </c>
      <c r="AJ503" s="41">
        <f t="shared" si="14"/>
        <v>37.840000000000003</v>
      </c>
      <c r="AK503" s="44">
        <f t="shared" si="15"/>
        <v>1.7028455284552844</v>
      </c>
      <c r="AL503" s="10"/>
      <c r="AM503" s="10"/>
    </row>
    <row r="504" spans="1:39" s="16" customFormat="1" ht="19" customHeight="1">
      <c r="A504" s="29" t="s">
        <v>565</v>
      </c>
      <c r="B504" s="29" t="s">
        <v>1365</v>
      </c>
      <c r="C504" s="29"/>
      <c r="D504" s="29"/>
      <c r="E504" s="30" t="s">
        <v>183</v>
      </c>
      <c r="F504" s="30" t="s">
        <v>249</v>
      </c>
      <c r="G504" s="31" t="s">
        <v>439</v>
      </c>
      <c r="H504" s="35">
        <v>2.1100000000000001E-2</v>
      </c>
      <c r="I504" s="35">
        <v>1.016</v>
      </c>
      <c r="J504" s="13">
        <v>4.18</v>
      </c>
      <c r="K504" s="13">
        <v>15.9</v>
      </c>
      <c r="L504" s="13">
        <v>3.25</v>
      </c>
      <c r="M504" s="35">
        <v>305.2</v>
      </c>
      <c r="N504" s="13">
        <v>17.489999999999998</v>
      </c>
      <c r="O504" s="13">
        <v>8.34</v>
      </c>
      <c r="P504" s="13">
        <v>2.5270000000000001</v>
      </c>
      <c r="Q504" s="13">
        <v>15.43</v>
      </c>
      <c r="R504" s="13">
        <v>3.524</v>
      </c>
      <c r="S504" s="13">
        <v>32.22</v>
      </c>
      <c r="T504" s="13">
        <v>239.8</v>
      </c>
      <c r="U504" s="13">
        <v>8.1</v>
      </c>
      <c r="V504" s="13">
        <v>24.24</v>
      </c>
      <c r="W504" s="13">
        <v>2.867</v>
      </c>
      <c r="X504" s="13">
        <v>13.64</v>
      </c>
      <c r="Y504" s="13">
        <v>1.599</v>
      </c>
      <c r="Z504" s="35">
        <v>209.3</v>
      </c>
      <c r="AA504" s="13"/>
      <c r="AB504" s="13"/>
      <c r="AC504" s="14">
        <v>56.351351351351354</v>
      </c>
      <c r="AD504" s="14">
        <v>44.884547069271761</v>
      </c>
      <c r="AE504" s="14">
        <v>77.537688442211049</v>
      </c>
      <c r="AF504" s="14">
        <v>97.61772853185596</v>
      </c>
      <c r="AG504" s="15">
        <v>0.67047380634706566</v>
      </c>
      <c r="AH504" s="15">
        <v>0.67902889379979336</v>
      </c>
      <c r="AI504" s="15">
        <v>0.66320998755343086</v>
      </c>
      <c r="AJ504" s="41">
        <f t="shared" si="14"/>
        <v>40.819999999999993</v>
      </c>
      <c r="AK504" s="44">
        <f t="shared" si="15"/>
        <v>1.2727272727272727</v>
      </c>
      <c r="AL504" s="10"/>
      <c r="AM504" s="10"/>
    </row>
    <row r="505" spans="1:39" s="16" customFormat="1" ht="19" customHeight="1">
      <c r="A505" s="29" t="s">
        <v>566</v>
      </c>
      <c r="B505" s="29" t="s">
        <v>1365</v>
      </c>
      <c r="C505" s="29"/>
      <c r="D505" s="29"/>
      <c r="E505" s="30" t="s">
        <v>183</v>
      </c>
      <c r="F505" s="30" t="s">
        <v>249</v>
      </c>
      <c r="G505" s="31" t="s">
        <v>439</v>
      </c>
      <c r="H505" s="35">
        <v>1.0720000000000001</v>
      </c>
      <c r="I505" s="35">
        <v>0.48899999999999999</v>
      </c>
      <c r="J505" s="13">
        <v>8.98</v>
      </c>
      <c r="K505" s="13">
        <v>31.8</v>
      </c>
      <c r="L505" s="13">
        <v>6.24</v>
      </c>
      <c r="M505" s="35">
        <v>296.89999999999998</v>
      </c>
      <c r="N505" s="13">
        <v>31</v>
      </c>
      <c r="O505" s="13">
        <v>12.77</v>
      </c>
      <c r="P505" s="13">
        <v>3.64</v>
      </c>
      <c r="Q505" s="13">
        <v>20.34</v>
      </c>
      <c r="R505" s="13">
        <v>4.4400000000000004</v>
      </c>
      <c r="S505" s="13">
        <v>39.299999999999997</v>
      </c>
      <c r="T505" s="13">
        <v>298</v>
      </c>
      <c r="U505" s="13">
        <v>9.82</v>
      </c>
      <c r="V505" s="13">
        <v>31.4</v>
      </c>
      <c r="W505" s="13">
        <v>3.82</v>
      </c>
      <c r="X505" s="13">
        <v>18.93</v>
      </c>
      <c r="Y505" s="13">
        <v>2.1800000000000002</v>
      </c>
      <c r="Z505" s="35">
        <v>408.2</v>
      </c>
      <c r="AA505" s="13"/>
      <c r="AB505" s="13"/>
      <c r="AC505" s="14">
        <v>86.28378378378379</v>
      </c>
      <c r="AD505" s="14">
        <v>64.653641207815284</v>
      </c>
      <c r="AE505" s="14">
        <v>102.2110552763819</v>
      </c>
      <c r="AF505" s="14">
        <v>122.99168975069253</v>
      </c>
      <c r="AG505" s="15">
        <v>0.6859990600292083</v>
      </c>
      <c r="AH505" s="15">
        <v>0.68846118775219467</v>
      </c>
      <c r="AI505" s="15">
        <v>0.66580687968911423</v>
      </c>
      <c r="AJ505" s="41">
        <f t="shared" si="14"/>
        <v>78.02000000000001</v>
      </c>
      <c r="AK505" s="44">
        <f t="shared" si="15"/>
        <v>0.99630872483221466</v>
      </c>
      <c r="AL505" s="10"/>
      <c r="AM505" s="10"/>
    </row>
    <row r="506" spans="1:39" s="16" customFormat="1" ht="19" customHeight="1">
      <c r="A506" s="29" t="s">
        <v>567</v>
      </c>
      <c r="B506" s="29" t="s">
        <v>1365</v>
      </c>
      <c r="C506" s="29"/>
      <c r="D506" s="29"/>
      <c r="E506" s="30" t="s">
        <v>183</v>
      </c>
      <c r="F506" s="30" t="s">
        <v>249</v>
      </c>
      <c r="G506" s="31" t="s">
        <v>439</v>
      </c>
      <c r="H506" s="35">
        <v>24</v>
      </c>
      <c r="I506" s="35">
        <v>3.87</v>
      </c>
      <c r="J506" s="13">
        <v>51</v>
      </c>
      <c r="K506" s="13">
        <v>119.9</v>
      </c>
      <c r="L506" s="13">
        <v>18</v>
      </c>
      <c r="M506" s="35">
        <v>372.5</v>
      </c>
      <c r="N506" s="13">
        <v>66.5</v>
      </c>
      <c r="O506" s="13">
        <v>17.57</v>
      </c>
      <c r="P506" s="13">
        <v>4.51</v>
      </c>
      <c r="Q506" s="13">
        <v>21.73</v>
      </c>
      <c r="R506" s="13">
        <v>4.3099999999999996</v>
      </c>
      <c r="S506" s="13">
        <v>36.049999999999997</v>
      </c>
      <c r="T506" s="13">
        <v>280.2</v>
      </c>
      <c r="U506" s="13">
        <v>8.6</v>
      </c>
      <c r="V506" s="13">
        <v>26.88</v>
      </c>
      <c r="W506" s="13">
        <v>3.335</v>
      </c>
      <c r="X506" s="13">
        <v>16.22</v>
      </c>
      <c r="Y506" s="13">
        <v>1.867</v>
      </c>
      <c r="Z506" s="35">
        <v>279.5</v>
      </c>
      <c r="AA506" s="13"/>
      <c r="AB506" s="13"/>
      <c r="AC506" s="14">
        <v>118.71621621621622</v>
      </c>
      <c r="AD506" s="14">
        <v>80.106571936056838</v>
      </c>
      <c r="AE506" s="14">
        <v>109.19597989949749</v>
      </c>
      <c r="AF506" s="14">
        <v>119.39058171745151</v>
      </c>
      <c r="AG506" s="15">
        <v>0.70295994072546952</v>
      </c>
      <c r="AH506" s="15">
        <v>0.7035740274359944</v>
      </c>
      <c r="AI506" s="15">
        <v>0.67350076561030814</v>
      </c>
      <c r="AJ506" s="41">
        <f t="shared" si="14"/>
        <v>255.4</v>
      </c>
      <c r="AK506" s="44">
        <f t="shared" si="15"/>
        <v>1.3294075660242684</v>
      </c>
      <c r="AL506" s="10"/>
      <c r="AM506" s="10"/>
    </row>
    <row r="507" spans="1:39" s="16" customFormat="1" ht="19" customHeight="1">
      <c r="A507" s="29" t="s">
        <v>568</v>
      </c>
      <c r="B507" s="29" t="s">
        <v>1365</v>
      </c>
      <c r="C507" s="29"/>
      <c r="D507" s="29"/>
      <c r="E507" s="30" t="s">
        <v>183</v>
      </c>
      <c r="F507" s="30" t="s">
        <v>249</v>
      </c>
      <c r="G507" s="31" t="s">
        <v>439</v>
      </c>
      <c r="H507" s="35">
        <v>5.7000000000000002E-2</v>
      </c>
      <c r="I507" s="35">
        <v>0.22839999999999999</v>
      </c>
      <c r="J507" s="13">
        <v>3.99</v>
      </c>
      <c r="K507" s="13">
        <v>13.34</v>
      </c>
      <c r="L507" s="13">
        <v>2.5299999999999998</v>
      </c>
      <c r="M507" s="35">
        <v>409.9</v>
      </c>
      <c r="N507" s="13">
        <v>12.14</v>
      </c>
      <c r="O507" s="13">
        <v>5.1100000000000003</v>
      </c>
      <c r="P507" s="13">
        <v>1.3839999999999999</v>
      </c>
      <c r="Q507" s="13">
        <v>8.33</v>
      </c>
      <c r="R507" s="13">
        <v>1.9990000000000001</v>
      </c>
      <c r="S507" s="13">
        <v>18.72</v>
      </c>
      <c r="T507" s="13">
        <v>161.6</v>
      </c>
      <c r="U507" s="13">
        <v>5.04</v>
      </c>
      <c r="V507" s="13">
        <v>16.53</v>
      </c>
      <c r="W507" s="13">
        <v>2.153</v>
      </c>
      <c r="X507" s="13">
        <v>10.67</v>
      </c>
      <c r="Y507" s="13">
        <v>1.2210000000000001</v>
      </c>
      <c r="Z507" s="35">
        <v>495.5</v>
      </c>
      <c r="AA507" s="13"/>
      <c r="AB507" s="13"/>
      <c r="AC507" s="14">
        <v>34.527027027027032</v>
      </c>
      <c r="AD507" s="14">
        <v>24.582593250444049</v>
      </c>
      <c r="AE507" s="14">
        <v>41.859296482412056</v>
      </c>
      <c r="AF507" s="14">
        <v>55.37396121883657</v>
      </c>
      <c r="AG507" s="15">
        <v>0.64363860233190484</v>
      </c>
      <c r="AH507" s="15">
        <v>0.64662447736905482</v>
      </c>
      <c r="AI507" s="15">
        <v>0.60825596252805847</v>
      </c>
      <c r="AJ507" s="41">
        <f t="shared" si="14"/>
        <v>32</v>
      </c>
      <c r="AK507" s="44">
        <f t="shared" si="15"/>
        <v>2.5365099009900991</v>
      </c>
      <c r="AL507" s="10"/>
      <c r="AM507" s="10"/>
    </row>
    <row r="508" spans="1:39" s="16" customFormat="1" ht="19" customHeight="1">
      <c r="A508" s="29" t="s">
        <v>569</v>
      </c>
      <c r="B508" s="29" t="s">
        <v>1365</v>
      </c>
      <c r="C508" s="29"/>
      <c r="D508" s="29"/>
      <c r="E508" s="30" t="s">
        <v>183</v>
      </c>
      <c r="F508" s="30" t="s">
        <v>249</v>
      </c>
      <c r="G508" s="31" t="s">
        <v>439</v>
      </c>
      <c r="H508" s="35">
        <v>4.1000000000000003E-3</v>
      </c>
      <c r="I508" s="35">
        <v>0.45900000000000002</v>
      </c>
      <c r="J508" s="13">
        <v>5.26</v>
      </c>
      <c r="K508" s="13">
        <v>17.93</v>
      </c>
      <c r="L508" s="13">
        <v>3.79</v>
      </c>
      <c r="M508" s="35">
        <v>328.5</v>
      </c>
      <c r="N508" s="13">
        <v>18.82</v>
      </c>
      <c r="O508" s="13">
        <v>8.64</v>
      </c>
      <c r="P508" s="13">
        <v>2.6389999999999998</v>
      </c>
      <c r="Q508" s="13">
        <v>14.84</v>
      </c>
      <c r="R508" s="13">
        <v>3.33</v>
      </c>
      <c r="S508" s="13">
        <v>31.14</v>
      </c>
      <c r="T508" s="13">
        <v>258.10000000000002</v>
      </c>
      <c r="U508" s="13">
        <v>8.11</v>
      </c>
      <c r="V508" s="13">
        <v>25.31</v>
      </c>
      <c r="W508" s="13">
        <v>3.14</v>
      </c>
      <c r="X508" s="13">
        <v>15.28</v>
      </c>
      <c r="Y508" s="13">
        <v>1.7929999999999999</v>
      </c>
      <c r="Z508" s="35">
        <v>325.2</v>
      </c>
      <c r="AA508" s="13"/>
      <c r="AB508" s="13"/>
      <c r="AC508" s="14">
        <v>58.378378378378386</v>
      </c>
      <c r="AD508" s="14">
        <v>46.873889875666073</v>
      </c>
      <c r="AE508" s="14">
        <v>74.572864321608037</v>
      </c>
      <c r="AF508" s="14">
        <v>92.24376731301939</v>
      </c>
      <c r="AG508" s="15">
        <v>0.7051290220948172</v>
      </c>
      <c r="AH508" s="15">
        <v>0.71041900249256351</v>
      </c>
      <c r="AI508" s="15">
        <v>0.68936722815836482</v>
      </c>
      <c r="AJ508" s="41">
        <f t="shared" si="14"/>
        <v>45.8</v>
      </c>
      <c r="AK508" s="44">
        <f t="shared" si="15"/>
        <v>1.2727624951569159</v>
      </c>
      <c r="AL508" s="10"/>
      <c r="AM508" s="10"/>
    </row>
    <row r="509" spans="1:39" s="16" customFormat="1" ht="19" customHeight="1">
      <c r="A509" s="29" t="s">
        <v>570</v>
      </c>
      <c r="B509" s="29" t="s">
        <v>1365</v>
      </c>
      <c r="C509" s="29"/>
      <c r="D509" s="29"/>
      <c r="E509" s="30" t="s">
        <v>183</v>
      </c>
      <c r="F509" s="30" t="s">
        <v>249</v>
      </c>
      <c r="G509" s="31" t="s">
        <v>439</v>
      </c>
      <c r="H509" s="35">
        <v>9.9999999999999995E-7</v>
      </c>
      <c r="I509" s="35">
        <v>0.15</v>
      </c>
      <c r="J509" s="13">
        <v>6.18</v>
      </c>
      <c r="K509" s="13">
        <v>21.9</v>
      </c>
      <c r="L509" s="13">
        <v>4.4000000000000004</v>
      </c>
      <c r="M509" s="35">
        <v>316.3</v>
      </c>
      <c r="N509" s="13">
        <v>21.8</v>
      </c>
      <c r="O509" s="13">
        <v>8.6</v>
      </c>
      <c r="P509" s="13">
        <v>2.29</v>
      </c>
      <c r="Q509" s="13">
        <v>14.4</v>
      </c>
      <c r="R509" s="13">
        <v>3.19</v>
      </c>
      <c r="S509" s="13">
        <v>32</v>
      </c>
      <c r="T509" s="13">
        <v>309</v>
      </c>
      <c r="U509" s="13">
        <v>9.11</v>
      </c>
      <c r="V509" s="13">
        <v>31.2</v>
      </c>
      <c r="W509" s="13">
        <v>4.37</v>
      </c>
      <c r="X509" s="13">
        <v>23.3</v>
      </c>
      <c r="Y509" s="13">
        <v>2.75</v>
      </c>
      <c r="Z509" s="35">
        <v>465.4</v>
      </c>
      <c r="AA509" s="13"/>
      <c r="AB509" s="13"/>
      <c r="AC509" s="14">
        <v>58.108108108108105</v>
      </c>
      <c r="AD509" s="14">
        <v>40.674955595026645</v>
      </c>
      <c r="AE509" s="14">
        <v>72.361809045226124</v>
      </c>
      <c r="AF509" s="14">
        <v>88.365650969529085</v>
      </c>
      <c r="AG509" s="15">
        <v>0.62351469951841199</v>
      </c>
      <c r="AH509" s="15">
        <v>0.62726926971688057</v>
      </c>
      <c r="AI509" s="15">
        <v>0.60870672992996933</v>
      </c>
      <c r="AJ509" s="41">
        <f t="shared" si="14"/>
        <v>54.28</v>
      </c>
      <c r="AK509" s="44">
        <f t="shared" si="15"/>
        <v>1.0236245954692558</v>
      </c>
      <c r="AL509" s="10"/>
      <c r="AM509" s="10"/>
    </row>
    <row r="510" spans="1:39" s="16" customFormat="1" ht="19" customHeight="1">
      <c r="A510" s="29" t="s">
        <v>571</v>
      </c>
      <c r="B510" s="29" t="s">
        <v>1365</v>
      </c>
      <c r="C510" s="29"/>
      <c r="D510" s="29"/>
      <c r="E510" s="30" t="s">
        <v>183</v>
      </c>
      <c r="F510" s="30" t="s">
        <v>249</v>
      </c>
      <c r="G510" s="31" t="s">
        <v>439</v>
      </c>
      <c r="H510" s="35">
        <v>1.0699999999999999E-2</v>
      </c>
      <c r="I510" s="35">
        <v>0.47699999999999998</v>
      </c>
      <c r="J510" s="13">
        <v>6.55</v>
      </c>
      <c r="K510" s="13">
        <v>20.94</v>
      </c>
      <c r="L510" s="13">
        <v>4.13</v>
      </c>
      <c r="M510" s="35">
        <v>286.60000000000002</v>
      </c>
      <c r="N510" s="13">
        <v>23.1</v>
      </c>
      <c r="O510" s="13">
        <v>9.6</v>
      </c>
      <c r="P510" s="13">
        <v>2.97</v>
      </c>
      <c r="Q510" s="13">
        <v>17.2</v>
      </c>
      <c r="R510" s="13">
        <v>4.0599999999999996</v>
      </c>
      <c r="S510" s="13">
        <v>33.299999999999997</v>
      </c>
      <c r="T510" s="13">
        <v>269.5</v>
      </c>
      <c r="U510" s="13">
        <v>8.77</v>
      </c>
      <c r="V510" s="13">
        <v>27.5</v>
      </c>
      <c r="W510" s="13">
        <v>3.05</v>
      </c>
      <c r="X510" s="13">
        <v>15.5</v>
      </c>
      <c r="Y510" s="13">
        <v>1.76</v>
      </c>
      <c r="Z510" s="35">
        <v>455</v>
      </c>
      <c r="AA510" s="13"/>
      <c r="AB510" s="13"/>
      <c r="AC510" s="14">
        <v>64.86486486486487</v>
      </c>
      <c r="AD510" s="14">
        <v>52.753108348135001</v>
      </c>
      <c r="AE510" s="14">
        <v>86.432160804020086</v>
      </c>
      <c r="AF510" s="14">
        <v>112.46537396121883</v>
      </c>
      <c r="AG510" s="15">
        <v>0.69734494931295887</v>
      </c>
      <c r="AH510" s="15">
        <v>0.70453992754879935</v>
      </c>
      <c r="AI510" s="15">
        <v>0.67696897489067598</v>
      </c>
      <c r="AJ510" s="41">
        <f t="shared" si="14"/>
        <v>54.72</v>
      </c>
      <c r="AK510" s="44">
        <f t="shared" si="15"/>
        <v>1.0634508348794063</v>
      </c>
      <c r="AL510" s="10"/>
      <c r="AM510" s="10"/>
    </row>
    <row r="511" spans="1:39" s="16" customFormat="1" ht="19" customHeight="1">
      <c r="A511" s="29" t="s">
        <v>572</v>
      </c>
      <c r="B511" s="29" t="s">
        <v>1365</v>
      </c>
      <c r="C511" s="29"/>
      <c r="D511" s="29"/>
      <c r="E511" s="30" t="s">
        <v>183</v>
      </c>
      <c r="F511" s="30" t="s">
        <v>249</v>
      </c>
      <c r="G511" s="31" t="s">
        <v>439</v>
      </c>
      <c r="H511" s="35">
        <v>5.63</v>
      </c>
      <c r="I511" s="35">
        <v>5.43</v>
      </c>
      <c r="J511" s="13">
        <v>5.39</v>
      </c>
      <c r="K511" s="13">
        <v>18.7</v>
      </c>
      <c r="L511" s="13">
        <v>4.5</v>
      </c>
      <c r="M511" s="35">
        <v>253.9</v>
      </c>
      <c r="N511" s="13">
        <v>26.1</v>
      </c>
      <c r="O511" s="13">
        <v>12.87</v>
      </c>
      <c r="P511" s="13">
        <v>3.46</v>
      </c>
      <c r="Q511" s="13">
        <v>27.6</v>
      </c>
      <c r="R511" s="13">
        <v>5.9</v>
      </c>
      <c r="S511" s="13">
        <v>51.1</v>
      </c>
      <c r="T511" s="13">
        <v>367</v>
      </c>
      <c r="U511" s="13">
        <v>11.5</v>
      </c>
      <c r="V511" s="13">
        <v>32.4</v>
      </c>
      <c r="W511" s="13">
        <v>3.54</v>
      </c>
      <c r="X511" s="13">
        <v>15.49</v>
      </c>
      <c r="Y511" s="13">
        <v>1.72</v>
      </c>
      <c r="Z511" s="35">
        <v>182.7</v>
      </c>
      <c r="AA511" s="13"/>
      <c r="AB511" s="13"/>
      <c r="AC511" s="14">
        <v>86.959459459459453</v>
      </c>
      <c r="AD511" s="14">
        <v>61.456483126110129</v>
      </c>
      <c r="AE511" s="14">
        <v>138.69346733668343</v>
      </c>
      <c r="AF511" s="14">
        <v>163.43490304709141</v>
      </c>
      <c r="AG511" s="15">
        <v>0.54469918913686888</v>
      </c>
      <c r="AH511" s="15">
        <v>0.55960461235050907</v>
      </c>
      <c r="AI511" s="15">
        <v>0.57267498513650961</v>
      </c>
      <c r="AJ511" s="41">
        <f t="shared" si="14"/>
        <v>54.69</v>
      </c>
      <c r="AK511" s="44">
        <f t="shared" si="15"/>
        <v>0.69182561307901913</v>
      </c>
      <c r="AL511" s="10"/>
      <c r="AM511" s="10"/>
    </row>
    <row r="512" spans="1:39" s="16" customFormat="1" ht="19" customHeight="1">
      <c r="A512" s="29" t="s">
        <v>573</v>
      </c>
      <c r="B512" s="29" t="s">
        <v>1365</v>
      </c>
      <c r="C512" s="29"/>
      <c r="D512" s="29"/>
      <c r="E512" s="30" t="s">
        <v>183</v>
      </c>
      <c r="F512" s="30" t="s">
        <v>249</v>
      </c>
      <c r="G512" s="31" t="s">
        <v>439</v>
      </c>
      <c r="H512" s="35">
        <v>9.5000000000000001E-2</v>
      </c>
      <c r="I512" s="35">
        <v>0.39500000000000002</v>
      </c>
      <c r="J512" s="13">
        <v>6.09</v>
      </c>
      <c r="K512" s="13">
        <v>20.97</v>
      </c>
      <c r="L512" s="13">
        <v>4.24</v>
      </c>
      <c r="M512" s="35">
        <v>295.8</v>
      </c>
      <c r="N512" s="13">
        <v>22.3</v>
      </c>
      <c r="O512" s="13">
        <v>9.3800000000000008</v>
      </c>
      <c r="P512" s="13">
        <v>3.01</v>
      </c>
      <c r="Q512" s="13">
        <v>16.95</v>
      </c>
      <c r="R512" s="13">
        <v>3.77</v>
      </c>
      <c r="S512" s="13">
        <v>36.6</v>
      </c>
      <c r="T512" s="13">
        <v>305.39999999999998</v>
      </c>
      <c r="U512" s="13">
        <v>9.5299999999999994</v>
      </c>
      <c r="V512" s="13">
        <v>31.38</v>
      </c>
      <c r="W512" s="13">
        <v>4.0640000000000001</v>
      </c>
      <c r="X512" s="13">
        <v>20.45</v>
      </c>
      <c r="Y512" s="13">
        <v>2.468</v>
      </c>
      <c r="Z512" s="35">
        <v>334.6</v>
      </c>
      <c r="AA512" s="13"/>
      <c r="AB512" s="13"/>
      <c r="AC512" s="14">
        <v>63.378378378378386</v>
      </c>
      <c r="AD512" s="14">
        <v>53.46358792184725</v>
      </c>
      <c r="AE512" s="14">
        <v>85.175879396984911</v>
      </c>
      <c r="AF512" s="14">
        <v>104.43213296398892</v>
      </c>
      <c r="AG512" s="15">
        <v>0.71978533261150091</v>
      </c>
      <c r="AH512" s="15">
        <v>0.72766121321651978</v>
      </c>
      <c r="AI512" s="15">
        <v>0.71419910700685973</v>
      </c>
      <c r="AJ512" s="41">
        <f t="shared" si="14"/>
        <v>53.599999999999994</v>
      </c>
      <c r="AK512" s="44">
        <f t="shared" si="15"/>
        <v>0.96856581532416519</v>
      </c>
      <c r="AL512" s="10"/>
      <c r="AM512" s="10"/>
    </row>
    <row r="513" spans="1:39" s="16" customFormat="1" ht="19" customHeight="1">
      <c r="A513" s="29" t="s">
        <v>574</v>
      </c>
      <c r="B513" s="29" t="s">
        <v>1365</v>
      </c>
      <c r="C513" s="29"/>
      <c r="D513" s="29"/>
      <c r="E513" s="30" t="s">
        <v>183</v>
      </c>
      <c r="F513" s="30" t="s">
        <v>249</v>
      </c>
      <c r="G513" s="31" t="s">
        <v>439</v>
      </c>
      <c r="H513" s="35">
        <v>3.3999999999999998E-3</v>
      </c>
      <c r="I513" s="35">
        <v>7.3999999999999996E-2</v>
      </c>
      <c r="J513" s="13">
        <v>5.88</v>
      </c>
      <c r="K513" s="13">
        <v>20.92</v>
      </c>
      <c r="L513" s="13">
        <v>4.2699999999999996</v>
      </c>
      <c r="M513" s="35">
        <v>274.8</v>
      </c>
      <c r="N513" s="13">
        <v>19.8</v>
      </c>
      <c r="O513" s="13">
        <v>8.4700000000000006</v>
      </c>
      <c r="P513" s="13">
        <v>2.72</v>
      </c>
      <c r="Q513" s="13">
        <v>14.45</v>
      </c>
      <c r="R513" s="13">
        <v>3.52</v>
      </c>
      <c r="S513" s="13">
        <v>32.39</v>
      </c>
      <c r="T513" s="13">
        <v>288.10000000000002</v>
      </c>
      <c r="U513" s="13">
        <v>8.83</v>
      </c>
      <c r="V513" s="13">
        <v>28.43</v>
      </c>
      <c r="W513" s="13">
        <v>3.84</v>
      </c>
      <c r="X513" s="13">
        <v>19.88</v>
      </c>
      <c r="Y513" s="13">
        <v>2.452</v>
      </c>
      <c r="Z513" s="35">
        <v>442.5</v>
      </c>
      <c r="AA513" s="13"/>
      <c r="AB513" s="13"/>
      <c r="AC513" s="14">
        <v>57.229729729729733</v>
      </c>
      <c r="AD513" s="14">
        <v>48.312611012433401</v>
      </c>
      <c r="AE513" s="14">
        <v>72.613065326633162</v>
      </c>
      <c r="AF513" s="14">
        <v>97.50692520775624</v>
      </c>
      <c r="AG513" s="15">
        <v>0.74417084123091448</v>
      </c>
      <c r="AH513" s="15">
        <v>0.74944933119178936</v>
      </c>
      <c r="AI513" s="15">
        <v>0.70680708176933493</v>
      </c>
      <c r="AJ513" s="41">
        <f t="shared" si="14"/>
        <v>50.870000000000005</v>
      </c>
      <c r="AK513" s="44">
        <f t="shared" si="15"/>
        <v>0.95383547379382161</v>
      </c>
      <c r="AL513" s="10"/>
      <c r="AM513" s="10"/>
    </row>
    <row r="514" spans="1:39" s="16" customFormat="1" ht="19" customHeight="1">
      <c r="A514" s="29" t="s">
        <v>575</v>
      </c>
      <c r="B514" s="29" t="s">
        <v>1365</v>
      </c>
      <c r="C514" s="29"/>
      <c r="D514" s="29"/>
      <c r="E514" s="30" t="s">
        <v>183</v>
      </c>
      <c r="F514" s="30" t="s">
        <v>249</v>
      </c>
      <c r="G514" s="31" t="s">
        <v>439</v>
      </c>
      <c r="H514" s="35">
        <v>6.6E-3</v>
      </c>
      <c r="I514" s="35">
        <v>0.14599999999999999</v>
      </c>
      <c r="J514" s="13">
        <v>3.05</v>
      </c>
      <c r="K514" s="13">
        <v>10.3</v>
      </c>
      <c r="L514" s="13">
        <v>2.1539999999999999</v>
      </c>
      <c r="M514" s="35">
        <v>520.1</v>
      </c>
      <c r="N514" s="13">
        <v>10.37</v>
      </c>
      <c r="O514" s="13">
        <v>4.6900000000000004</v>
      </c>
      <c r="P514" s="13">
        <v>1.2769999999999999</v>
      </c>
      <c r="Q514" s="13">
        <v>7.63</v>
      </c>
      <c r="R514" s="13">
        <v>1.7909999999999999</v>
      </c>
      <c r="S514" s="13">
        <v>16.91</v>
      </c>
      <c r="T514" s="13">
        <v>155.80000000000001</v>
      </c>
      <c r="U514" s="13">
        <v>4.4409999999999998</v>
      </c>
      <c r="V514" s="13">
        <v>15.75</v>
      </c>
      <c r="W514" s="13">
        <v>2.2559999999999998</v>
      </c>
      <c r="X514" s="13">
        <v>11.72</v>
      </c>
      <c r="Y514" s="13">
        <v>1.39</v>
      </c>
      <c r="Z514" s="35">
        <v>291</v>
      </c>
      <c r="AA514" s="13"/>
      <c r="AB514" s="13"/>
      <c r="AC514" s="14">
        <v>31.689189189189193</v>
      </c>
      <c r="AD514" s="14">
        <v>22.682060390763766</v>
      </c>
      <c r="AE514" s="14">
        <v>38.341708542713569</v>
      </c>
      <c r="AF514" s="14">
        <v>49.612188365650965</v>
      </c>
      <c r="AG514" s="15">
        <v>0.64777294381108275</v>
      </c>
      <c r="AH514" s="15">
        <v>0.65071558429088527</v>
      </c>
      <c r="AI514" s="15">
        <v>0.61642317261211066</v>
      </c>
      <c r="AJ514" s="41">
        <f t="shared" si="14"/>
        <v>25.874000000000002</v>
      </c>
      <c r="AK514" s="44">
        <f t="shared" si="15"/>
        <v>3.3382541720154042</v>
      </c>
      <c r="AL514" s="10"/>
      <c r="AM514" s="10"/>
    </row>
    <row r="515" spans="1:39" s="16" customFormat="1" ht="19" customHeight="1">
      <c r="A515" s="29" t="s">
        <v>576</v>
      </c>
      <c r="B515" s="29" t="s">
        <v>1365</v>
      </c>
      <c r="C515" s="29"/>
      <c r="D515" s="29"/>
      <c r="E515" s="30" t="s">
        <v>183</v>
      </c>
      <c r="F515" s="30" t="s">
        <v>249</v>
      </c>
      <c r="G515" s="31" t="s">
        <v>439</v>
      </c>
      <c r="H515" s="35">
        <v>1.9599999999999999E-2</v>
      </c>
      <c r="I515" s="35">
        <v>0.88800000000000001</v>
      </c>
      <c r="J515" s="13">
        <v>4.72</v>
      </c>
      <c r="K515" s="13">
        <v>18.14</v>
      </c>
      <c r="L515" s="13">
        <v>3.82</v>
      </c>
      <c r="M515" s="35">
        <v>251.5</v>
      </c>
      <c r="N515" s="13">
        <v>18.899999999999999</v>
      </c>
      <c r="O515" s="13">
        <v>8.3800000000000008</v>
      </c>
      <c r="P515" s="13">
        <v>1.94</v>
      </c>
      <c r="Q515" s="13">
        <v>12.93</v>
      </c>
      <c r="R515" s="13">
        <v>3.04</v>
      </c>
      <c r="S515" s="13">
        <v>28.29</v>
      </c>
      <c r="T515" s="13">
        <v>237.9</v>
      </c>
      <c r="U515" s="13">
        <v>7.12</v>
      </c>
      <c r="V515" s="13">
        <v>23.88</v>
      </c>
      <c r="W515" s="13">
        <v>3.24</v>
      </c>
      <c r="X515" s="13">
        <v>17.43</v>
      </c>
      <c r="Y515" s="13">
        <v>2.13</v>
      </c>
      <c r="Z515" s="35">
        <v>181.2</v>
      </c>
      <c r="AA515" s="13"/>
      <c r="AB515" s="13"/>
      <c r="AC515" s="14">
        <v>56.621621621621628</v>
      </c>
      <c r="AD515" s="14">
        <v>34.458259325044409</v>
      </c>
      <c r="AE515" s="14">
        <v>64.974874371859286</v>
      </c>
      <c r="AF515" s="14">
        <v>84.21052631578948</v>
      </c>
      <c r="AG515" s="15">
        <v>0.56676401805018795</v>
      </c>
      <c r="AH515" s="15">
        <v>0.5681061087860525</v>
      </c>
      <c r="AI515" s="15">
        <v>0.53315031794484125</v>
      </c>
      <c r="AJ515" s="41">
        <f t="shared" si="14"/>
        <v>45.58</v>
      </c>
      <c r="AK515" s="44">
        <f t="shared" si="15"/>
        <v>1.0571668768390079</v>
      </c>
      <c r="AL515" s="10"/>
      <c r="AM515" s="10"/>
    </row>
    <row r="516" spans="1:39" s="16" customFormat="1" ht="19" customHeight="1">
      <c r="A516" s="29" t="s">
        <v>577</v>
      </c>
      <c r="B516" s="29" t="s">
        <v>1365</v>
      </c>
      <c r="C516" s="29"/>
      <c r="D516" s="29"/>
      <c r="E516" s="30" t="s">
        <v>183</v>
      </c>
      <c r="F516" s="30" t="s">
        <v>249</v>
      </c>
      <c r="G516" s="31" t="s">
        <v>439</v>
      </c>
      <c r="H516" s="35">
        <v>4.5699999999999998E-2</v>
      </c>
      <c r="I516" s="35">
        <v>0.14599999999999999</v>
      </c>
      <c r="J516" s="13">
        <v>3.29</v>
      </c>
      <c r="K516" s="13">
        <v>12.37</v>
      </c>
      <c r="L516" s="13">
        <v>2.85</v>
      </c>
      <c r="M516" s="35">
        <v>293.7</v>
      </c>
      <c r="N516" s="13">
        <v>14.38</v>
      </c>
      <c r="O516" s="13">
        <v>7.29</v>
      </c>
      <c r="P516" s="13">
        <v>1.8859999999999999</v>
      </c>
      <c r="Q516" s="13">
        <v>12.68</v>
      </c>
      <c r="R516" s="13">
        <v>2.8460000000000001</v>
      </c>
      <c r="S516" s="13">
        <v>26.46</v>
      </c>
      <c r="T516" s="13">
        <v>225.2</v>
      </c>
      <c r="U516" s="13">
        <v>6.69</v>
      </c>
      <c r="V516" s="13">
        <v>21.73</v>
      </c>
      <c r="W516" s="13">
        <v>2.8079999999999998</v>
      </c>
      <c r="X516" s="13">
        <v>14.45</v>
      </c>
      <c r="Y516" s="13">
        <v>1.7390000000000001</v>
      </c>
      <c r="Z516" s="35">
        <v>187.7</v>
      </c>
      <c r="AA516" s="13"/>
      <c r="AB516" s="13"/>
      <c r="AC516" s="14">
        <v>49.256756756756758</v>
      </c>
      <c r="AD516" s="14">
        <v>33.49911190053286</v>
      </c>
      <c r="AE516" s="14">
        <v>63.718592964824118</v>
      </c>
      <c r="AF516" s="14">
        <v>78.83656509695291</v>
      </c>
      <c r="AG516" s="15">
        <v>0.59303400225073644</v>
      </c>
      <c r="AH516" s="15">
        <v>0.59795334336450723</v>
      </c>
      <c r="AI516" s="15">
        <v>0.58140690748841717</v>
      </c>
      <c r="AJ516" s="41">
        <f t="shared" si="14"/>
        <v>32.89</v>
      </c>
      <c r="AK516" s="44">
        <f t="shared" si="15"/>
        <v>1.3041740674955595</v>
      </c>
      <c r="AL516" s="10"/>
      <c r="AM516" s="10"/>
    </row>
    <row r="517" spans="1:39" s="16" customFormat="1" ht="19" customHeight="1">
      <c r="A517" s="29" t="s">
        <v>578</v>
      </c>
      <c r="B517" s="29" t="s">
        <v>1365</v>
      </c>
      <c r="C517" s="29"/>
      <c r="D517" s="29"/>
      <c r="E517" s="30" t="s">
        <v>183</v>
      </c>
      <c r="F517" s="30" t="s">
        <v>249</v>
      </c>
      <c r="G517" s="31" t="s">
        <v>439</v>
      </c>
      <c r="H517" s="35">
        <v>5.16E-2</v>
      </c>
      <c r="I517" s="35">
        <v>0.90400000000000003</v>
      </c>
      <c r="J517" s="13">
        <v>6.57</v>
      </c>
      <c r="K517" s="13">
        <v>22.12</v>
      </c>
      <c r="L517" s="13">
        <v>4.37</v>
      </c>
      <c r="M517" s="35">
        <v>511.9</v>
      </c>
      <c r="N517" s="13">
        <v>22.7</v>
      </c>
      <c r="O517" s="13">
        <v>10.6</v>
      </c>
      <c r="P517" s="13">
        <v>3.21</v>
      </c>
      <c r="Q517" s="13">
        <v>18.72</v>
      </c>
      <c r="R517" s="13">
        <v>4.0599999999999996</v>
      </c>
      <c r="S517" s="13">
        <v>35.1</v>
      </c>
      <c r="T517" s="13">
        <v>269</v>
      </c>
      <c r="U517" s="13">
        <v>8.34</v>
      </c>
      <c r="V517" s="13">
        <v>24.79</v>
      </c>
      <c r="W517" s="13">
        <v>2.87</v>
      </c>
      <c r="X517" s="13">
        <v>12.79</v>
      </c>
      <c r="Y517" s="13">
        <v>1.3839999999999999</v>
      </c>
      <c r="Z517" s="35">
        <v>501</v>
      </c>
      <c r="AA517" s="13"/>
      <c r="AB517" s="13"/>
      <c r="AC517" s="14">
        <v>71.621621621621628</v>
      </c>
      <c r="AD517" s="14">
        <v>57.015985790408529</v>
      </c>
      <c r="AE517" s="14">
        <v>94.070351758793961</v>
      </c>
      <c r="AF517" s="14">
        <v>112.46537396121883</v>
      </c>
      <c r="AG517" s="15">
        <v>0.68821663025890045</v>
      </c>
      <c r="AH517" s="15">
        <v>0.69462143140025134</v>
      </c>
      <c r="AI517" s="15">
        <v>0.68490067455094494</v>
      </c>
      <c r="AJ517" s="41">
        <f t="shared" si="14"/>
        <v>55.760000000000005</v>
      </c>
      <c r="AK517" s="44">
        <f t="shared" si="15"/>
        <v>1.9029739776951673</v>
      </c>
      <c r="AL517" s="10"/>
      <c r="AM517" s="10"/>
    </row>
    <row r="518" spans="1:39" s="16" customFormat="1" ht="19" customHeight="1">
      <c r="A518" s="29" t="s">
        <v>579</v>
      </c>
      <c r="B518" s="29" t="s">
        <v>1365</v>
      </c>
      <c r="C518" s="29"/>
      <c r="D518" s="29"/>
      <c r="E518" s="30" t="s">
        <v>183</v>
      </c>
      <c r="F518" s="30" t="s">
        <v>249</v>
      </c>
      <c r="G518" s="31" t="s">
        <v>439</v>
      </c>
      <c r="H518" s="35">
        <v>6.8999999999999999E-3</v>
      </c>
      <c r="I518" s="35">
        <v>0.33400000000000002</v>
      </c>
      <c r="J518" s="13">
        <v>8.14</v>
      </c>
      <c r="K518" s="13">
        <v>27.09</v>
      </c>
      <c r="L518" s="13">
        <v>5.21</v>
      </c>
      <c r="M518" s="35">
        <v>339.7</v>
      </c>
      <c r="N518" s="13">
        <v>28</v>
      </c>
      <c r="O518" s="13">
        <v>12.07</v>
      </c>
      <c r="P518" s="13">
        <v>3.75</v>
      </c>
      <c r="Q518" s="13">
        <v>21.1</v>
      </c>
      <c r="R518" s="13">
        <v>4.66</v>
      </c>
      <c r="S518" s="13">
        <v>41.2</v>
      </c>
      <c r="T518" s="13">
        <v>354.3</v>
      </c>
      <c r="U518" s="13">
        <v>10.82</v>
      </c>
      <c r="V518" s="13">
        <v>35.479999999999997</v>
      </c>
      <c r="W518" s="13">
        <v>4.5599999999999996</v>
      </c>
      <c r="X518" s="13">
        <v>22.12</v>
      </c>
      <c r="Y518" s="13">
        <v>2.72</v>
      </c>
      <c r="Z518" s="35">
        <v>412.8</v>
      </c>
      <c r="AA518" s="13"/>
      <c r="AB518" s="13"/>
      <c r="AC518" s="14">
        <v>81.554054054054063</v>
      </c>
      <c r="AD518" s="14">
        <v>66.607460035523985</v>
      </c>
      <c r="AE518" s="14">
        <v>106.03015075376885</v>
      </c>
      <c r="AF518" s="14">
        <v>129.08587257617728</v>
      </c>
      <c r="AG518" s="15">
        <v>0.71016064602840401</v>
      </c>
      <c r="AH518" s="15">
        <v>0.71628425707873378</v>
      </c>
      <c r="AI518" s="15">
        <v>0.700808883506154</v>
      </c>
      <c r="AJ518" s="41">
        <f t="shared" ref="AJ518:AJ581" si="16">J518+K518+L518+N518</f>
        <v>68.44</v>
      </c>
      <c r="AK518" s="44">
        <f t="shared" ref="AK518:AK581" si="17">M518/T518</f>
        <v>0.95879198419418565</v>
      </c>
      <c r="AL518" s="10"/>
      <c r="AM518" s="10"/>
    </row>
    <row r="519" spans="1:39" s="16" customFormat="1" ht="19" customHeight="1">
      <c r="A519" s="29" t="s">
        <v>580</v>
      </c>
      <c r="B519" s="29" t="s">
        <v>1365</v>
      </c>
      <c r="C519" s="29"/>
      <c r="D519" s="29"/>
      <c r="E519" s="30" t="s">
        <v>183</v>
      </c>
      <c r="F519" s="30" t="s">
        <v>249</v>
      </c>
      <c r="G519" s="31" t="s">
        <v>439</v>
      </c>
      <c r="H519" s="35">
        <v>5.0999999999999997E-2</v>
      </c>
      <c r="I519" s="35">
        <v>0.66900000000000004</v>
      </c>
      <c r="J519" s="13">
        <v>7.3</v>
      </c>
      <c r="K519" s="13">
        <v>20.98</v>
      </c>
      <c r="L519" s="13">
        <v>4.17</v>
      </c>
      <c r="M519" s="35">
        <v>414.9</v>
      </c>
      <c r="N519" s="13">
        <v>21.8</v>
      </c>
      <c r="O519" s="13">
        <v>8.5299999999999994</v>
      </c>
      <c r="P519" s="13">
        <v>2.82</v>
      </c>
      <c r="Q519" s="13">
        <v>15.49</v>
      </c>
      <c r="R519" s="13">
        <v>3.53</v>
      </c>
      <c r="S519" s="13">
        <v>29.41</v>
      </c>
      <c r="T519" s="13">
        <v>230.7</v>
      </c>
      <c r="U519" s="13">
        <v>7.18</v>
      </c>
      <c r="V519" s="13">
        <v>21.13</v>
      </c>
      <c r="W519" s="13">
        <v>2.36</v>
      </c>
      <c r="X519" s="13">
        <v>10.01</v>
      </c>
      <c r="Y519" s="13">
        <v>1.1120000000000001</v>
      </c>
      <c r="Z519" s="35">
        <v>535</v>
      </c>
      <c r="AA519" s="13"/>
      <c r="AB519" s="13"/>
      <c r="AC519" s="14">
        <v>57.635135135135137</v>
      </c>
      <c r="AD519" s="14">
        <v>50.088809946714029</v>
      </c>
      <c r="AE519" s="14">
        <v>77.8391959798995</v>
      </c>
      <c r="AF519" s="14">
        <v>97.78393351800554</v>
      </c>
      <c r="AG519" s="15">
        <v>0.73945830969532333</v>
      </c>
      <c r="AH519" s="15">
        <v>0.74782139301066819</v>
      </c>
      <c r="AI519" s="15">
        <v>0.72866291801134508</v>
      </c>
      <c r="AJ519" s="41">
        <f t="shared" si="16"/>
        <v>54.25</v>
      </c>
      <c r="AK519" s="44">
        <f t="shared" si="17"/>
        <v>1.7984395318595578</v>
      </c>
      <c r="AL519" s="10"/>
      <c r="AM519" s="10"/>
    </row>
    <row r="520" spans="1:39" s="16" customFormat="1" ht="19" customHeight="1">
      <c r="A520" s="29" t="s">
        <v>581</v>
      </c>
      <c r="B520" s="29" t="s">
        <v>1365</v>
      </c>
      <c r="C520" s="29"/>
      <c r="D520" s="29"/>
      <c r="E520" s="30" t="s">
        <v>183</v>
      </c>
      <c r="F520" s="30" t="s">
        <v>249</v>
      </c>
      <c r="G520" s="31" t="s">
        <v>439</v>
      </c>
      <c r="H520" s="35">
        <v>6.6E-3</v>
      </c>
      <c r="I520" s="35">
        <v>0.10199999999999999</v>
      </c>
      <c r="J520" s="13">
        <v>7.97</v>
      </c>
      <c r="K520" s="13">
        <v>26.79</v>
      </c>
      <c r="L520" s="13">
        <v>5.42</v>
      </c>
      <c r="M520" s="35">
        <v>328.4</v>
      </c>
      <c r="N520" s="13">
        <v>28.9</v>
      </c>
      <c r="O520" s="13">
        <v>13.29</v>
      </c>
      <c r="P520" s="13">
        <v>3.96</v>
      </c>
      <c r="Q520" s="13">
        <v>23.39</v>
      </c>
      <c r="R520" s="13">
        <v>5.09</v>
      </c>
      <c r="S520" s="13">
        <v>43.13</v>
      </c>
      <c r="T520" s="13">
        <v>323.10000000000002</v>
      </c>
      <c r="U520" s="13">
        <v>10.28</v>
      </c>
      <c r="V520" s="13">
        <v>29.62</v>
      </c>
      <c r="W520" s="13">
        <v>3.57</v>
      </c>
      <c r="X520" s="13">
        <v>17.05</v>
      </c>
      <c r="Y520" s="13">
        <v>1.8620000000000001</v>
      </c>
      <c r="Z520" s="35">
        <v>377</v>
      </c>
      <c r="AA520" s="13"/>
      <c r="AB520" s="13"/>
      <c r="AC520" s="14">
        <v>89.797297297297291</v>
      </c>
      <c r="AD520" s="14">
        <v>70.33747779751333</v>
      </c>
      <c r="AE520" s="14">
        <v>117.53768844221105</v>
      </c>
      <c r="AF520" s="14">
        <v>140.99722991689751</v>
      </c>
      <c r="AG520" s="15">
        <v>0.6784911629519581</v>
      </c>
      <c r="AH520" s="15">
        <v>0.68464680468313899</v>
      </c>
      <c r="AI520" s="15">
        <v>0.67391908280464441</v>
      </c>
      <c r="AJ520" s="41">
        <f t="shared" si="16"/>
        <v>69.08</v>
      </c>
      <c r="AK520" s="44">
        <f t="shared" si="17"/>
        <v>1.0164035902197461</v>
      </c>
      <c r="AL520" s="10"/>
      <c r="AM520" s="10"/>
    </row>
    <row r="521" spans="1:39" s="16" customFormat="1" ht="19" customHeight="1">
      <c r="A521" s="29" t="s">
        <v>582</v>
      </c>
      <c r="B521" s="29" t="s">
        <v>1365</v>
      </c>
      <c r="C521" s="29"/>
      <c r="D521" s="29"/>
      <c r="E521" s="30" t="s">
        <v>183</v>
      </c>
      <c r="F521" s="30" t="s">
        <v>249</v>
      </c>
      <c r="G521" s="31" t="s">
        <v>439</v>
      </c>
      <c r="H521" s="35">
        <v>1.4E-2</v>
      </c>
      <c r="I521" s="35">
        <v>0.112</v>
      </c>
      <c r="J521" s="13">
        <v>2.86</v>
      </c>
      <c r="K521" s="13">
        <v>10.63</v>
      </c>
      <c r="L521" s="13">
        <v>2.0299999999999998</v>
      </c>
      <c r="M521" s="35">
        <v>265.5</v>
      </c>
      <c r="N521" s="13">
        <v>10.039999999999999</v>
      </c>
      <c r="O521" s="13">
        <v>4.45</v>
      </c>
      <c r="P521" s="13">
        <v>1.23</v>
      </c>
      <c r="Q521" s="13">
        <v>7.43</v>
      </c>
      <c r="R521" s="13">
        <v>1.83</v>
      </c>
      <c r="S521" s="13">
        <v>18.36</v>
      </c>
      <c r="T521" s="13">
        <v>163.5</v>
      </c>
      <c r="U521" s="13">
        <v>4.8499999999999996</v>
      </c>
      <c r="V521" s="13">
        <v>17.91</v>
      </c>
      <c r="W521" s="13">
        <v>2.61</v>
      </c>
      <c r="X521" s="13">
        <v>13.42</v>
      </c>
      <c r="Y521" s="13">
        <v>1.7490000000000001</v>
      </c>
      <c r="Z521" s="35">
        <v>298.10000000000002</v>
      </c>
      <c r="AA521" s="13"/>
      <c r="AB521" s="13"/>
      <c r="AC521" s="14">
        <v>30.067567567567572</v>
      </c>
      <c r="AD521" s="14">
        <v>21.847246891651867</v>
      </c>
      <c r="AE521" s="14">
        <v>37.336683417085425</v>
      </c>
      <c r="AF521" s="14">
        <v>50.692520775623272</v>
      </c>
      <c r="AG521" s="15">
        <v>0.64824537243581792</v>
      </c>
      <c r="AH521" s="15">
        <v>0.6520481996326446</v>
      </c>
      <c r="AI521" s="15">
        <v>0.61049656365594096</v>
      </c>
      <c r="AJ521" s="41">
        <f t="shared" si="16"/>
        <v>25.56</v>
      </c>
      <c r="AK521" s="44">
        <f t="shared" si="17"/>
        <v>1.6238532110091743</v>
      </c>
      <c r="AL521" s="10"/>
      <c r="AM521" s="10"/>
    </row>
    <row r="522" spans="1:39" s="16" customFormat="1" ht="19" customHeight="1">
      <c r="A522" s="29" t="s">
        <v>583</v>
      </c>
      <c r="B522" s="29" t="s">
        <v>1365</v>
      </c>
      <c r="C522" s="29"/>
      <c r="D522" s="29"/>
      <c r="E522" s="30" t="s">
        <v>183</v>
      </c>
      <c r="F522" s="30" t="s">
        <v>249</v>
      </c>
      <c r="G522" s="31" t="s">
        <v>439</v>
      </c>
      <c r="H522" s="35">
        <v>4.0599999999999997E-2</v>
      </c>
      <c r="I522" s="35">
        <v>1.8380000000000001</v>
      </c>
      <c r="J522" s="13">
        <v>9.6199999999999992</v>
      </c>
      <c r="K522" s="13">
        <v>32.86</v>
      </c>
      <c r="L522" s="13">
        <v>5.95</v>
      </c>
      <c r="M522" s="35">
        <v>254.5</v>
      </c>
      <c r="N522" s="13">
        <v>35.700000000000003</v>
      </c>
      <c r="O522" s="13">
        <v>16.579999999999998</v>
      </c>
      <c r="P522" s="13">
        <v>4.91</v>
      </c>
      <c r="Q522" s="13">
        <v>30.28</v>
      </c>
      <c r="R522" s="13">
        <v>6.27</v>
      </c>
      <c r="S522" s="13">
        <v>53.06</v>
      </c>
      <c r="T522" s="13">
        <v>375.6</v>
      </c>
      <c r="U522" s="13">
        <v>11.89</v>
      </c>
      <c r="V522" s="13">
        <v>31.87</v>
      </c>
      <c r="W522" s="13">
        <v>3.11</v>
      </c>
      <c r="X522" s="13">
        <v>12.95</v>
      </c>
      <c r="Y522" s="13">
        <v>1.302</v>
      </c>
      <c r="Z522" s="35">
        <v>403.6</v>
      </c>
      <c r="AA522" s="13"/>
      <c r="AB522" s="13"/>
      <c r="AC522" s="14">
        <v>112.02702702702702</v>
      </c>
      <c r="AD522" s="14">
        <v>87.21136767317941</v>
      </c>
      <c r="AE522" s="14">
        <v>152.1608040201005</v>
      </c>
      <c r="AF522" s="14">
        <v>173.68421052631578</v>
      </c>
      <c r="AG522" s="15">
        <v>0.66022244346010084</v>
      </c>
      <c r="AH522" s="15">
        <v>0.66797513230075822</v>
      </c>
      <c r="AI522" s="15">
        <v>0.67262206596400387</v>
      </c>
      <c r="AJ522" s="41">
        <f t="shared" si="16"/>
        <v>84.13</v>
      </c>
      <c r="AK522" s="44">
        <f t="shared" si="17"/>
        <v>0.67758253461128859</v>
      </c>
      <c r="AL522" s="10"/>
      <c r="AM522" s="10"/>
    </row>
    <row r="523" spans="1:39" s="16" customFormat="1" ht="19" customHeight="1">
      <c r="A523" s="29" t="s">
        <v>584</v>
      </c>
      <c r="B523" s="29" t="s">
        <v>1365</v>
      </c>
      <c r="C523" s="29"/>
      <c r="D523" s="29"/>
      <c r="E523" s="30" t="s">
        <v>183</v>
      </c>
      <c r="F523" s="30" t="s">
        <v>249</v>
      </c>
      <c r="G523" s="31" t="s">
        <v>439</v>
      </c>
      <c r="H523" s="35">
        <v>0.13500000000000001</v>
      </c>
      <c r="I523" s="35">
        <v>8.7800000000000003E-2</v>
      </c>
      <c r="J523" s="13">
        <v>7.13</v>
      </c>
      <c r="K523" s="13">
        <v>23.57</v>
      </c>
      <c r="L523" s="13">
        <v>4.18</v>
      </c>
      <c r="M523" s="35">
        <v>476.7</v>
      </c>
      <c r="N523" s="13">
        <v>24.53</v>
      </c>
      <c r="O523" s="13">
        <v>9.81</v>
      </c>
      <c r="P523" s="13">
        <v>3.16</v>
      </c>
      <c r="Q523" s="13">
        <v>18.34</v>
      </c>
      <c r="R523" s="13">
        <v>4</v>
      </c>
      <c r="S523" s="13">
        <v>35.200000000000003</v>
      </c>
      <c r="T523" s="13">
        <v>282.60000000000002</v>
      </c>
      <c r="U523" s="13">
        <v>8.81</v>
      </c>
      <c r="V523" s="13">
        <v>28.24</v>
      </c>
      <c r="W523" s="13">
        <v>3.5649999999999999</v>
      </c>
      <c r="X523" s="13">
        <v>17.350000000000001</v>
      </c>
      <c r="Y523" s="13">
        <v>1.9770000000000001</v>
      </c>
      <c r="Z523" s="35">
        <v>400</v>
      </c>
      <c r="AA523" s="13"/>
      <c r="AB523" s="13"/>
      <c r="AC523" s="14">
        <v>66.28378378378379</v>
      </c>
      <c r="AD523" s="14">
        <v>56.127886323268214</v>
      </c>
      <c r="AE523" s="14">
        <v>92.1608040201005</v>
      </c>
      <c r="AF523" s="14">
        <v>110.80332409972299</v>
      </c>
      <c r="AG523" s="15">
        <v>0.70848600259847094</v>
      </c>
      <c r="AH523" s="15">
        <v>0.71812808928976868</v>
      </c>
      <c r="AI523" s="15">
        <v>0.71349274836948451</v>
      </c>
      <c r="AJ523" s="41">
        <f t="shared" si="16"/>
        <v>59.41</v>
      </c>
      <c r="AK523" s="44">
        <f t="shared" si="17"/>
        <v>1.6868365180467089</v>
      </c>
      <c r="AL523" s="10"/>
      <c r="AM523" s="10"/>
    </row>
    <row r="524" spans="1:39" s="16" customFormat="1" ht="19" customHeight="1">
      <c r="A524" s="29" t="s">
        <v>585</v>
      </c>
      <c r="B524" s="29" t="s">
        <v>1367</v>
      </c>
      <c r="C524" s="29"/>
      <c r="D524" s="29"/>
      <c r="E524" s="30" t="s">
        <v>183</v>
      </c>
      <c r="F524" s="30" t="s">
        <v>249</v>
      </c>
      <c r="G524" s="31" t="s">
        <v>439</v>
      </c>
      <c r="H524" s="35">
        <v>2.9000000000000001E-2</v>
      </c>
      <c r="I524" s="35">
        <v>0.371</v>
      </c>
      <c r="J524" s="13">
        <v>3.31</v>
      </c>
      <c r="K524" s="13">
        <v>10.68</v>
      </c>
      <c r="L524" s="13">
        <v>1.83</v>
      </c>
      <c r="M524" s="35">
        <v>2808</v>
      </c>
      <c r="N524" s="13">
        <v>13.44</v>
      </c>
      <c r="O524" s="13">
        <v>6.25</v>
      </c>
      <c r="P524" s="13">
        <v>2.54</v>
      </c>
      <c r="Q524" s="13">
        <v>14.36</v>
      </c>
      <c r="R524" s="13">
        <v>3.11</v>
      </c>
      <c r="S524" s="13">
        <v>22.4</v>
      </c>
      <c r="T524" s="13">
        <v>96.5</v>
      </c>
      <c r="U524" s="13">
        <v>3.36</v>
      </c>
      <c r="V524" s="13">
        <v>5.57</v>
      </c>
      <c r="W524" s="13">
        <v>0.48199999999999998</v>
      </c>
      <c r="X524" s="13">
        <v>2.2799999999999998</v>
      </c>
      <c r="Y524" s="13">
        <v>0.27800000000000002</v>
      </c>
      <c r="Z524" s="35">
        <v>477.4</v>
      </c>
      <c r="AA524" s="13"/>
      <c r="AB524" s="13"/>
      <c r="AC524" s="14">
        <v>42.229729729729733</v>
      </c>
      <c r="AD524" s="14">
        <v>45.115452930728246</v>
      </c>
      <c r="AE524" s="14">
        <v>72.1608040201005</v>
      </c>
      <c r="AF524" s="14">
        <v>86.149584487534625</v>
      </c>
      <c r="AG524" s="15">
        <v>0.78879696512990871</v>
      </c>
      <c r="AH524" s="15">
        <v>0.81726987153045927</v>
      </c>
      <c r="AI524" s="15">
        <v>0.84235545296411629</v>
      </c>
      <c r="AJ524" s="41">
        <f t="shared" si="16"/>
        <v>29.259999999999998</v>
      </c>
      <c r="AK524" s="44">
        <f t="shared" si="17"/>
        <v>29.098445595854923</v>
      </c>
      <c r="AL524" s="10"/>
      <c r="AM524" s="10"/>
    </row>
    <row r="525" spans="1:39" s="16" customFormat="1" ht="19" customHeight="1">
      <c r="A525" s="29" t="s">
        <v>586</v>
      </c>
      <c r="B525" s="29" t="s">
        <v>1367</v>
      </c>
      <c r="C525" s="29"/>
      <c r="D525" s="29"/>
      <c r="E525" s="30" t="s">
        <v>183</v>
      </c>
      <c r="F525" s="30" t="s">
        <v>249</v>
      </c>
      <c r="G525" s="31" t="s">
        <v>439</v>
      </c>
      <c r="H525" s="35">
        <v>5.3999999999999999E-2</v>
      </c>
      <c r="I525" s="35">
        <v>0.78800000000000003</v>
      </c>
      <c r="J525" s="13">
        <v>6.97</v>
      </c>
      <c r="K525" s="13">
        <v>25.5</v>
      </c>
      <c r="L525" s="13">
        <v>4.3899999999999997</v>
      </c>
      <c r="M525" s="35">
        <v>4357</v>
      </c>
      <c r="N525" s="13">
        <v>29.4</v>
      </c>
      <c r="O525" s="13">
        <v>15.71</v>
      </c>
      <c r="P525" s="13">
        <v>6.11</v>
      </c>
      <c r="Q525" s="13">
        <v>32.1</v>
      </c>
      <c r="R525" s="13">
        <v>6.83</v>
      </c>
      <c r="S525" s="13">
        <v>46.2</v>
      </c>
      <c r="T525" s="13">
        <v>171.5</v>
      </c>
      <c r="U525" s="13">
        <v>6.1</v>
      </c>
      <c r="V525" s="13">
        <v>8.67</v>
      </c>
      <c r="W525" s="13">
        <v>0.57399999999999995</v>
      </c>
      <c r="X525" s="13">
        <v>2.16</v>
      </c>
      <c r="Y525" s="13">
        <v>0.192</v>
      </c>
      <c r="Z525" s="35">
        <v>354.2</v>
      </c>
      <c r="AA525" s="13"/>
      <c r="AB525" s="13"/>
      <c r="AC525" s="14">
        <v>106.14864864864866</v>
      </c>
      <c r="AD525" s="14">
        <v>108.52575488454708</v>
      </c>
      <c r="AE525" s="14">
        <v>161.30653266331657</v>
      </c>
      <c r="AF525" s="14">
        <v>189.196675900277</v>
      </c>
      <c r="AG525" s="15">
        <v>0.81154348442373525</v>
      </c>
      <c r="AH525" s="15">
        <v>0.82937244550909384</v>
      </c>
      <c r="AI525" s="15">
        <v>0.84324155782837507</v>
      </c>
      <c r="AJ525" s="41">
        <f t="shared" si="16"/>
        <v>66.259999999999991</v>
      </c>
      <c r="AK525" s="44">
        <f t="shared" si="17"/>
        <v>25.40524781341108</v>
      </c>
      <c r="AL525" s="10"/>
      <c r="AM525" s="10"/>
    </row>
    <row r="526" spans="1:39" s="16" customFormat="1" ht="19" customHeight="1">
      <c r="A526" s="29" t="s">
        <v>587</v>
      </c>
      <c r="B526" s="29" t="s">
        <v>1367</v>
      </c>
      <c r="C526" s="29"/>
      <c r="D526" s="29"/>
      <c r="E526" s="30" t="s">
        <v>183</v>
      </c>
      <c r="F526" s="30" t="s">
        <v>249</v>
      </c>
      <c r="G526" s="31" t="s">
        <v>439</v>
      </c>
      <c r="H526" s="35">
        <v>0.16300000000000001</v>
      </c>
      <c r="I526" s="35">
        <v>1.15E-2</v>
      </c>
      <c r="J526" s="13">
        <v>0.61499999999999999</v>
      </c>
      <c r="K526" s="13">
        <v>2.13</v>
      </c>
      <c r="L526" s="13">
        <v>0.33600000000000002</v>
      </c>
      <c r="M526" s="35">
        <v>680</v>
      </c>
      <c r="N526" s="13">
        <v>1.9</v>
      </c>
      <c r="O526" s="13">
        <v>0.86</v>
      </c>
      <c r="P526" s="13">
        <v>0.46600000000000003</v>
      </c>
      <c r="Q526" s="13">
        <v>1.88</v>
      </c>
      <c r="R526" s="13">
        <v>0.41099999999999998</v>
      </c>
      <c r="S526" s="13">
        <v>4.09</v>
      </c>
      <c r="T526" s="13">
        <v>43.3</v>
      </c>
      <c r="U526" s="13">
        <v>1.361</v>
      </c>
      <c r="V526" s="13">
        <v>5.48</v>
      </c>
      <c r="W526" s="13">
        <v>0.90200000000000002</v>
      </c>
      <c r="X526" s="13">
        <v>5.59</v>
      </c>
      <c r="Y526" s="13">
        <v>0.754</v>
      </c>
      <c r="Z526" s="35">
        <v>195.8</v>
      </c>
      <c r="AA526" s="13"/>
      <c r="AB526" s="13"/>
      <c r="AC526" s="14">
        <v>5.8108108108108114</v>
      </c>
      <c r="AD526" s="14">
        <v>8.2770870337477813</v>
      </c>
      <c r="AE526" s="14">
        <v>9.4472361809045218</v>
      </c>
      <c r="AF526" s="14">
        <v>11.385041551246537</v>
      </c>
      <c r="AG526" s="15">
        <v>1.084947115216252</v>
      </c>
      <c r="AH526" s="15">
        <v>1.117137852562553</v>
      </c>
      <c r="AI526" s="15">
        <v>1.1383474124587221</v>
      </c>
      <c r="AJ526" s="41">
        <f t="shared" si="16"/>
        <v>4.9809999999999999</v>
      </c>
      <c r="AK526" s="44">
        <f t="shared" si="17"/>
        <v>15.704387990762125</v>
      </c>
      <c r="AL526" s="10"/>
      <c r="AM526" s="10"/>
    </row>
    <row r="527" spans="1:39" s="16" customFormat="1" ht="19" customHeight="1">
      <c r="A527" s="29" t="s">
        <v>588</v>
      </c>
      <c r="B527" s="29" t="s">
        <v>1367</v>
      </c>
      <c r="C527" s="29"/>
      <c r="D527" s="29"/>
      <c r="E527" s="30" t="s">
        <v>183</v>
      </c>
      <c r="F527" s="30" t="s">
        <v>249</v>
      </c>
      <c r="G527" s="31" t="s">
        <v>439</v>
      </c>
      <c r="H527" s="35">
        <v>2.9000000000000001E-2</v>
      </c>
      <c r="I527" s="35">
        <v>0.61899999999999999</v>
      </c>
      <c r="J527" s="13">
        <v>4.18</v>
      </c>
      <c r="K527" s="13">
        <v>15.9</v>
      </c>
      <c r="L527" s="13">
        <v>2.96</v>
      </c>
      <c r="M527" s="35">
        <v>3306</v>
      </c>
      <c r="N527" s="13">
        <v>20.399999999999999</v>
      </c>
      <c r="O527" s="13">
        <v>10.36</v>
      </c>
      <c r="P527" s="13">
        <v>4.2300000000000004</v>
      </c>
      <c r="Q527" s="13">
        <v>24.02</v>
      </c>
      <c r="R527" s="13">
        <v>5.15</v>
      </c>
      <c r="S527" s="13">
        <v>35.5</v>
      </c>
      <c r="T527" s="13">
        <v>134.9</v>
      </c>
      <c r="U527" s="13">
        <v>4.67</v>
      </c>
      <c r="V527" s="13">
        <v>6.59</v>
      </c>
      <c r="W527" s="13">
        <v>0.45900000000000002</v>
      </c>
      <c r="X527" s="13">
        <v>1.95</v>
      </c>
      <c r="Y527" s="13">
        <v>0.22800000000000001</v>
      </c>
      <c r="Z527" s="35">
        <v>504.1</v>
      </c>
      <c r="AA527" s="13"/>
      <c r="AB527" s="13"/>
      <c r="AC527" s="14">
        <v>70</v>
      </c>
      <c r="AD527" s="14">
        <v>75.133214920071055</v>
      </c>
      <c r="AE527" s="14">
        <v>120.70351758793969</v>
      </c>
      <c r="AF527" s="14">
        <v>142.65927977839337</v>
      </c>
      <c r="AG527" s="15">
        <v>0.78795835410245796</v>
      </c>
      <c r="AH527" s="15">
        <v>0.81737808438342363</v>
      </c>
      <c r="AI527" s="15">
        <v>0.84657726974365821</v>
      </c>
      <c r="AJ527" s="41">
        <f t="shared" si="16"/>
        <v>43.44</v>
      </c>
      <c r="AK527" s="44">
        <f t="shared" si="17"/>
        <v>24.507042253521124</v>
      </c>
      <c r="AL527" s="10"/>
      <c r="AM527" s="10"/>
    </row>
    <row r="528" spans="1:39" s="16" customFormat="1" ht="19" customHeight="1">
      <c r="A528" s="29" t="s">
        <v>589</v>
      </c>
      <c r="B528" s="29" t="s">
        <v>1367</v>
      </c>
      <c r="C528" s="29"/>
      <c r="D528" s="29"/>
      <c r="E528" s="30" t="s">
        <v>183</v>
      </c>
      <c r="F528" s="30" t="s">
        <v>249</v>
      </c>
      <c r="G528" s="31" t="s">
        <v>439</v>
      </c>
      <c r="H528" s="35">
        <v>2.76E-2</v>
      </c>
      <c r="I528" s="35">
        <v>0.33200000000000002</v>
      </c>
      <c r="J528" s="13">
        <v>3.38</v>
      </c>
      <c r="K528" s="13">
        <v>12.24</v>
      </c>
      <c r="L528" s="13">
        <v>2.13</v>
      </c>
      <c r="M528" s="35">
        <v>2479</v>
      </c>
      <c r="N528" s="13">
        <v>15.45</v>
      </c>
      <c r="O528" s="13">
        <v>7.87</v>
      </c>
      <c r="P528" s="13">
        <v>3.02</v>
      </c>
      <c r="Q528" s="13">
        <v>16</v>
      </c>
      <c r="R528" s="13">
        <v>3.51</v>
      </c>
      <c r="S528" s="13">
        <v>24.7</v>
      </c>
      <c r="T528" s="13">
        <v>110.7</v>
      </c>
      <c r="U528" s="13">
        <v>3.69</v>
      </c>
      <c r="V528" s="13">
        <v>7.32</v>
      </c>
      <c r="W528" s="13">
        <v>0.69</v>
      </c>
      <c r="X528" s="13">
        <v>3.49</v>
      </c>
      <c r="Y528" s="13">
        <v>0.40600000000000003</v>
      </c>
      <c r="Z528" s="35">
        <v>556</v>
      </c>
      <c r="AA528" s="13"/>
      <c r="AB528" s="13"/>
      <c r="AC528" s="14">
        <v>53.175675675675677</v>
      </c>
      <c r="AD528" s="14">
        <v>53.641207815275315</v>
      </c>
      <c r="AE528" s="14">
        <v>80.402010050251249</v>
      </c>
      <c r="AF528" s="14">
        <v>97.229916897506925</v>
      </c>
      <c r="AG528" s="15">
        <v>0.80314623694463005</v>
      </c>
      <c r="AH528" s="15">
        <v>0.82036776378226195</v>
      </c>
      <c r="AI528" s="15">
        <v>0.82494165213685233</v>
      </c>
      <c r="AJ528" s="41">
        <f t="shared" si="16"/>
        <v>33.200000000000003</v>
      </c>
      <c r="AK528" s="44">
        <f t="shared" si="17"/>
        <v>22.39385727190605</v>
      </c>
      <c r="AL528" s="10"/>
      <c r="AM528" s="10"/>
    </row>
    <row r="529" spans="1:39" s="16" customFormat="1" ht="19" customHeight="1">
      <c r="A529" s="29" t="s">
        <v>590</v>
      </c>
      <c r="B529" s="29" t="s">
        <v>1367</v>
      </c>
      <c r="C529" s="29"/>
      <c r="D529" s="29"/>
      <c r="E529" s="30" t="s">
        <v>183</v>
      </c>
      <c r="F529" s="30" t="s">
        <v>249</v>
      </c>
      <c r="G529" s="31" t="s">
        <v>439</v>
      </c>
      <c r="H529" s="35">
        <v>5.4000000000000003E-3</v>
      </c>
      <c r="I529" s="35">
        <v>0.1157</v>
      </c>
      <c r="J529" s="13">
        <v>1.4219999999999999</v>
      </c>
      <c r="K529" s="13">
        <v>5.63</v>
      </c>
      <c r="L529" s="13">
        <v>1.0269999999999999</v>
      </c>
      <c r="M529" s="35">
        <v>2514</v>
      </c>
      <c r="N529" s="13">
        <v>6.8</v>
      </c>
      <c r="O529" s="13">
        <v>3.81</v>
      </c>
      <c r="P529" s="13">
        <v>1.458</v>
      </c>
      <c r="Q529" s="13">
        <v>8.27</v>
      </c>
      <c r="R529" s="13">
        <v>1.9319999999999999</v>
      </c>
      <c r="S529" s="13">
        <v>14.7</v>
      </c>
      <c r="T529" s="13">
        <v>72.599999999999994</v>
      </c>
      <c r="U529" s="13">
        <v>2.4630000000000001</v>
      </c>
      <c r="V529" s="13">
        <v>4.45</v>
      </c>
      <c r="W529" s="13">
        <v>0.38500000000000001</v>
      </c>
      <c r="X529" s="13">
        <v>1.53</v>
      </c>
      <c r="Y529" s="13">
        <v>0.17299999999999999</v>
      </c>
      <c r="Z529" s="35">
        <v>493.9</v>
      </c>
      <c r="AA529" s="13"/>
      <c r="AB529" s="13"/>
      <c r="AC529" s="14">
        <v>25.743243243243246</v>
      </c>
      <c r="AD529" s="14">
        <v>25.896980461811726</v>
      </c>
      <c r="AE529" s="14">
        <v>41.557788944723612</v>
      </c>
      <c r="AF529" s="14">
        <v>53.5180055401662</v>
      </c>
      <c r="AG529" s="15">
        <v>0.76958642742605654</v>
      </c>
      <c r="AH529" s="15">
        <v>0.79175585276542759</v>
      </c>
      <c r="AI529" s="15">
        <v>0.78820705122494872</v>
      </c>
      <c r="AJ529" s="41">
        <f t="shared" si="16"/>
        <v>14.878999999999998</v>
      </c>
      <c r="AK529" s="44">
        <f t="shared" si="17"/>
        <v>34.628099173553721</v>
      </c>
      <c r="AL529" s="10"/>
      <c r="AM529" s="10"/>
    </row>
    <row r="530" spans="1:39" s="16" customFormat="1" ht="19" customHeight="1">
      <c r="A530" s="29" t="s">
        <v>591</v>
      </c>
      <c r="B530" s="29" t="s">
        <v>1367</v>
      </c>
      <c r="C530" s="29"/>
      <c r="D530" s="29"/>
      <c r="E530" s="30" t="s">
        <v>183</v>
      </c>
      <c r="F530" s="30" t="s">
        <v>249</v>
      </c>
      <c r="G530" s="31" t="s">
        <v>439</v>
      </c>
      <c r="H530" s="35">
        <v>3.7199999999999997E-2</v>
      </c>
      <c r="I530" s="35">
        <v>5.8700000000000002E-2</v>
      </c>
      <c r="J530" s="13">
        <v>0.98399999999999999</v>
      </c>
      <c r="K530" s="13">
        <v>3.86</v>
      </c>
      <c r="L530" s="13">
        <v>0.76</v>
      </c>
      <c r="M530" s="35">
        <v>1985</v>
      </c>
      <c r="N530" s="13">
        <v>5.63</v>
      </c>
      <c r="O530" s="13">
        <v>3.53</v>
      </c>
      <c r="P530" s="13">
        <v>1.4590000000000001</v>
      </c>
      <c r="Q530" s="13">
        <v>9.09</v>
      </c>
      <c r="R530" s="13">
        <v>2.202</v>
      </c>
      <c r="S530" s="13">
        <v>18.32</v>
      </c>
      <c r="T530" s="13">
        <v>103.5</v>
      </c>
      <c r="U530" s="13">
        <v>3.54</v>
      </c>
      <c r="V530" s="13">
        <v>7.23</v>
      </c>
      <c r="W530" s="13">
        <v>0.60199999999999998</v>
      </c>
      <c r="X530" s="13">
        <v>2.08</v>
      </c>
      <c r="Y530" s="13">
        <v>0.191</v>
      </c>
      <c r="Z530" s="35">
        <v>257.8</v>
      </c>
      <c r="AA530" s="13"/>
      <c r="AB530" s="13"/>
      <c r="AC530" s="14">
        <v>23.851351351351351</v>
      </c>
      <c r="AD530" s="14">
        <v>25.914742451154531</v>
      </c>
      <c r="AE530" s="14">
        <v>45.678391959798994</v>
      </c>
      <c r="AF530" s="14">
        <v>60.997229916897503</v>
      </c>
      <c r="AG530" s="15">
        <v>0.74542896944647963</v>
      </c>
      <c r="AH530" s="15">
        <v>0.78511811627370098</v>
      </c>
      <c r="AI530" s="15">
        <v>0.79451396105619765</v>
      </c>
      <c r="AJ530" s="41">
        <f t="shared" si="16"/>
        <v>11.233999999999998</v>
      </c>
      <c r="AK530" s="44">
        <f t="shared" si="17"/>
        <v>19.178743961352659</v>
      </c>
      <c r="AL530" s="10"/>
      <c r="AM530" s="10"/>
    </row>
    <row r="531" spans="1:39" s="16" customFormat="1" ht="19" customHeight="1">
      <c r="A531" s="29" t="s">
        <v>592</v>
      </c>
      <c r="B531" s="29" t="s">
        <v>1367</v>
      </c>
      <c r="C531" s="29"/>
      <c r="D531" s="29"/>
      <c r="E531" s="30" t="s">
        <v>183</v>
      </c>
      <c r="F531" s="30" t="s">
        <v>249</v>
      </c>
      <c r="G531" s="31" t="s">
        <v>439</v>
      </c>
      <c r="H531" s="35">
        <v>0.50800000000000001</v>
      </c>
      <c r="I531" s="35">
        <v>0.22800000000000001</v>
      </c>
      <c r="J531" s="13">
        <v>4.83</v>
      </c>
      <c r="K531" s="13">
        <v>10.91</v>
      </c>
      <c r="L531" s="13">
        <v>2.5499999999999998</v>
      </c>
      <c r="M531" s="35">
        <v>2646</v>
      </c>
      <c r="N531" s="13">
        <v>15.2</v>
      </c>
      <c r="O531" s="13">
        <v>7.01</v>
      </c>
      <c r="P531" s="13">
        <v>2.93</v>
      </c>
      <c r="Q531" s="13">
        <v>15.4</v>
      </c>
      <c r="R531" s="13">
        <v>3.23</v>
      </c>
      <c r="S531" s="13">
        <v>22.9</v>
      </c>
      <c r="T531" s="13">
        <v>100.8</v>
      </c>
      <c r="U531" s="13">
        <v>3.48</v>
      </c>
      <c r="V531" s="13">
        <v>6.15</v>
      </c>
      <c r="W531" s="13">
        <v>0.47299999999999998</v>
      </c>
      <c r="X531" s="13">
        <v>2</v>
      </c>
      <c r="Y531" s="13">
        <v>0.249</v>
      </c>
      <c r="Z531" s="35">
        <v>492.9</v>
      </c>
      <c r="AA531" s="13"/>
      <c r="AB531" s="13"/>
      <c r="AC531" s="14">
        <v>47.364864864864863</v>
      </c>
      <c r="AD531" s="14">
        <v>52.042628774422745</v>
      </c>
      <c r="AE531" s="14">
        <v>77.386934673366838</v>
      </c>
      <c r="AF531" s="14">
        <v>89.473684210526315</v>
      </c>
      <c r="AG531" s="15">
        <v>0.83433872644816887</v>
      </c>
      <c r="AH531" s="15">
        <v>0.85960167287638756</v>
      </c>
      <c r="AI531" s="15">
        <v>0.88883930371776632</v>
      </c>
      <c r="AJ531" s="41">
        <f t="shared" si="16"/>
        <v>33.489999999999995</v>
      </c>
      <c r="AK531" s="44">
        <f t="shared" si="17"/>
        <v>26.25</v>
      </c>
      <c r="AL531" s="10"/>
      <c r="AM531" s="10"/>
    </row>
    <row r="532" spans="1:39" s="16" customFormat="1" ht="19" customHeight="1">
      <c r="A532" s="29" t="s">
        <v>593</v>
      </c>
      <c r="B532" s="29" t="s">
        <v>1367</v>
      </c>
      <c r="C532" s="29"/>
      <c r="D532" s="29"/>
      <c r="E532" s="30" t="s">
        <v>183</v>
      </c>
      <c r="F532" s="30" t="s">
        <v>249</v>
      </c>
      <c r="G532" s="31" t="s">
        <v>439</v>
      </c>
      <c r="H532" s="35">
        <v>0.47699999999999998</v>
      </c>
      <c r="I532" s="35">
        <v>1.41</v>
      </c>
      <c r="J532" s="13">
        <v>6.53</v>
      </c>
      <c r="K532" s="13">
        <v>17.04</v>
      </c>
      <c r="L532" s="13">
        <v>3.66</v>
      </c>
      <c r="M532" s="35">
        <v>3250</v>
      </c>
      <c r="N532" s="13">
        <v>24.2</v>
      </c>
      <c r="O532" s="13">
        <v>11.79</v>
      </c>
      <c r="P532" s="13">
        <v>4.1399999999999997</v>
      </c>
      <c r="Q532" s="13">
        <v>25.44</v>
      </c>
      <c r="R532" s="13">
        <v>4.54</v>
      </c>
      <c r="S532" s="13">
        <v>30.75</v>
      </c>
      <c r="T532" s="13">
        <v>113.3</v>
      </c>
      <c r="U532" s="13">
        <v>4.41</v>
      </c>
      <c r="V532" s="13">
        <v>8.02</v>
      </c>
      <c r="W532" s="13">
        <v>0.73699999999999999</v>
      </c>
      <c r="X532" s="13">
        <v>3.47</v>
      </c>
      <c r="Y532" s="13">
        <v>0.60399999999999998</v>
      </c>
      <c r="Z532" s="35">
        <v>753</v>
      </c>
      <c r="AA532" s="13"/>
      <c r="AB532" s="13"/>
      <c r="AC532" s="14">
        <v>79.662162162162161</v>
      </c>
      <c r="AD532" s="14">
        <v>73.53463587921847</v>
      </c>
      <c r="AE532" s="14">
        <v>127.8391959798995</v>
      </c>
      <c r="AF532" s="14">
        <v>125.76177285318559</v>
      </c>
      <c r="AG532" s="15">
        <v>0.7087629356996733</v>
      </c>
      <c r="AH532" s="15">
        <v>0.72867502768301884</v>
      </c>
      <c r="AI532" s="15">
        <v>0.79275867480418871</v>
      </c>
      <c r="AJ532" s="41">
        <f t="shared" si="16"/>
        <v>51.43</v>
      </c>
      <c r="AK532" s="44">
        <f t="shared" si="17"/>
        <v>28.684907325684026</v>
      </c>
      <c r="AL532" s="10"/>
      <c r="AM532" s="10"/>
    </row>
    <row r="533" spans="1:39" s="16" customFormat="1" ht="19" customHeight="1">
      <c r="A533" s="29" t="s">
        <v>594</v>
      </c>
      <c r="B533" s="29" t="s">
        <v>1367</v>
      </c>
      <c r="C533" s="29"/>
      <c r="D533" s="29"/>
      <c r="E533" s="30" t="s">
        <v>183</v>
      </c>
      <c r="F533" s="30" t="s">
        <v>249</v>
      </c>
      <c r="G533" s="31" t="s">
        <v>439</v>
      </c>
      <c r="H533" s="35">
        <v>0.50700000000000001</v>
      </c>
      <c r="I533" s="35">
        <v>5.9700000000000003E-2</v>
      </c>
      <c r="J533" s="13">
        <v>1.371</v>
      </c>
      <c r="K533" s="13">
        <v>3.72</v>
      </c>
      <c r="L533" s="13">
        <v>0.65200000000000002</v>
      </c>
      <c r="M533" s="35">
        <v>1478</v>
      </c>
      <c r="N533" s="13">
        <v>3.91</v>
      </c>
      <c r="O533" s="13">
        <v>2</v>
      </c>
      <c r="P533" s="13">
        <v>0.93100000000000005</v>
      </c>
      <c r="Q533" s="13">
        <v>3.95</v>
      </c>
      <c r="R533" s="13">
        <v>0.78900000000000003</v>
      </c>
      <c r="S533" s="13">
        <v>6.85</v>
      </c>
      <c r="T533" s="13">
        <v>51.5</v>
      </c>
      <c r="U533" s="13">
        <v>1.641</v>
      </c>
      <c r="V533" s="13">
        <v>4.8</v>
      </c>
      <c r="W533" s="13">
        <v>0.48899999999999999</v>
      </c>
      <c r="X533" s="13">
        <v>2.1800000000000002</v>
      </c>
      <c r="Y533" s="13">
        <v>0.27400000000000002</v>
      </c>
      <c r="Z533" s="35">
        <v>251.3</v>
      </c>
      <c r="AA533" s="13"/>
      <c r="AB533" s="13"/>
      <c r="AC533" s="14">
        <v>13.513513513513514</v>
      </c>
      <c r="AD533" s="14">
        <v>16.536412078152754</v>
      </c>
      <c r="AE533" s="14">
        <v>19.849246231155778</v>
      </c>
      <c r="AF533" s="14">
        <v>21.855955678670362</v>
      </c>
      <c r="AG533" s="15">
        <v>0.99130960416396285</v>
      </c>
      <c r="AH533" s="15">
        <v>1.0096832145120884</v>
      </c>
      <c r="AI533" s="15">
        <v>1.042491443225704</v>
      </c>
      <c r="AJ533" s="41">
        <f t="shared" si="16"/>
        <v>9.6530000000000005</v>
      </c>
      <c r="AK533" s="44">
        <f t="shared" si="17"/>
        <v>28.699029126213592</v>
      </c>
      <c r="AL533" s="10"/>
      <c r="AM533" s="10"/>
    </row>
    <row r="534" spans="1:39" s="16" customFormat="1" ht="19" customHeight="1">
      <c r="A534" s="29" t="s">
        <v>595</v>
      </c>
      <c r="B534" s="29" t="s">
        <v>1367</v>
      </c>
      <c r="C534" s="29"/>
      <c r="D534" s="29"/>
      <c r="E534" s="30" t="s">
        <v>183</v>
      </c>
      <c r="F534" s="30" t="s">
        <v>249</v>
      </c>
      <c r="G534" s="31" t="s">
        <v>439</v>
      </c>
      <c r="H534" s="35">
        <v>0.26800000000000002</v>
      </c>
      <c r="I534" s="35">
        <v>4.6399999999999997E-2</v>
      </c>
      <c r="J534" s="13">
        <v>0.72</v>
      </c>
      <c r="K534" s="13">
        <v>2.2799999999999998</v>
      </c>
      <c r="L534" s="13">
        <v>0.436</v>
      </c>
      <c r="M534" s="35">
        <v>1051</v>
      </c>
      <c r="N534" s="13">
        <v>2.76</v>
      </c>
      <c r="O534" s="13">
        <v>1.35</v>
      </c>
      <c r="P534" s="13">
        <v>0.48299999999999998</v>
      </c>
      <c r="Q534" s="13">
        <v>2.97</v>
      </c>
      <c r="R534" s="13">
        <v>0.63500000000000001</v>
      </c>
      <c r="S534" s="13">
        <v>6.04</v>
      </c>
      <c r="T534" s="13">
        <v>43.09</v>
      </c>
      <c r="U534" s="13">
        <v>1.353</v>
      </c>
      <c r="V534" s="13">
        <v>4.13</v>
      </c>
      <c r="W534" s="13">
        <v>0.58599999999999997</v>
      </c>
      <c r="X534" s="13">
        <v>2.71</v>
      </c>
      <c r="Y534" s="13">
        <v>0.38700000000000001</v>
      </c>
      <c r="Z534" s="35">
        <v>331.8</v>
      </c>
      <c r="AA534" s="13"/>
      <c r="AB534" s="13"/>
      <c r="AC534" s="14">
        <v>9.1216216216216228</v>
      </c>
      <c r="AD534" s="14">
        <v>8.5790408525754884</v>
      </c>
      <c r="AE534" s="14">
        <v>14.924623115577889</v>
      </c>
      <c r="AF534" s="14">
        <v>17.590027700831026</v>
      </c>
      <c r="AG534" s="15">
        <v>0.71354516651855604</v>
      </c>
      <c r="AH534" s="15">
        <v>0.73527707070097914</v>
      </c>
      <c r="AI534" s="15">
        <v>0.75561724233977168</v>
      </c>
      <c r="AJ534" s="41">
        <f t="shared" si="16"/>
        <v>6.1959999999999997</v>
      </c>
      <c r="AK534" s="44">
        <f t="shared" si="17"/>
        <v>24.390809932699</v>
      </c>
      <c r="AL534" s="10"/>
      <c r="AM534" s="10"/>
    </row>
    <row r="535" spans="1:39" s="16" customFormat="1" ht="19" customHeight="1">
      <c r="A535" s="29" t="s">
        <v>596</v>
      </c>
      <c r="B535" s="29" t="s">
        <v>1367</v>
      </c>
      <c r="C535" s="29"/>
      <c r="D535" s="29"/>
      <c r="E535" s="30" t="s">
        <v>183</v>
      </c>
      <c r="F535" s="30" t="s">
        <v>249</v>
      </c>
      <c r="G535" s="31" t="s">
        <v>439</v>
      </c>
      <c r="H535" s="35">
        <v>0.224</v>
      </c>
      <c r="I535" s="35">
        <v>0.17100000000000001</v>
      </c>
      <c r="J535" s="13">
        <v>9.56</v>
      </c>
      <c r="K535" s="13">
        <v>30.75</v>
      </c>
      <c r="L535" s="13">
        <v>5.54</v>
      </c>
      <c r="M535" s="35">
        <v>2865</v>
      </c>
      <c r="N535" s="13">
        <v>33.68</v>
      </c>
      <c r="O535" s="13">
        <v>15.05</v>
      </c>
      <c r="P535" s="13">
        <v>5.31</v>
      </c>
      <c r="Q535" s="13">
        <v>25.54</v>
      </c>
      <c r="R535" s="13">
        <v>5.27</v>
      </c>
      <c r="S535" s="13">
        <v>36.81</v>
      </c>
      <c r="T535" s="13">
        <v>170.8</v>
      </c>
      <c r="U535" s="13">
        <v>5.62</v>
      </c>
      <c r="V535" s="13">
        <v>9.92</v>
      </c>
      <c r="W535" s="13">
        <v>0.878</v>
      </c>
      <c r="X535" s="13">
        <v>3.64</v>
      </c>
      <c r="Y535" s="13">
        <v>0.39300000000000002</v>
      </c>
      <c r="Z535" s="35">
        <v>476.9</v>
      </c>
      <c r="AA535" s="13"/>
      <c r="AB535" s="13"/>
      <c r="AC535" s="14">
        <v>101.68918918918919</v>
      </c>
      <c r="AD535" s="14">
        <v>94.316163410301954</v>
      </c>
      <c r="AE535" s="14">
        <v>128.34170854271355</v>
      </c>
      <c r="AF535" s="14">
        <v>145.98337950138503</v>
      </c>
      <c r="AG535" s="15">
        <v>0.8200303901802436</v>
      </c>
      <c r="AH535" s="15">
        <v>0.82559076382314645</v>
      </c>
      <c r="AI535" s="15">
        <v>0.82218294863307539</v>
      </c>
      <c r="AJ535" s="41">
        <f t="shared" si="16"/>
        <v>79.53</v>
      </c>
      <c r="AK535" s="44">
        <f t="shared" si="17"/>
        <v>16.774004683840747</v>
      </c>
      <c r="AL535" s="10"/>
      <c r="AM535" s="10"/>
    </row>
    <row r="536" spans="1:39" s="16" customFormat="1" ht="19" customHeight="1">
      <c r="A536" s="29" t="s">
        <v>597</v>
      </c>
      <c r="B536" s="29" t="s">
        <v>1367</v>
      </c>
      <c r="C536" s="29"/>
      <c r="D536" s="29"/>
      <c r="E536" s="30" t="s">
        <v>183</v>
      </c>
      <c r="F536" s="30" t="s">
        <v>249</v>
      </c>
      <c r="G536" s="31" t="s">
        <v>439</v>
      </c>
      <c r="H536" s="35">
        <v>0.247</v>
      </c>
      <c r="I536" s="35">
        <v>0.21099999999999999</v>
      </c>
      <c r="J536" s="13">
        <v>2.36</v>
      </c>
      <c r="K536" s="13">
        <v>9.86</v>
      </c>
      <c r="L536" s="13">
        <v>1.9</v>
      </c>
      <c r="M536" s="35">
        <v>2970</v>
      </c>
      <c r="N536" s="13">
        <v>12.26</v>
      </c>
      <c r="O536" s="13">
        <v>5.26</v>
      </c>
      <c r="P536" s="13">
        <v>1.84</v>
      </c>
      <c r="Q536" s="13">
        <v>10.94</v>
      </c>
      <c r="R536" s="13">
        <v>2.23</v>
      </c>
      <c r="S536" s="13">
        <v>18.16</v>
      </c>
      <c r="T536" s="13">
        <v>94.7</v>
      </c>
      <c r="U536" s="13">
        <v>3.1</v>
      </c>
      <c r="V536" s="13">
        <v>6.03</v>
      </c>
      <c r="W536" s="13">
        <v>0.51800000000000002</v>
      </c>
      <c r="X536" s="13">
        <v>2.2599999999999998</v>
      </c>
      <c r="Y536" s="13">
        <v>0.223</v>
      </c>
      <c r="Z536" s="35">
        <v>430.8</v>
      </c>
      <c r="AA536" s="13"/>
      <c r="AB536" s="13"/>
      <c r="AC536" s="14">
        <v>35.54054054054054</v>
      </c>
      <c r="AD536" s="14">
        <v>32.682060390763766</v>
      </c>
      <c r="AE536" s="14">
        <v>54.974874371859293</v>
      </c>
      <c r="AF536" s="14">
        <v>61.772853185595565</v>
      </c>
      <c r="AG536" s="15">
        <v>0.72213247704588723</v>
      </c>
      <c r="AH536" s="15">
        <v>0.73937590063124892</v>
      </c>
      <c r="AI536" s="15">
        <v>0.76482285159227237</v>
      </c>
      <c r="AJ536" s="41">
        <f t="shared" si="16"/>
        <v>26.38</v>
      </c>
      <c r="AK536" s="44">
        <f t="shared" si="17"/>
        <v>31.362196409714887</v>
      </c>
      <c r="AL536" s="10"/>
      <c r="AM536" s="10"/>
    </row>
    <row r="537" spans="1:39" s="16" customFormat="1" ht="19" customHeight="1">
      <c r="A537" s="29" t="s">
        <v>598</v>
      </c>
      <c r="B537" s="29" t="s">
        <v>1367</v>
      </c>
      <c r="C537" s="29"/>
      <c r="D537" s="29"/>
      <c r="E537" s="30" t="s">
        <v>183</v>
      </c>
      <c r="F537" s="30" t="s">
        <v>249</v>
      </c>
      <c r="G537" s="31" t="s">
        <v>439</v>
      </c>
      <c r="H537" s="35">
        <v>0.161</v>
      </c>
      <c r="I537" s="35">
        <v>0.73199999999999998</v>
      </c>
      <c r="J537" s="13">
        <v>5.83</v>
      </c>
      <c r="K537" s="13">
        <v>19.62</v>
      </c>
      <c r="L537" s="13">
        <v>3.99</v>
      </c>
      <c r="M537" s="35">
        <v>4133</v>
      </c>
      <c r="N537" s="13">
        <v>25.1</v>
      </c>
      <c r="O537" s="13">
        <v>12.91</v>
      </c>
      <c r="P537" s="13">
        <v>5.17</v>
      </c>
      <c r="Q537" s="13">
        <v>29.15</v>
      </c>
      <c r="R537" s="13">
        <v>6.17</v>
      </c>
      <c r="S537" s="13">
        <v>40.299999999999997</v>
      </c>
      <c r="T537" s="13">
        <v>143.1</v>
      </c>
      <c r="U537" s="13">
        <v>5.17</v>
      </c>
      <c r="V537" s="13">
        <v>7.51</v>
      </c>
      <c r="W537" s="13">
        <v>0.52500000000000002</v>
      </c>
      <c r="X537" s="13">
        <v>1.99</v>
      </c>
      <c r="Y537" s="13">
        <v>0.23400000000000001</v>
      </c>
      <c r="Z537" s="35">
        <v>559.29999999999995</v>
      </c>
      <c r="AA537" s="13"/>
      <c r="AB537" s="13"/>
      <c r="AC537" s="14">
        <v>87.22972972972974</v>
      </c>
      <c r="AD537" s="14">
        <v>91.829484902309062</v>
      </c>
      <c r="AE537" s="14">
        <v>146.4824120603015</v>
      </c>
      <c r="AF537" s="14">
        <v>170.91412742382272</v>
      </c>
      <c r="AG537" s="15">
        <v>0.7858340965854429</v>
      </c>
      <c r="AH537" s="15">
        <v>0.81237611015920308</v>
      </c>
      <c r="AI537" s="15">
        <v>0.84129145244682957</v>
      </c>
      <c r="AJ537" s="41">
        <f t="shared" si="16"/>
        <v>54.540000000000006</v>
      </c>
      <c r="AK537" s="44">
        <f t="shared" si="17"/>
        <v>28.881900768693221</v>
      </c>
      <c r="AL537" s="10"/>
      <c r="AM537" s="10"/>
    </row>
    <row r="538" spans="1:39" s="16" customFormat="1" ht="19" customHeight="1">
      <c r="A538" s="29" t="s">
        <v>599</v>
      </c>
      <c r="B538" s="29" t="s">
        <v>1367</v>
      </c>
      <c r="C538" s="29"/>
      <c r="D538" s="29"/>
      <c r="E538" s="30" t="s">
        <v>183</v>
      </c>
      <c r="F538" s="30" t="s">
        <v>249</v>
      </c>
      <c r="G538" s="31" t="s">
        <v>439</v>
      </c>
      <c r="H538" s="35">
        <v>0.17599999999999999</v>
      </c>
      <c r="I538" s="35">
        <v>0.71299999999999997</v>
      </c>
      <c r="J538" s="13">
        <v>3.7</v>
      </c>
      <c r="K538" s="13">
        <v>13.72</v>
      </c>
      <c r="L538" s="13">
        <v>2.7549999999999999</v>
      </c>
      <c r="M538" s="35">
        <v>3458</v>
      </c>
      <c r="N538" s="13">
        <v>17.02</v>
      </c>
      <c r="O538" s="13">
        <v>9.11</v>
      </c>
      <c r="P538" s="13">
        <v>3.36</v>
      </c>
      <c r="Q538" s="13">
        <v>19.22</v>
      </c>
      <c r="R538" s="13">
        <v>4.2350000000000003</v>
      </c>
      <c r="S538" s="13">
        <v>29.01</v>
      </c>
      <c r="T538" s="13">
        <v>116</v>
      </c>
      <c r="U538" s="13">
        <v>4.1749999999999998</v>
      </c>
      <c r="V538" s="13">
        <v>6.4</v>
      </c>
      <c r="W538" s="13">
        <v>0.504</v>
      </c>
      <c r="X538" s="13">
        <v>1.9730000000000001</v>
      </c>
      <c r="Y538" s="13">
        <v>0.27</v>
      </c>
      <c r="Z538" s="35">
        <v>766.5</v>
      </c>
      <c r="AA538" s="13"/>
      <c r="AB538" s="13"/>
      <c r="AC538" s="14">
        <v>61.554054054054056</v>
      </c>
      <c r="AD538" s="14">
        <v>59.680284191829486</v>
      </c>
      <c r="AE538" s="14">
        <v>96.582914572864311</v>
      </c>
      <c r="AF538" s="14">
        <v>117.31301939058173</v>
      </c>
      <c r="AG538" s="15">
        <v>0.75479231339800201</v>
      </c>
      <c r="AH538" s="15">
        <v>0.77402038437822251</v>
      </c>
      <c r="AI538" s="15">
        <v>0.78200771455111717</v>
      </c>
      <c r="AJ538" s="41">
        <f t="shared" si="16"/>
        <v>37.195</v>
      </c>
      <c r="AK538" s="44">
        <f t="shared" si="17"/>
        <v>29.810344827586206</v>
      </c>
      <c r="AL538" s="10"/>
      <c r="AM538" s="10"/>
    </row>
    <row r="539" spans="1:39" s="16" customFormat="1" ht="19" customHeight="1">
      <c r="A539" s="29" t="s">
        <v>600</v>
      </c>
      <c r="B539" s="29" t="s">
        <v>1367</v>
      </c>
      <c r="C539" s="29"/>
      <c r="D539" s="29"/>
      <c r="E539" s="30" t="s">
        <v>183</v>
      </c>
      <c r="F539" s="30" t="s">
        <v>249</v>
      </c>
      <c r="G539" s="31" t="s">
        <v>439</v>
      </c>
      <c r="H539" s="35">
        <v>6.36</v>
      </c>
      <c r="I539" s="35">
        <v>0.80500000000000005</v>
      </c>
      <c r="J539" s="13">
        <v>134</v>
      </c>
      <c r="K539" s="13">
        <v>384</v>
      </c>
      <c r="L539" s="13">
        <v>57.7</v>
      </c>
      <c r="M539" s="35">
        <v>2142</v>
      </c>
      <c r="N539" s="13">
        <v>251</v>
      </c>
      <c r="O539" s="13">
        <v>49.3</v>
      </c>
      <c r="P539" s="13">
        <v>7.41</v>
      </c>
      <c r="Q539" s="13">
        <v>47.5</v>
      </c>
      <c r="R539" s="13">
        <v>7.21</v>
      </c>
      <c r="S539" s="13">
        <v>45</v>
      </c>
      <c r="T539" s="13">
        <v>216</v>
      </c>
      <c r="U539" s="13">
        <v>7.33</v>
      </c>
      <c r="V539" s="13">
        <v>16.2</v>
      </c>
      <c r="W539" s="13">
        <v>1.69</v>
      </c>
      <c r="X539" s="13">
        <v>8.02</v>
      </c>
      <c r="Y539" s="13">
        <v>0.997</v>
      </c>
      <c r="Z539" s="35">
        <v>418</v>
      </c>
      <c r="AA539" s="13"/>
      <c r="AB539" s="13"/>
      <c r="AC539" s="14">
        <v>333.10810810810813</v>
      </c>
      <c r="AD539" s="14">
        <v>131.6163410301954</v>
      </c>
      <c r="AE539" s="14">
        <v>238.6934673366834</v>
      </c>
      <c r="AF539" s="14">
        <v>199.7229916897507</v>
      </c>
      <c r="AG539" s="15">
        <v>0.46035669253906486</v>
      </c>
      <c r="AH539" s="15">
        <v>0.46676356111525297</v>
      </c>
      <c r="AI539" s="15">
        <v>0.46857270834001385</v>
      </c>
      <c r="AJ539" s="41">
        <f t="shared" si="16"/>
        <v>826.7</v>
      </c>
      <c r="AK539" s="44">
        <f t="shared" si="17"/>
        <v>9.9166666666666661</v>
      </c>
      <c r="AL539" s="10"/>
      <c r="AM539" s="10"/>
    </row>
    <row r="540" spans="1:39" s="16" customFormat="1" ht="19" customHeight="1">
      <c r="A540" s="29" t="s">
        <v>601</v>
      </c>
      <c r="B540" s="29" t="s">
        <v>1367</v>
      </c>
      <c r="C540" s="29"/>
      <c r="D540" s="29"/>
      <c r="E540" s="30" t="s">
        <v>183</v>
      </c>
      <c r="F540" s="30" t="s">
        <v>249</v>
      </c>
      <c r="G540" s="31" t="s">
        <v>439</v>
      </c>
      <c r="H540" s="35">
        <v>0.16500000000000001</v>
      </c>
      <c r="I540" s="35">
        <v>1.7190000000000001</v>
      </c>
      <c r="J540" s="13">
        <v>9.81</v>
      </c>
      <c r="K540" s="13">
        <v>33.61</v>
      </c>
      <c r="L540" s="13">
        <v>6.65</v>
      </c>
      <c r="M540" s="35">
        <v>4494</v>
      </c>
      <c r="N540" s="13">
        <v>41.7</v>
      </c>
      <c r="O540" s="13">
        <v>20.94</v>
      </c>
      <c r="P540" s="13">
        <v>8.2899999999999991</v>
      </c>
      <c r="Q540" s="13">
        <v>46.7</v>
      </c>
      <c r="R540" s="13">
        <v>9.34</v>
      </c>
      <c r="S540" s="13">
        <v>60.7</v>
      </c>
      <c r="T540" s="13">
        <v>222.2</v>
      </c>
      <c r="U540" s="13">
        <v>8.19</v>
      </c>
      <c r="V540" s="13">
        <v>12.3</v>
      </c>
      <c r="W540" s="13">
        <v>0.93200000000000005</v>
      </c>
      <c r="X540" s="13">
        <v>3.58</v>
      </c>
      <c r="Y540" s="13">
        <v>0.42199999999999999</v>
      </c>
      <c r="Z540" s="35">
        <v>737.4</v>
      </c>
      <c r="AA540" s="13"/>
      <c r="AB540" s="13"/>
      <c r="AC540" s="14">
        <v>141.48648648648651</v>
      </c>
      <c r="AD540" s="14">
        <v>147.24689165186501</v>
      </c>
      <c r="AE540" s="14">
        <v>234.67336683417085</v>
      </c>
      <c r="AF540" s="14">
        <v>258.72576177285316</v>
      </c>
      <c r="AG540" s="15">
        <v>0.78289530555694065</v>
      </c>
      <c r="AH540" s="15">
        <v>0.80808445548132224</v>
      </c>
      <c r="AI540" s="15">
        <v>0.85105233939121117</v>
      </c>
      <c r="AJ540" s="41">
        <f t="shared" si="16"/>
        <v>91.77000000000001</v>
      </c>
      <c r="AK540" s="44">
        <f t="shared" si="17"/>
        <v>20.225022502250226</v>
      </c>
      <c r="AL540" s="10"/>
      <c r="AM540" s="10"/>
    </row>
    <row r="541" spans="1:39" s="16" customFormat="1" ht="19" customHeight="1">
      <c r="A541" s="29" t="s">
        <v>602</v>
      </c>
      <c r="B541" s="29" t="s">
        <v>1367</v>
      </c>
      <c r="C541" s="29"/>
      <c r="D541" s="29"/>
      <c r="E541" s="30" t="s">
        <v>183</v>
      </c>
      <c r="F541" s="30" t="s">
        <v>249</v>
      </c>
      <c r="G541" s="31" t="s">
        <v>439</v>
      </c>
      <c r="H541" s="35">
        <v>0.66400000000000003</v>
      </c>
      <c r="I541" s="35">
        <v>0.379</v>
      </c>
      <c r="J541" s="13">
        <v>3.48</v>
      </c>
      <c r="K541" s="13">
        <v>12</v>
      </c>
      <c r="L541" s="13">
        <v>2.48</v>
      </c>
      <c r="M541" s="35">
        <v>3189</v>
      </c>
      <c r="N541" s="13">
        <v>15.29</v>
      </c>
      <c r="O541" s="13">
        <v>7.62</v>
      </c>
      <c r="P541" s="13">
        <v>3.08</v>
      </c>
      <c r="Q541" s="13">
        <v>16.34</v>
      </c>
      <c r="R541" s="13">
        <v>3.66</v>
      </c>
      <c r="S541" s="13">
        <v>26.2</v>
      </c>
      <c r="T541" s="13">
        <v>96.5</v>
      </c>
      <c r="U541" s="13">
        <v>3.39</v>
      </c>
      <c r="V541" s="13">
        <v>4.93</v>
      </c>
      <c r="W541" s="13">
        <v>0.35699999999999998</v>
      </c>
      <c r="X541" s="13">
        <v>1.56</v>
      </c>
      <c r="Y541" s="13">
        <v>0.16900000000000001</v>
      </c>
      <c r="Z541" s="35">
        <v>457.5</v>
      </c>
      <c r="AA541" s="13"/>
      <c r="AB541" s="13"/>
      <c r="AC541" s="14">
        <v>51.486486486486491</v>
      </c>
      <c r="AD541" s="14">
        <v>54.706927175843703</v>
      </c>
      <c r="AE541" s="14">
        <v>82.110552763819086</v>
      </c>
      <c r="AF541" s="14">
        <v>101.38504155124654</v>
      </c>
      <c r="AG541" s="15">
        <v>0.81898412543927046</v>
      </c>
      <c r="AH541" s="15">
        <v>0.84138779082317283</v>
      </c>
      <c r="AI541" s="15">
        <v>0.84772603918095168</v>
      </c>
      <c r="AJ541" s="41">
        <f t="shared" si="16"/>
        <v>33.25</v>
      </c>
      <c r="AK541" s="44">
        <f t="shared" si="17"/>
        <v>33.046632124352328</v>
      </c>
      <c r="AL541" s="10"/>
      <c r="AM541" s="10"/>
    </row>
    <row r="542" spans="1:39" s="16" customFormat="1" ht="19" customHeight="1">
      <c r="A542" s="29" t="s">
        <v>603</v>
      </c>
      <c r="B542" s="29" t="s">
        <v>1367</v>
      </c>
      <c r="C542" s="29"/>
      <c r="D542" s="29"/>
      <c r="E542" s="30" t="s">
        <v>183</v>
      </c>
      <c r="F542" s="30" t="s">
        <v>249</v>
      </c>
      <c r="G542" s="31" t="s">
        <v>439</v>
      </c>
      <c r="H542" s="35">
        <v>0.104</v>
      </c>
      <c r="I542" s="35">
        <v>0.307</v>
      </c>
      <c r="J542" s="13">
        <v>2.4700000000000002</v>
      </c>
      <c r="K542" s="13">
        <v>8.58</v>
      </c>
      <c r="L542" s="13">
        <v>1.56</v>
      </c>
      <c r="M542" s="35">
        <v>1950</v>
      </c>
      <c r="N542" s="13">
        <v>10.23</v>
      </c>
      <c r="O542" s="13">
        <v>4.78</v>
      </c>
      <c r="P542" s="13">
        <v>1.93</v>
      </c>
      <c r="Q542" s="13">
        <v>9.6</v>
      </c>
      <c r="R542" s="13">
        <v>2.09</v>
      </c>
      <c r="S542" s="13">
        <v>15.4</v>
      </c>
      <c r="T542" s="13">
        <v>67.3</v>
      </c>
      <c r="U542" s="13">
        <v>2.4</v>
      </c>
      <c r="V542" s="13">
        <v>4.33</v>
      </c>
      <c r="W542" s="13">
        <v>0.48</v>
      </c>
      <c r="X542" s="13">
        <v>2.3199999999999998</v>
      </c>
      <c r="Y542" s="13">
        <v>0.33100000000000002</v>
      </c>
      <c r="Z542" s="35">
        <v>609.5</v>
      </c>
      <c r="AA542" s="13"/>
      <c r="AB542" s="13"/>
      <c r="AC542" s="14">
        <v>32.297297297297298</v>
      </c>
      <c r="AD542" s="14">
        <v>34.280639431616343</v>
      </c>
      <c r="AE542" s="14">
        <v>48.241206030150749</v>
      </c>
      <c r="AF542" s="14">
        <v>57.89473684210526</v>
      </c>
      <c r="AG542" s="15">
        <v>0.85128573329058332</v>
      </c>
      <c r="AH542" s="15">
        <v>0.86847384797223959</v>
      </c>
      <c r="AI542" s="15">
        <v>0.87375920780084759</v>
      </c>
      <c r="AJ542" s="41">
        <f t="shared" si="16"/>
        <v>22.840000000000003</v>
      </c>
      <c r="AK542" s="44">
        <f t="shared" si="17"/>
        <v>28.974739970282318</v>
      </c>
      <c r="AL542" s="10"/>
      <c r="AM542" s="10"/>
    </row>
    <row r="543" spans="1:39" s="16" customFormat="1" ht="19" customHeight="1">
      <c r="A543" s="29" t="s">
        <v>604</v>
      </c>
      <c r="B543" s="29" t="s">
        <v>1367</v>
      </c>
      <c r="C543" s="29"/>
      <c r="D543" s="29"/>
      <c r="E543" s="30" t="s">
        <v>183</v>
      </c>
      <c r="F543" s="30" t="s">
        <v>249</v>
      </c>
      <c r="G543" s="31" t="s">
        <v>439</v>
      </c>
      <c r="H543" s="35">
        <v>0.20200000000000001</v>
      </c>
      <c r="I543" s="35">
        <v>7.17E-2</v>
      </c>
      <c r="J543" s="13">
        <v>0.83899999999999997</v>
      </c>
      <c r="K543" s="13">
        <v>2.99</v>
      </c>
      <c r="L543" s="13">
        <v>0.66</v>
      </c>
      <c r="M543" s="35">
        <v>2023</v>
      </c>
      <c r="N543" s="13">
        <v>3.85</v>
      </c>
      <c r="O543" s="13">
        <v>1.88</v>
      </c>
      <c r="P543" s="13">
        <v>0.55300000000000005</v>
      </c>
      <c r="Q543" s="13">
        <v>3.62</v>
      </c>
      <c r="R543" s="13">
        <v>0.81899999999999995</v>
      </c>
      <c r="S543" s="13">
        <v>7.2</v>
      </c>
      <c r="T543" s="13">
        <v>44</v>
      </c>
      <c r="U543" s="13">
        <v>1.454</v>
      </c>
      <c r="V543" s="13">
        <v>3.42</v>
      </c>
      <c r="W543" s="13">
        <v>0.39700000000000002</v>
      </c>
      <c r="X543" s="13">
        <v>2.15</v>
      </c>
      <c r="Y543" s="13">
        <v>0.29799999999999999</v>
      </c>
      <c r="Z543" s="35">
        <v>427</v>
      </c>
      <c r="AA543" s="13"/>
      <c r="AB543" s="13"/>
      <c r="AC543" s="14">
        <v>12.702702702702702</v>
      </c>
      <c r="AD543" s="14">
        <v>9.8223801065719378</v>
      </c>
      <c r="AE543" s="14">
        <v>18.190954773869347</v>
      </c>
      <c r="AF543" s="14">
        <v>22.686980609418281</v>
      </c>
      <c r="AG543" s="15">
        <v>0.63588327889118723</v>
      </c>
      <c r="AH543" s="15">
        <v>0.64616126850842981</v>
      </c>
      <c r="AI543" s="15">
        <v>0.63732420666496004</v>
      </c>
      <c r="AJ543" s="41">
        <f t="shared" si="16"/>
        <v>8.3390000000000004</v>
      </c>
      <c r="AK543" s="44">
        <f t="shared" si="17"/>
        <v>45.977272727272727</v>
      </c>
      <c r="AL543" s="10"/>
      <c r="AM543" s="10"/>
    </row>
    <row r="544" spans="1:39" s="16" customFormat="1" ht="19" customHeight="1">
      <c r="A544" s="29" t="s">
        <v>605</v>
      </c>
      <c r="B544" s="29" t="s">
        <v>1367</v>
      </c>
      <c r="C544" s="29"/>
      <c r="D544" s="29"/>
      <c r="E544" s="30" t="s">
        <v>183</v>
      </c>
      <c r="F544" s="30" t="s">
        <v>249</v>
      </c>
      <c r="G544" s="31" t="s">
        <v>439</v>
      </c>
      <c r="H544" s="35">
        <v>3.95</v>
      </c>
      <c r="I544" s="35">
        <v>1.1599999999999999</v>
      </c>
      <c r="J544" s="13">
        <v>13.4</v>
      </c>
      <c r="K544" s="13">
        <v>45.8</v>
      </c>
      <c r="L544" s="13">
        <v>7.92</v>
      </c>
      <c r="M544" s="35">
        <v>2544</v>
      </c>
      <c r="N544" s="13">
        <v>42.3</v>
      </c>
      <c r="O544" s="13">
        <v>13.2</v>
      </c>
      <c r="P544" s="13">
        <v>3.78</v>
      </c>
      <c r="Q544" s="13">
        <v>19.09</v>
      </c>
      <c r="R544" s="13">
        <v>3.8450000000000002</v>
      </c>
      <c r="S544" s="13">
        <v>29.53</v>
      </c>
      <c r="T544" s="13">
        <v>157.80000000000001</v>
      </c>
      <c r="U544" s="13">
        <v>5.35</v>
      </c>
      <c r="V544" s="13">
        <v>10.35</v>
      </c>
      <c r="W544" s="13">
        <v>0.94899999999999995</v>
      </c>
      <c r="X544" s="13">
        <v>4.1399999999999997</v>
      </c>
      <c r="Y544" s="13">
        <v>0.503</v>
      </c>
      <c r="Z544" s="35">
        <v>598</v>
      </c>
      <c r="AA544" s="13"/>
      <c r="AB544" s="13"/>
      <c r="AC544" s="14">
        <v>89.189189189189193</v>
      </c>
      <c r="AD544" s="14">
        <v>67.140319715808175</v>
      </c>
      <c r="AE544" s="14">
        <v>95.929648241206024</v>
      </c>
      <c r="AF544" s="14">
        <v>106.50969529085873</v>
      </c>
      <c r="AG544" s="15">
        <v>0.72537533886634276</v>
      </c>
      <c r="AH544" s="15">
        <v>0.72585666851610298</v>
      </c>
      <c r="AI544" s="15">
        <v>0.70954326253593936</v>
      </c>
      <c r="AJ544" s="41">
        <f t="shared" si="16"/>
        <v>109.41999999999999</v>
      </c>
      <c r="AK544" s="44">
        <f t="shared" si="17"/>
        <v>16.121673003802279</v>
      </c>
      <c r="AL544" s="10"/>
      <c r="AM544" s="10"/>
    </row>
    <row r="545" spans="1:39" s="16" customFormat="1" ht="19" customHeight="1">
      <c r="A545" s="29" t="s">
        <v>606</v>
      </c>
      <c r="B545" s="29" t="s">
        <v>1367</v>
      </c>
      <c r="C545" s="29"/>
      <c r="D545" s="29"/>
      <c r="E545" s="30" t="s">
        <v>183</v>
      </c>
      <c r="F545" s="30" t="s">
        <v>249</v>
      </c>
      <c r="G545" s="31" t="s">
        <v>439</v>
      </c>
      <c r="H545" s="35">
        <v>1.07</v>
      </c>
      <c r="I545" s="35">
        <v>5.2</v>
      </c>
      <c r="J545" s="13">
        <v>9</v>
      </c>
      <c r="K545" s="13">
        <v>41.4</v>
      </c>
      <c r="L545" s="13">
        <v>8</v>
      </c>
      <c r="M545" s="35">
        <v>1490</v>
      </c>
      <c r="N545" s="13">
        <v>48</v>
      </c>
      <c r="O545" s="13">
        <v>16.3</v>
      </c>
      <c r="P545" s="13">
        <v>3.65</v>
      </c>
      <c r="Q545" s="13">
        <v>23.2</v>
      </c>
      <c r="R545" s="13">
        <v>4.2699999999999996</v>
      </c>
      <c r="S545" s="13">
        <v>28.5</v>
      </c>
      <c r="T545" s="13">
        <v>142</v>
      </c>
      <c r="U545" s="13">
        <v>5.05</v>
      </c>
      <c r="V545" s="13">
        <v>12.5</v>
      </c>
      <c r="W545" s="13">
        <v>1.68</v>
      </c>
      <c r="X545" s="13">
        <v>9.9</v>
      </c>
      <c r="Y545" s="13">
        <v>1.5329999999999999</v>
      </c>
      <c r="Z545" s="35">
        <v>609.5</v>
      </c>
      <c r="AA545" s="13"/>
      <c r="AB545" s="13"/>
      <c r="AC545" s="14">
        <v>110.13513513513514</v>
      </c>
      <c r="AD545" s="14">
        <v>64.831261101243342</v>
      </c>
      <c r="AE545" s="14">
        <v>116.58291457286431</v>
      </c>
      <c r="AF545" s="14">
        <v>118.28254847645428</v>
      </c>
      <c r="AG545" s="15">
        <v>0.57191089271226958</v>
      </c>
      <c r="AH545" s="15">
        <v>0.57214231760413525</v>
      </c>
      <c r="AI545" s="15">
        <v>0.57481353537671309</v>
      </c>
      <c r="AJ545" s="41">
        <f t="shared" si="16"/>
        <v>106.4</v>
      </c>
      <c r="AK545" s="44">
        <f t="shared" si="17"/>
        <v>10.492957746478874</v>
      </c>
      <c r="AL545" s="10"/>
      <c r="AM545" s="10"/>
    </row>
    <row r="546" spans="1:39" s="16" customFormat="1" ht="19" customHeight="1">
      <c r="A546" s="29" t="s">
        <v>607</v>
      </c>
      <c r="B546" s="29" t="s">
        <v>1369</v>
      </c>
      <c r="C546" s="29"/>
      <c r="D546" s="29"/>
      <c r="E546" s="36" t="s">
        <v>234</v>
      </c>
      <c r="F546" s="36" t="s">
        <v>249</v>
      </c>
      <c r="G546" s="31" t="s">
        <v>439</v>
      </c>
      <c r="H546" s="35">
        <v>0.126</v>
      </c>
      <c r="I546" s="35">
        <v>13.9</v>
      </c>
      <c r="J546" s="13">
        <v>109.9</v>
      </c>
      <c r="K546" s="13">
        <v>440.1</v>
      </c>
      <c r="L546" s="13">
        <v>78.099999999999994</v>
      </c>
      <c r="M546" s="35">
        <v>142</v>
      </c>
      <c r="N546" s="13">
        <v>470</v>
      </c>
      <c r="O546" s="13">
        <v>198.9</v>
      </c>
      <c r="P546" s="13">
        <v>17.600000000000001</v>
      </c>
      <c r="Q546" s="13">
        <v>272.8</v>
      </c>
      <c r="R546" s="13">
        <v>47.99</v>
      </c>
      <c r="S546" s="13">
        <v>310.89999999999998</v>
      </c>
      <c r="T546" s="13">
        <v>1421</v>
      </c>
      <c r="U546" s="13">
        <v>55.1</v>
      </c>
      <c r="V546" s="13">
        <v>133.19999999999999</v>
      </c>
      <c r="W546" s="13">
        <v>13.72</v>
      </c>
      <c r="X546" s="13">
        <v>62.93</v>
      </c>
      <c r="Y546" s="13">
        <v>6.76</v>
      </c>
      <c r="Z546" s="35">
        <v>1632</v>
      </c>
      <c r="AA546" s="13"/>
      <c r="AB546" s="13"/>
      <c r="AC546" s="14">
        <v>1343.918918918919</v>
      </c>
      <c r="AD546" s="14">
        <v>312.6110124333926</v>
      </c>
      <c r="AE546" s="14">
        <v>1370.854271356784</v>
      </c>
      <c r="AF546" s="14">
        <v>1329.3628808864266</v>
      </c>
      <c r="AG546" s="15">
        <v>0.23030359482933077</v>
      </c>
      <c r="AH546" s="15">
        <v>0.23031493138196699</v>
      </c>
      <c r="AI546" s="15">
        <v>0.23345743634353003</v>
      </c>
      <c r="AJ546" s="41">
        <f t="shared" si="16"/>
        <v>1098.0999999999999</v>
      </c>
      <c r="AK546" s="44">
        <f t="shared" si="17"/>
        <v>9.9929627023223083E-2</v>
      </c>
      <c r="AL546" s="10"/>
      <c r="AM546" s="10"/>
    </row>
    <row r="547" spans="1:39" s="16" customFormat="1" ht="19" customHeight="1">
      <c r="A547" s="29" t="s">
        <v>608</v>
      </c>
      <c r="B547" s="29" t="s">
        <v>1369</v>
      </c>
      <c r="C547" s="29"/>
      <c r="D547" s="29"/>
      <c r="E547" s="36" t="s">
        <v>234</v>
      </c>
      <c r="F547" s="36" t="s">
        <v>249</v>
      </c>
      <c r="G547" s="31" t="s">
        <v>439</v>
      </c>
      <c r="H547" s="35">
        <v>0.50600000000000001</v>
      </c>
      <c r="I547" s="35">
        <v>35.97</v>
      </c>
      <c r="J547" s="13">
        <v>342.8</v>
      </c>
      <c r="K547" s="13">
        <v>1201</v>
      </c>
      <c r="L547" s="13">
        <v>179.1</v>
      </c>
      <c r="M547" s="35">
        <v>176.3</v>
      </c>
      <c r="N547" s="13">
        <v>925</v>
      </c>
      <c r="O547" s="13">
        <v>341.1</v>
      </c>
      <c r="P547" s="13">
        <v>11.27</v>
      </c>
      <c r="Q547" s="13">
        <v>401.7</v>
      </c>
      <c r="R547" s="13">
        <v>60.79</v>
      </c>
      <c r="S547" s="13">
        <v>314</v>
      </c>
      <c r="T547" s="13">
        <v>1097</v>
      </c>
      <c r="U547" s="13">
        <v>40.97</v>
      </c>
      <c r="V547" s="13">
        <v>70.8</v>
      </c>
      <c r="W547" s="13">
        <v>5.5659999999999998</v>
      </c>
      <c r="X547" s="13">
        <v>20.86</v>
      </c>
      <c r="Y547" s="13">
        <v>1.7330000000000001</v>
      </c>
      <c r="Z547" s="35">
        <v>3344</v>
      </c>
      <c r="AA547" s="13"/>
      <c r="AB547" s="13"/>
      <c r="AC547" s="14">
        <v>2304.72972972973</v>
      </c>
      <c r="AD547" s="14">
        <v>200.17761989342807</v>
      </c>
      <c r="AE547" s="14">
        <v>2018.5929648241204</v>
      </c>
      <c r="AF547" s="14">
        <v>1683.9335180055402</v>
      </c>
      <c r="AG547" s="15">
        <v>9.2603598683759891E-2</v>
      </c>
      <c r="AH547" s="15">
        <v>9.2807087030334301E-2</v>
      </c>
      <c r="AI547" s="15">
        <v>9.6433339128053019E-2</v>
      </c>
      <c r="AJ547" s="41">
        <f t="shared" si="16"/>
        <v>2647.8999999999996</v>
      </c>
      <c r="AK547" s="44">
        <f t="shared" si="17"/>
        <v>0.16071103008204193</v>
      </c>
      <c r="AL547" s="10"/>
      <c r="AM547" s="10"/>
    </row>
    <row r="548" spans="1:39" s="16" customFormat="1" ht="19" customHeight="1">
      <c r="A548" s="29" t="s">
        <v>609</v>
      </c>
      <c r="B548" s="29" t="s">
        <v>1369</v>
      </c>
      <c r="C548" s="29"/>
      <c r="D548" s="29"/>
      <c r="E548" s="36" t="s">
        <v>234</v>
      </c>
      <c r="F548" s="36" t="s">
        <v>249</v>
      </c>
      <c r="G548" s="31" t="s">
        <v>439</v>
      </c>
      <c r="H548" s="35">
        <v>0.17499999999999999</v>
      </c>
      <c r="I548" s="35">
        <v>11.97</v>
      </c>
      <c r="J548" s="13">
        <v>65.2</v>
      </c>
      <c r="K548" s="13">
        <v>275.39999999999998</v>
      </c>
      <c r="L548" s="13">
        <v>52.4</v>
      </c>
      <c r="M548" s="35">
        <v>146.69999999999999</v>
      </c>
      <c r="N548" s="13">
        <v>328.3</v>
      </c>
      <c r="O548" s="13">
        <v>155.19999999999999</v>
      </c>
      <c r="P548" s="13">
        <v>20.41</v>
      </c>
      <c r="Q548" s="13">
        <v>224.6</v>
      </c>
      <c r="R548" s="13">
        <v>40.74</v>
      </c>
      <c r="S548" s="13">
        <v>262.7</v>
      </c>
      <c r="T548" s="13">
        <v>1127</v>
      </c>
      <c r="U548" s="13">
        <v>44.99</v>
      </c>
      <c r="V548" s="13">
        <v>100.6</v>
      </c>
      <c r="W548" s="13">
        <v>9.5</v>
      </c>
      <c r="X548" s="13">
        <v>39.799999999999997</v>
      </c>
      <c r="Y548" s="13">
        <v>3.99</v>
      </c>
      <c r="Z548" s="35">
        <v>1612</v>
      </c>
      <c r="AA548" s="13"/>
      <c r="AB548" s="13"/>
      <c r="AC548" s="14">
        <v>1048.6486486486485</v>
      </c>
      <c r="AD548" s="14">
        <v>362.52220248667851</v>
      </c>
      <c r="AE548" s="14">
        <v>1128.643216080402</v>
      </c>
      <c r="AF548" s="14">
        <v>1128.5318559556788</v>
      </c>
      <c r="AG548" s="15">
        <v>0.33300285401267682</v>
      </c>
      <c r="AH548" s="15">
        <v>0.33322783488567093</v>
      </c>
      <c r="AI548" s="15">
        <v>0.33734685697175459</v>
      </c>
      <c r="AJ548" s="41">
        <f t="shared" si="16"/>
        <v>721.3</v>
      </c>
      <c r="AK548" s="44">
        <f t="shared" si="17"/>
        <v>0.13016858917480034</v>
      </c>
      <c r="AL548" s="10"/>
      <c r="AM548" s="10"/>
    </row>
    <row r="549" spans="1:39" s="16" customFormat="1" ht="19" customHeight="1">
      <c r="A549" s="29" t="s">
        <v>610</v>
      </c>
      <c r="B549" s="29" t="s">
        <v>1369</v>
      </c>
      <c r="C549" s="29"/>
      <c r="D549" s="29"/>
      <c r="E549" s="36" t="s">
        <v>234</v>
      </c>
      <c r="F549" s="36" t="s">
        <v>249</v>
      </c>
      <c r="G549" s="31" t="s">
        <v>439</v>
      </c>
      <c r="H549" s="35">
        <v>0.105</v>
      </c>
      <c r="I549" s="35">
        <v>23.38</v>
      </c>
      <c r="J549" s="13">
        <v>184.8</v>
      </c>
      <c r="K549" s="13">
        <v>730</v>
      </c>
      <c r="L549" s="13">
        <v>113.4</v>
      </c>
      <c r="M549" s="35">
        <v>126.7</v>
      </c>
      <c r="N549" s="13">
        <v>623</v>
      </c>
      <c r="O549" s="13">
        <v>229.9</v>
      </c>
      <c r="P549" s="13">
        <v>15.55</v>
      </c>
      <c r="Q549" s="13">
        <v>258.10000000000002</v>
      </c>
      <c r="R549" s="13">
        <v>41.04</v>
      </c>
      <c r="S549" s="13">
        <v>232.5</v>
      </c>
      <c r="T549" s="13">
        <v>848</v>
      </c>
      <c r="U549" s="13">
        <v>34.369999999999997</v>
      </c>
      <c r="V549" s="13">
        <v>71.3</v>
      </c>
      <c r="W549" s="13">
        <v>6.56</v>
      </c>
      <c r="X549" s="13">
        <v>27.69</v>
      </c>
      <c r="Y549" s="13">
        <v>2.78</v>
      </c>
      <c r="Z549" s="35">
        <v>1526</v>
      </c>
      <c r="AA549" s="13"/>
      <c r="AB549" s="13"/>
      <c r="AC549" s="14">
        <v>1553.3783783783786</v>
      </c>
      <c r="AD549" s="14">
        <v>276.19893428063949</v>
      </c>
      <c r="AE549" s="14">
        <v>1296.9849246231156</v>
      </c>
      <c r="AF549" s="14">
        <v>1136.8421052631579</v>
      </c>
      <c r="AG549" s="15">
        <v>0.19379910903974662</v>
      </c>
      <c r="AH549" s="15">
        <v>0.19458793375493866</v>
      </c>
      <c r="AI549" s="15">
        <v>0.19730455498213462</v>
      </c>
      <c r="AJ549" s="41">
        <f t="shared" si="16"/>
        <v>1651.2</v>
      </c>
      <c r="AK549" s="44">
        <f t="shared" si="17"/>
        <v>0.14941037735849058</v>
      </c>
      <c r="AL549" s="10"/>
      <c r="AM549" s="10"/>
    </row>
    <row r="550" spans="1:39" s="16" customFormat="1" ht="19" customHeight="1">
      <c r="A550" s="29" t="s">
        <v>611</v>
      </c>
      <c r="B550" s="29" t="s">
        <v>1369</v>
      </c>
      <c r="C550" s="29"/>
      <c r="D550" s="29"/>
      <c r="E550" s="36" t="s">
        <v>234</v>
      </c>
      <c r="F550" s="36" t="s">
        <v>249</v>
      </c>
      <c r="G550" s="31" t="s">
        <v>439</v>
      </c>
      <c r="H550" s="35">
        <v>2.2000000000000002</v>
      </c>
      <c r="I550" s="35">
        <v>40.299999999999997</v>
      </c>
      <c r="J550" s="13">
        <v>335.8</v>
      </c>
      <c r="K550" s="13">
        <v>1184</v>
      </c>
      <c r="L550" s="13">
        <v>174.9</v>
      </c>
      <c r="M550" s="35">
        <v>174.2</v>
      </c>
      <c r="N550" s="13">
        <v>932</v>
      </c>
      <c r="O550" s="13">
        <v>361</v>
      </c>
      <c r="P550" s="13">
        <v>11.75</v>
      </c>
      <c r="Q550" s="13">
        <v>445</v>
      </c>
      <c r="R550" s="13">
        <v>69.400000000000006</v>
      </c>
      <c r="S550" s="13">
        <v>389</v>
      </c>
      <c r="T550" s="13">
        <v>1610</v>
      </c>
      <c r="U550" s="13">
        <v>52.9</v>
      </c>
      <c r="V550" s="13">
        <v>104</v>
      </c>
      <c r="W550" s="13">
        <v>9.51</v>
      </c>
      <c r="X550" s="13">
        <v>40.700000000000003</v>
      </c>
      <c r="Y550" s="13">
        <v>4.13</v>
      </c>
      <c r="Z550" s="35">
        <v>4103</v>
      </c>
      <c r="AA550" s="13"/>
      <c r="AB550" s="13"/>
      <c r="AC550" s="14">
        <v>2439.1891891891892</v>
      </c>
      <c r="AD550" s="14">
        <v>208.70337477797514</v>
      </c>
      <c r="AE550" s="14">
        <v>2236.1809045226128</v>
      </c>
      <c r="AF550" s="14">
        <v>1922.4376731301941</v>
      </c>
      <c r="AG550" s="15">
        <v>8.9277798589109933E-2</v>
      </c>
      <c r="AH550" s="15">
        <v>8.9362078418069077E-2</v>
      </c>
      <c r="AI550" s="15">
        <v>9.2629302019731852E-2</v>
      </c>
      <c r="AJ550" s="41">
        <f t="shared" si="16"/>
        <v>2626.7</v>
      </c>
      <c r="AK550" s="44">
        <f t="shared" si="17"/>
        <v>0.10819875776397515</v>
      </c>
      <c r="AL550" s="10"/>
      <c r="AM550" s="10"/>
    </row>
    <row r="551" spans="1:39" s="16" customFormat="1" ht="19" customHeight="1">
      <c r="A551" s="29" t="s">
        <v>612</v>
      </c>
      <c r="B551" s="29" t="s">
        <v>1369</v>
      </c>
      <c r="C551" s="29"/>
      <c r="D551" s="29"/>
      <c r="E551" s="36" t="s">
        <v>234</v>
      </c>
      <c r="F551" s="36" t="s">
        <v>249</v>
      </c>
      <c r="G551" s="31" t="s">
        <v>439</v>
      </c>
      <c r="H551" s="35">
        <v>0.14399999999999999</v>
      </c>
      <c r="I551" s="35">
        <v>15.06</v>
      </c>
      <c r="J551" s="13">
        <v>130</v>
      </c>
      <c r="K551" s="13">
        <v>524</v>
      </c>
      <c r="L551" s="13">
        <v>88.9</v>
      </c>
      <c r="M551" s="35">
        <v>142</v>
      </c>
      <c r="N551" s="13">
        <v>511</v>
      </c>
      <c r="O551" s="13">
        <v>202.4</v>
      </c>
      <c r="P551" s="13">
        <v>18.55</v>
      </c>
      <c r="Q551" s="13">
        <v>233.4</v>
      </c>
      <c r="R551" s="13">
        <v>38.450000000000003</v>
      </c>
      <c r="S551" s="13">
        <v>227.9</v>
      </c>
      <c r="T551" s="13">
        <v>864</v>
      </c>
      <c r="U551" s="13">
        <v>36.159999999999997</v>
      </c>
      <c r="V551" s="13">
        <v>83.6</v>
      </c>
      <c r="W551" s="13">
        <v>8.58</v>
      </c>
      <c r="X551" s="13">
        <v>41.62</v>
      </c>
      <c r="Y551" s="13">
        <v>4.4279999999999999</v>
      </c>
      <c r="Z551" s="35">
        <v>1436</v>
      </c>
      <c r="AA551" s="13"/>
      <c r="AB551" s="13"/>
      <c r="AC551" s="14">
        <v>1367.5675675675677</v>
      </c>
      <c r="AD551" s="14">
        <v>329.48490230905867</v>
      </c>
      <c r="AE551" s="14">
        <v>1172.8643216080402</v>
      </c>
      <c r="AF551" s="14">
        <v>1065.0969529085874</v>
      </c>
      <c r="AG551" s="15">
        <v>0.25939282506485883</v>
      </c>
      <c r="AH551" s="15">
        <v>0.26015802985269953</v>
      </c>
      <c r="AI551" s="15">
        <v>0.26186248013153712</v>
      </c>
      <c r="AJ551" s="41">
        <f t="shared" si="16"/>
        <v>1253.9000000000001</v>
      </c>
      <c r="AK551" s="44">
        <f t="shared" si="17"/>
        <v>0.16435185185185186</v>
      </c>
      <c r="AL551" s="10"/>
      <c r="AM551" s="10"/>
    </row>
    <row r="552" spans="1:39" s="16" customFormat="1" ht="19" customHeight="1">
      <c r="A552" s="29" t="s">
        <v>613</v>
      </c>
      <c r="B552" s="29" t="s">
        <v>1369</v>
      </c>
      <c r="C552" s="29"/>
      <c r="D552" s="29"/>
      <c r="E552" s="36" t="s">
        <v>234</v>
      </c>
      <c r="F552" s="36" t="s">
        <v>249</v>
      </c>
      <c r="G552" s="31" t="s">
        <v>439</v>
      </c>
      <c r="H552" s="35">
        <v>3.1600000000000003E-2</v>
      </c>
      <c r="I552" s="35">
        <v>10.41</v>
      </c>
      <c r="J552" s="13">
        <v>22.55</v>
      </c>
      <c r="K552" s="13">
        <v>135.30000000000001</v>
      </c>
      <c r="L552" s="13">
        <v>32.909999999999997</v>
      </c>
      <c r="M552" s="35">
        <v>138.1</v>
      </c>
      <c r="N552" s="13">
        <v>249.5</v>
      </c>
      <c r="O552" s="13">
        <v>192.2</v>
      </c>
      <c r="P552" s="13">
        <v>28.34</v>
      </c>
      <c r="Q552" s="13">
        <v>401</v>
      </c>
      <c r="R552" s="13">
        <v>91.4</v>
      </c>
      <c r="S552" s="13">
        <v>704</v>
      </c>
      <c r="T552" s="13">
        <v>4170</v>
      </c>
      <c r="U552" s="13">
        <v>139.80000000000001</v>
      </c>
      <c r="V552" s="13">
        <v>361</v>
      </c>
      <c r="W552" s="13">
        <v>38.6</v>
      </c>
      <c r="X552" s="13">
        <v>177.6</v>
      </c>
      <c r="Y552" s="13">
        <v>18.57</v>
      </c>
      <c r="Z552" s="35">
        <v>1768</v>
      </c>
      <c r="AA552" s="13"/>
      <c r="AB552" s="13"/>
      <c r="AC552" s="14">
        <v>1298.6486486486485</v>
      </c>
      <c r="AD552" s="14">
        <v>503.37477797513327</v>
      </c>
      <c r="AE552" s="14">
        <v>2015.075376884422</v>
      </c>
      <c r="AF552" s="14">
        <v>2531.8559556786704</v>
      </c>
      <c r="AG552" s="15">
        <v>0.30381213045896699</v>
      </c>
      <c r="AH552" s="15">
        <v>0.31117161148914979</v>
      </c>
      <c r="AI552" s="15">
        <v>0.31027777953888708</v>
      </c>
      <c r="AJ552" s="41">
        <f t="shared" si="16"/>
        <v>440.26</v>
      </c>
      <c r="AK552" s="44">
        <f t="shared" si="17"/>
        <v>3.3117505995203834E-2</v>
      </c>
      <c r="AL552" s="10"/>
      <c r="AM552" s="10"/>
    </row>
    <row r="553" spans="1:39" s="16" customFormat="1" ht="19" customHeight="1">
      <c r="A553" s="29" t="s">
        <v>614</v>
      </c>
      <c r="B553" s="29" t="s">
        <v>1369</v>
      </c>
      <c r="C553" s="29"/>
      <c r="D553" s="29"/>
      <c r="E553" s="36" t="s">
        <v>234</v>
      </c>
      <c r="F553" s="36" t="s">
        <v>249</v>
      </c>
      <c r="G553" s="31" t="s">
        <v>439</v>
      </c>
      <c r="H553" s="35">
        <v>0.11700000000000001</v>
      </c>
      <c r="I553" s="35">
        <v>16.39</v>
      </c>
      <c r="J553" s="13">
        <v>181.5</v>
      </c>
      <c r="K553" s="13">
        <v>718</v>
      </c>
      <c r="L553" s="13">
        <v>115.3</v>
      </c>
      <c r="M553" s="35">
        <v>114.9</v>
      </c>
      <c r="N553" s="13">
        <v>647</v>
      </c>
      <c r="O553" s="13">
        <v>239.9</v>
      </c>
      <c r="P553" s="13">
        <v>17.510000000000002</v>
      </c>
      <c r="Q553" s="13">
        <v>264.7</v>
      </c>
      <c r="R553" s="13">
        <v>41.54</v>
      </c>
      <c r="S553" s="13">
        <v>235.3</v>
      </c>
      <c r="T553" s="13">
        <v>852</v>
      </c>
      <c r="U553" s="13">
        <v>35.15</v>
      </c>
      <c r="V553" s="13">
        <v>74.7</v>
      </c>
      <c r="W553" s="13">
        <v>7.21</v>
      </c>
      <c r="X553" s="13">
        <v>31.91</v>
      </c>
      <c r="Y553" s="13">
        <v>3.4049999999999998</v>
      </c>
      <c r="Z553" s="35">
        <v>1750</v>
      </c>
      <c r="AA553" s="13"/>
      <c r="AB553" s="13"/>
      <c r="AC553" s="14">
        <v>1620.9459459459461</v>
      </c>
      <c r="AD553" s="14">
        <v>311.01243339254</v>
      </c>
      <c r="AE553" s="14">
        <v>1330.1507537688442</v>
      </c>
      <c r="AF553" s="14">
        <v>1150.6925207756233</v>
      </c>
      <c r="AG553" s="15">
        <v>0.21077752784081791</v>
      </c>
      <c r="AH553" s="15">
        <v>0.21180833802522714</v>
      </c>
      <c r="AI553" s="15">
        <v>0.21508607763649273</v>
      </c>
      <c r="AJ553" s="41">
        <f t="shared" si="16"/>
        <v>1661.8</v>
      </c>
      <c r="AK553" s="44">
        <f t="shared" si="17"/>
        <v>0.13485915492957748</v>
      </c>
      <c r="AL553" s="10"/>
      <c r="AM553" s="10"/>
    </row>
    <row r="554" spans="1:39" s="16" customFormat="1" ht="19" customHeight="1">
      <c r="A554" s="29" t="s">
        <v>615</v>
      </c>
      <c r="B554" s="29" t="s">
        <v>1369</v>
      </c>
      <c r="C554" s="29"/>
      <c r="D554" s="29"/>
      <c r="E554" s="36" t="s">
        <v>234</v>
      </c>
      <c r="F554" s="36" t="s">
        <v>249</v>
      </c>
      <c r="G554" s="31" t="s">
        <v>439</v>
      </c>
      <c r="H554" s="35">
        <v>7.51E-2</v>
      </c>
      <c r="I554" s="35">
        <v>15.89</v>
      </c>
      <c r="J554" s="13">
        <v>184.9</v>
      </c>
      <c r="K554" s="13">
        <v>712</v>
      </c>
      <c r="L554" s="13">
        <v>113.8</v>
      </c>
      <c r="M554" s="35">
        <v>137.69999999999999</v>
      </c>
      <c r="N554" s="13">
        <v>630</v>
      </c>
      <c r="O554" s="13">
        <v>233</v>
      </c>
      <c r="P554" s="13">
        <v>18.100000000000001</v>
      </c>
      <c r="Q554" s="13">
        <v>253.2</v>
      </c>
      <c r="R554" s="13">
        <v>39.82</v>
      </c>
      <c r="S554" s="13">
        <v>227.7</v>
      </c>
      <c r="T554" s="13">
        <v>883</v>
      </c>
      <c r="U554" s="13">
        <v>36.11</v>
      </c>
      <c r="V554" s="13">
        <v>80.7</v>
      </c>
      <c r="W554" s="13">
        <v>8.1999999999999993</v>
      </c>
      <c r="X554" s="13">
        <v>38.11</v>
      </c>
      <c r="Y554" s="13">
        <v>4.024</v>
      </c>
      <c r="Z554" s="35">
        <v>1625</v>
      </c>
      <c r="AA554" s="13"/>
      <c r="AB554" s="13"/>
      <c r="AC554" s="14">
        <v>1574.3243243243244</v>
      </c>
      <c r="AD554" s="14">
        <v>321.49200710479579</v>
      </c>
      <c r="AE554" s="14">
        <v>1272.361809045226</v>
      </c>
      <c r="AF554" s="14">
        <v>1103.0470914127425</v>
      </c>
      <c r="AG554" s="15">
        <v>0.22587105992205317</v>
      </c>
      <c r="AH554" s="15">
        <v>0.22715262751133269</v>
      </c>
      <c r="AI554" s="15">
        <v>0.22991961592702237</v>
      </c>
      <c r="AJ554" s="41">
        <f t="shared" si="16"/>
        <v>1640.6999999999998</v>
      </c>
      <c r="AK554" s="44">
        <f t="shared" si="17"/>
        <v>0.15594563986409965</v>
      </c>
      <c r="AL554" s="10"/>
      <c r="AM554" s="10"/>
    </row>
    <row r="555" spans="1:39" s="16" customFormat="1" ht="19" customHeight="1">
      <c r="A555" s="29" t="s">
        <v>616</v>
      </c>
      <c r="B555" s="29" t="s">
        <v>1369</v>
      </c>
      <c r="C555" s="29"/>
      <c r="D555" s="29"/>
      <c r="E555" s="36" t="s">
        <v>234</v>
      </c>
      <c r="F555" s="36" t="s">
        <v>249</v>
      </c>
      <c r="G555" s="31" t="s">
        <v>439</v>
      </c>
      <c r="H555" s="35">
        <v>9.5000000000000001E-2</v>
      </c>
      <c r="I555" s="35">
        <v>13.83</v>
      </c>
      <c r="J555" s="13">
        <v>40.85</v>
      </c>
      <c r="K555" s="13">
        <v>210</v>
      </c>
      <c r="L555" s="13">
        <v>44.9</v>
      </c>
      <c r="M555" s="35">
        <v>137.19999999999999</v>
      </c>
      <c r="N555" s="13">
        <v>294.60000000000002</v>
      </c>
      <c r="O555" s="13">
        <v>157.80000000000001</v>
      </c>
      <c r="P555" s="13">
        <v>19.79</v>
      </c>
      <c r="Q555" s="13">
        <v>218.9</v>
      </c>
      <c r="R555" s="13">
        <v>39.409999999999997</v>
      </c>
      <c r="S555" s="13">
        <v>245.6</v>
      </c>
      <c r="T555" s="13">
        <v>1027</v>
      </c>
      <c r="U555" s="13">
        <v>41.47</v>
      </c>
      <c r="V555" s="13">
        <v>92.3</v>
      </c>
      <c r="W555" s="13">
        <v>9.65</v>
      </c>
      <c r="X555" s="13">
        <v>43.14</v>
      </c>
      <c r="Y555" s="13">
        <v>4.6660000000000004</v>
      </c>
      <c r="Z555" s="35">
        <v>1559</v>
      </c>
      <c r="AA555" s="13"/>
      <c r="AB555" s="13"/>
      <c r="AC555" s="14">
        <v>1066.2162162162163</v>
      </c>
      <c r="AD555" s="14">
        <v>351.50976909413856</v>
      </c>
      <c r="AE555" s="14">
        <v>1100</v>
      </c>
      <c r="AF555" s="14">
        <v>1091.6897506925206</v>
      </c>
      <c r="AG555" s="15">
        <v>0.32453802761030881</v>
      </c>
      <c r="AH555" s="15">
        <v>0.32457750312512484</v>
      </c>
      <c r="AI555" s="15">
        <v>0.32709517134732452</v>
      </c>
      <c r="AJ555" s="41">
        <f t="shared" si="16"/>
        <v>590.35</v>
      </c>
      <c r="AK555" s="44">
        <f t="shared" si="17"/>
        <v>0.1335929892891918</v>
      </c>
      <c r="AL555" s="10"/>
      <c r="AM555" s="10"/>
    </row>
    <row r="556" spans="1:39" s="16" customFormat="1" ht="19" customHeight="1">
      <c r="A556" s="29" t="s">
        <v>617</v>
      </c>
      <c r="B556" s="29" t="s">
        <v>1369</v>
      </c>
      <c r="C556" s="29"/>
      <c r="D556" s="29"/>
      <c r="E556" s="36" t="s">
        <v>234</v>
      </c>
      <c r="F556" s="36" t="s">
        <v>249</v>
      </c>
      <c r="G556" s="31" t="s">
        <v>439</v>
      </c>
      <c r="H556" s="35">
        <v>4.1900000000000004</v>
      </c>
      <c r="I556" s="35">
        <v>46.5</v>
      </c>
      <c r="J556" s="13">
        <v>375.4</v>
      </c>
      <c r="K556" s="13">
        <v>1313</v>
      </c>
      <c r="L556" s="13">
        <v>195.7</v>
      </c>
      <c r="M556" s="35">
        <v>175</v>
      </c>
      <c r="N556" s="13">
        <v>1021</v>
      </c>
      <c r="O556" s="13">
        <v>379.2</v>
      </c>
      <c r="P556" s="13">
        <v>12.45</v>
      </c>
      <c r="Q556" s="13">
        <v>418.9</v>
      </c>
      <c r="R556" s="13">
        <v>59.8</v>
      </c>
      <c r="S556" s="13">
        <v>301.3</v>
      </c>
      <c r="T556" s="13">
        <v>1204</v>
      </c>
      <c r="U556" s="13">
        <v>38.64</v>
      </c>
      <c r="V556" s="13">
        <v>72.7</v>
      </c>
      <c r="W556" s="13">
        <v>7.44</v>
      </c>
      <c r="X556" s="13">
        <v>34.590000000000003</v>
      </c>
      <c r="Y556" s="13">
        <v>3.3849999999999998</v>
      </c>
      <c r="Z556" s="35">
        <v>3507</v>
      </c>
      <c r="AA556" s="13"/>
      <c r="AB556" s="13"/>
      <c r="AC556" s="14">
        <v>2562.1621621621621</v>
      </c>
      <c r="AD556" s="14">
        <v>221.13676731793961</v>
      </c>
      <c r="AE556" s="14">
        <v>2105.0251256281404</v>
      </c>
      <c r="AF556" s="14">
        <v>1656.5096952908586</v>
      </c>
      <c r="AG556" s="15">
        <v>9.476232843556516E-2</v>
      </c>
      <c r="AH556" s="15">
        <v>9.5220182161577197E-2</v>
      </c>
      <c r="AI556" s="15">
        <v>9.9814098203080737E-2</v>
      </c>
      <c r="AJ556" s="41">
        <f t="shared" si="16"/>
        <v>2905.1000000000004</v>
      </c>
      <c r="AK556" s="44">
        <f t="shared" si="17"/>
        <v>0.14534883720930233</v>
      </c>
      <c r="AL556" s="10"/>
      <c r="AM556" s="10"/>
    </row>
    <row r="557" spans="1:39" s="16" customFormat="1" ht="19" customHeight="1">
      <c r="A557" s="29" t="s">
        <v>618</v>
      </c>
      <c r="B557" s="29" t="s">
        <v>1369</v>
      </c>
      <c r="C557" s="29"/>
      <c r="D557" s="29"/>
      <c r="E557" s="36" t="s">
        <v>234</v>
      </c>
      <c r="F557" s="36" t="s">
        <v>249</v>
      </c>
      <c r="G557" s="31" t="s">
        <v>439</v>
      </c>
      <c r="H557" s="35">
        <v>0.28899999999999998</v>
      </c>
      <c r="I557" s="35">
        <v>21.33</v>
      </c>
      <c r="J557" s="13">
        <v>163.80000000000001</v>
      </c>
      <c r="K557" s="13">
        <v>637</v>
      </c>
      <c r="L557" s="13">
        <v>104</v>
      </c>
      <c r="M557" s="35">
        <v>131.19999999999999</v>
      </c>
      <c r="N557" s="13">
        <v>605</v>
      </c>
      <c r="O557" s="13">
        <v>254.3</v>
      </c>
      <c r="P557" s="13">
        <v>15.44</v>
      </c>
      <c r="Q557" s="13">
        <v>357.9</v>
      </c>
      <c r="R557" s="13">
        <v>66.599999999999994</v>
      </c>
      <c r="S557" s="13">
        <v>454</v>
      </c>
      <c r="T557" s="13">
        <v>2265</v>
      </c>
      <c r="U557" s="13">
        <v>80.5</v>
      </c>
      <c r="V557" s="13">
        <v>194.1</v>
      </c>
      <c r="W557" s="13">
        <v>20.8</v>
      </c>
      <c r="X557" s="13">
        <v>97.7</v>
      </c>
      <c r="Y557" s="13">
        <v>10.8</v>
      </c>
      <c r="Z557" s="35">
        <v>1280</v>
      </c>
      <c r="AA557" s="13"/>
      <c r="AB557" s="13"/>
      <c r="AC557" s="14">
        <v>1718.2432432432433</v>
      </c>
      <c r="AD557" s="14">
        <v>274.24511545293075</v>
      </c>
      <c r="AE557" s="14">
        <v>1798.4924623115576</v>
      </c>
      <c r="AF557" s="14">
        <v>1844.8753462603877</v>
      </c>
      <c r="AG557" s="15">
        <v>0.15596572413431664</v>
      </c>
      <c r="AH557" s="15">
        <v>0.15600634704026134</v>
      </c>
      <c r="AI557" s="15">
        <v>0.15586913640480765</v>
      </c>
      <c r="AJ557" s="41">
        <f t="shared" si="16"/>
        <v>1509.8</v>
      </c>
      <c r="AK557" s="44">
        <f t="shared" si="17"/>
        <v>5.7924944812362024E-2</v>
      </c>
      <c r="AL557" s="10"/>
      <c r="AM557" s="10"/>
    </row>
    <row r="558" spans="1:39" s="16" customFormat="1" ht="19" customHeight="1">
      <c r="A558" s="29" t="s">
        <v>619</v>
      </c>
      <c r="B558" s="29" t="s">
        <v>1369</v>
      </c>
      <c r="C558" s="29"/>
      <c r="D558" s="29"/>
      <c r="E558" s="36" t="s">
        <v>234</v>
      </c>
      <c r="F558" s="36" t="s">
        <v>249</v>
      </c>
      <c r="G558" s="31" t="s">
        <v>439</v>
      </c>
      <c r="H558" s="35">
        <v>0.4</v>
      </c>
      <c r="I558" s="35">
        <v>24.81</v>
      </c>
      <c r="J558" s="13">
        <v>173.2</v>
      </c>
      <c r="K558" s="13">
        <v>674</v>
      </c>
      <c r="L558" s="13">
        <v>107.1</v>
      </c>
      <c r="M558" s="35">
        <v>172.9</v>
      </c>
      <c r="N558" s="13">
        <v>580</v>
      </c>
      <c r="O558" s="13">
        <v>232.3</v>
      </c>
      <c r="P558" s="13">
        <v>10.199999999999999</v>
      </c>
      <c r="Q558" s="13">
        <v>286.60000000000002</v>
      </c>
      <c r="R558" s="13">
        <v>50.6</v>
      </c>
      <c r="S558" s="13">
        <v>323.7</v>
      </c>
      <c r="T558" s="13">
        <v>1361</v>
      </c>
      <c r="U558" s="13">
        <v>53.65</v>
      </c>
      <c r="V558" s="13">
        <v>123.4</v>
      </c>
      <c r="W558" s="13">
        <v>13.75</v>
      </c>
      <c r="X558" s="13">
        <v>68.599999999999994</v>
      </c>
      <c r="Y558" s="13">
        <v>7.23</v>
      </c>
      <c r="Z558" s="35">
        <v>3804</v>
      </c>
      <c r="AA558" s="13"/>
      <c r="AB558" s="13"/>
      <c r="AC558" s="14">
        <v>1569.5945945945948</v>
      </c>
      <c r="AD558" s="14">
        <v>181.17229129662522</v>
      </c>
      <c r="AE558" s="14">
        <v>1440.2010050251256</v>
      </c>
      <c r="AF558" s="14">
        <v>1401.6620498614959</v>
      </c>
      <c r="AG558" s="15">
        <v>0.1203884352276386</v>
      </c>
      <c r="AH558" s="15">
        <v>0.12049984128414339</v>
      </c>
      <c r="AI558" s="15">
        <v>0.1198631470258313</v>
      </c>
      <c r="AJ558" s="41">
        <f t="shared" si="16"/>
        <v>1534.3000000000002</v>
      </c>
      <c r="AK558" s="44">
        <f t="shared" si="17"/>
        <v>0.12703894195444526</v>
      </c>
      <c r="AL558" s="10"/>
      <c r="AM558" s="10"/>
    </row>
    <row r="559" spans="1:39" s="16" customFormat="1" ht="19" customHeight="1">
      <c r="A559" s="29" t="s">
        <v>620</v>
      </c>
      <c r="B559" s="29" t="s">
        <v>1369</v>
      </c>
      <c r="C559" s="29"/>
      <c r="D559" s="29"/>
      <c r="E559" s="36" t="s">
        <v>234</v>
      </c>
      <c r="F559" s="36" t="s">
        <v>249</v>
      </c>
      <c r="G559" s="31" t="s">
        <v>439</v>
      </c>
      <c r="H559" s="35">
        <v>0.253</v>
      </c>
      <c r="I559" s="35">
        <v>21.12</v>
      </c>
      <c r="J559" s="13">
        <v>168.5</v>
      </c>
      <c r="K559" s="13">
        <v>679</v>
      </c>
      <c r="L559" s="13">
        <v>109.8</v>
      </c>
      <c r="M559" s="35">
        <v>135.19999999999999</v>
      </c>
      <c r="N559" s="13">
        <v>629</v>
      </c>
      <c r="O559" s="13">
        <v>254.9</v>
      </c>
      <c r="P559" s="13">
        <v>18.22</v>
      </c>
      <c r="Q559" s="13">
        <v>322</v>
      </c>
      <c r="R559" s="13">
        <v>57.3</v>
      </c>
      <c r="S559" s="13">
        <v>361</v>
      </c>
      <c r="T559" s="13">
        <v>1510</v>
      </c>
      <c r="U559" s="13">
        <v>58.3</v>
      </c>
      <c r="V559" s="13">
        <v>132</v>
      </c>
      <c r="W559" s="13">
        <v>13.7</v>
      </c>
      <c r="X559" s="13">
        <v>64</v>
      </c>
      <c r="Y559" s="13">
        <v>6.88</v>
      </c>
      <c r="Z559" s="35">
        <v>1568</v>
      </c>
      <c r="AA559" s="13"/>
      <c r="AB559" s="13"/>
      <c r="AC559" s="14">
        <v>1722.2972972972975</v>
      </c>
      <c r="AD559" s="14">
        <v>323.62344582593249</v>
      </c>
      <c r="AE559" s="14">
        <v>1618.0904522613064</v>
      </c>
      <c r="AF559" s="14">
        <v>1587.2576177285318</v>
      </c>
      <c r="AG559" s="15">
        <v>0.19376399992407817</v>
      </c>
      <c r="AH559" s="15">
        <v>0.19385835362862916</v>
      </c>
      <c r="AI559" s="15">
        <v>0.19308658048690189</v>
      </c>
      <c r="AJ559" s="41">
        <f t="shared" si="16"/>
        <v>1586.3</v>
      </c>
      <c r="AK559" s="44">
        <f t="shared" si="17"/>
        <v>8.9536423841059601E-2</v>
      </c>
      <c r="AL559" s="10"/>
      <c r="AM559" s="10"/>
    </row>
    <row r="560" spans="1:39" s="16" customFormat="1" ht="19" customHeight="1">
      <c r="A560" s="29" t="s">
        <v>621</v>
      </c>
      <c r="B560" s="29" t="s">
        <v>1369</v>
      </c>
      <c r="C560" s="29"/>
      <c r="D560" s="29"/>
      <c r="E560" s="36" t="s">
        <v>234</v>
      </c>
      <c r="F560" s="36" t="s">
        <v>249</v>
      </c>
      <c r="G560" s="31" t="s">
        <v>439</v>
      </c>
      <c r="H560" s="35">
        <v>0.24199999999999999</v>
      </c>
      <c r="I560" s="35">
        <v>17.309999999999999</v>
      </c>
      <c r="J560" s="13">
        <v>92.3</v>
      </c>
      <c r="K560" s="13">
        <v>388.5</v>
      </c>
      <c r="L560" s="13">
        <v>71.599999999999994</v>
      </c>
      <c r="M560" s="35">
        <v>143.1</v>
      </c>
      <c r="N560" s="13">
        <v>425</v>
      </c>
      <c r="O560" s="13">
        <v>179.8</v>
      </c>
      <c r="P560" s="13">
        <v>19.34</v>
      </c>
      <c r="Q560" s="13">
        <v>219.6</v>
      </c>
      <c r="R560" s="13">
        <v>36.46</v>
      </c>
      <c r="S560" s="13">
        <v>224.1</v>
      </c>
      <c r="T560" s="13">
        <v>844</v>
      </c>
      <c r="U560" s="13">
        <v>35.26</v>
      </c>
      <c r="V560" s="13">
        <v>78.8</v>
      </c>
      <c r="W560" s="13">
        <v>8.24</v>
      </c>
      <c r="X560" s="13">
        <v>37.96</v>
      </c>
      <c r="Y560" s="13">
        <v>4.17</v>
      </c>
      <c r="Z560" s="35">
        <v>1324</v>
      </c>
      <c r="AA560" s="13"/>
      <c r="AB560" s="13"/>
      <c r="AC560" s="14">
        <v>1214.864864864865</v>
      </c>
      <c r="AD560" s="14">
        <v>343.51687388987568</v>
      </c>
      <c r="AE560" s="14">
        <v>1103.5175879396984</v>
      </c>
      <c r="AF560" s="14">
        <v>1009.972299168975</v>
      </c>
      <c r="AG560" s="15">
        <v>0.29634185116810297</v>
      </c>
      <c r="AH560" s="15">
        <v>0.29668422783913412</v>
      </c>
      <c r="AI560" s="15">
        <v>0.30071812606624254</v>
      </c>
      <c r="AJ560" s="41">
        <f t="shared" si="16"/>
        <v>977.4</v>
      </c>
      <c r="AK560" s="44">
        <f t="shared" si="17"/>
        <v>0.16954976303317534</v>
      </c>
      <c r="AL560" s="10"/>
      <c r="AM560" s="10"/>
    </row>
    <row r="561" spans="1:39" s="16" customFormat="1" ht="19" customHeight="1">
      <c r="A561" s="29" t="s">
        <v>622</v>
      </c>
      <c r="B561" s="29" t="s">
        <v>1369</v>
      </c>
      <c r="C561" s="29"/>
      <c r="D561" s="29"/>
      <c r="E561" s="36" t="s">
        <v>234</v>
      </c>
      <c r="F561" s="36" t="s">
        <v>249</v>
      </c>
      <c r="G561" s="31" t="s">
        <v>439</v>
      </c>
      <c r="H561" s="35">
        <v>0.19600000000000001</v>
      </c>
      <c r="I561" s="35">
        <v>15.47</v>
      </c>
      <c r="J561" s="13">
        <v>99.8</v>
      </c>
      <c r="K561" s="13">
        <v>387.3</v>
      </c>
      <c r="L561" s="13">
        <v>69.8</v>
      </c>
      <c r="M561" s="35">
        <v>134.6</v>
      </c>
      <c r="N561" s="13">
        <v>408.2</v>
      </c>
      <c r="O561" s="13">
        <v>177.4</v>
      </c>
      <c r="P561" s="13">
        <v>18.510000000000002</v>
      </c>
      <c r="Q561" s="13">
        <v>239.6</v>
      </c>
      <c r="R561" s="13">
        <v>42.04</v>
      </c>
      <c r="S561" s="13">
        <v>266.89999999999998</v>
      </c>
      <c r="T561" s="13">
        <v>1093</v>
      </c>
      <c r="U561" s="13">
        <v>43.39</v>
      </c>
      <c r="V561" s="13">
        <v>95.5</v>
      </c>
      <c r="W561" s="13">
        <v>9.32</v>
      </c>
      <c r="X561" s="13">
        <v>41.02</v>
      </c>
      <c r="Y561" s="13">
        <v>4.5190000000000001</v>
      </c>
      <c r="Z561" s="35">
        <v>1455</v>
      </c>
      <c r="AA561" s="13"/>
      <c r="AB561" s="13"/>
      <c r="AC561" s="14">
        <v>1198.6486486486488</v>
      </c>
      <c r="AD561" s="14">
        <v>328.77442273534643</v>
      </c>
      <c r="AE561" s="14">
        <v>1204.0201005025124</v>
      </c>
      <c r="AF561" s="14">
        <v>1164.5429362880886</v>
      </c>
      <c r="AG561" s="15">
        <v>0.27367436551667734</v>
      </c>
      <c r="AH561" s="15">
        <v>0.27367504943041526</v>
      </c>
      <c r="AI561" s="15">
        <v>0.27693951183064414</v>
      </c>
      <c r="AJ561" s="41">
        <f t="shared" si="16"/>
        <v>965.09999999999991</v>
      </c>
      <c r="AK561" s="44">
        <f t="shared" si="17"/>
        <v>0.12314730100640439</v>
      </c>
      <c r="AL561" s="10"/>
      <c r="AM561" s="10"/>
    </row>
    <row r="562" spans="1:39" s="16" customFormat="1" ht="19" customHeight="1">
      <c r="A562" s="29" t="s">
        <v>623</v>
      </c>
      <c r="B562" s="29" t="s">
        <v>1369</v>
      </c>
      <c r="C562" s="29"/>
      <c r="D562" s="29"/>
      <c r="E562" s="36" t="s">
        <v>234</v>
      </c>
      <c r="F562" s="36" t="s">
        <v>249</v>
      </c>
      <c r="G562" s="31" t="s">
        <v>439</v>
      </c>
      <c r="H562" s="35">
        <v>2.1999999999999999E-2</v>
      </c>
      <c r="I562" s="35">
        <v>36.6</v>
      </c>
      <c r="J562" s="13">
        <v>95.1</v>
      </c>
      <c r="K562" s="13">
        <v>522</v>
      </c>
      <c r="L562" s="13">
        <v>103</v>
      </c>
      <c r="M562" s="35">
        <v>174.6</v>
      </c>
      <c r="N562" s="13">
        <v>630</v>
      </c>
      <c r="O562" s="13">
        <v>289.89999999999998</v>
      </c>
      <c r="P562" s="13">
        <v>11.12</v>
      </c>
      <c r="Q562" s="13">
        <v>368.8</v>
      </c>
      <c r="R562" s="13">
        <v>60.4</v>
      </c>
      <c r="S562" s="13">
        <v>329.1</v>
      </c>
      <c r="T562" s="13">
        <v>1366</v>
      </c>
      <c r="U562" s="13">
        <v>43.95</v>
      </c>
      <c r="V562" s="13">
        <v>85.4</v>
      </c>
      <c r="W562" s="13">
        <v>8.64</v>
      </c>
      <c r="X562" s="13">
        <v>43.5</v>
      </c>
      <c r="Y562" s="13">
        <v>4.8899999999999997</v>
      </c>
      <c r="Z562" s="35">
        <v>3647</v>
      </c>
      <c r="AA562" s="13"/>
      <c r="AB562" s="13"/>
      <c r="AC562" s="14">
        <v>1958.7837837837837</v>
      </c>
      <c r="AD562" s="14">
        <v>197.51332149200709</v>
      </c>
      <c r="AE562" s="14">
        <v>1853.2663316582914</v>
      </c>
      <c r="AF562" s="14">
        <v>1673.1301939058171</v>
      </c>
      <c r="AG562" s="15">
        <v>0.10362577380182311</v>
      </c>
      <c r="AH562" s="15">
        <v>0.10366549467881925</v>
      </c>
      <c r="AI562" s="15">
        <v>0.10627443722476272</v>
      </c>
      <c r="AJ562" s="41">
        <f t="shared" si="16"/>
        <v>1350.1</v>
      </c>
      <c r="AK562" s="44">
        <f t="shared" si="17"/>
        <v>0.12781844802342607</v>
      </c>
      <c r="AL562" s="10"/>
      <c r="AM562" s="10"/>
    </row>
    <row r="563" spans="1:39" s="16" customFormat="1" ht="19" customHeight="1">
      <c r="A563" s="29" t="s">
        <v>624</v>
      </c>
      <c r="B563" s="29" t="s">
        <v>1369</v>
      </c>
      <c r="C563" s="29"/>
      <c r="D563" s="29"/>
      <c r="E563" s="36" t="s">
        <v>234</v>
      </c>
      <c r="F563" s="36" t="s">
        <v>249</v>
      </c>
      <c r="G563" s="31" t="s">
        <v>439</v>
      </c>
      <c r="H563" s="35">
        <v>7.9000000000000001E-2</v>
      </c>
      <c r="I563" s="35">
        <v>13.6</v>
      </c>
      <c r="J563" s="13">
        <v>46.62</v>
      </c>
      <c r="K563" s="13">
        <v>237</v>
      </c>
      <c r="L563" s="13">
        <v>50.6</v>
      </c>
      <c r="M563" s="35">
        <v>132</v>
      </c>
      <c r="N563" s="13">
        <v>321.3</v>
      </c>
      <c r="O563" s="13">
        <v>165.5</v>
      </c>
      <c r="P563" s="13">
        <v>17.45</v>
      </c>
      <c r="Q563" s="13">
        <v>220.8</v>
      </c>
      <c r="R563" s="13">
        <v>38.26</v>
      </c>
      <c r="S563" s="13">
        <v>239.3</v>
      </c>
      <c r="T563" s="13">
        <v>913</v>
      </c>
      <c r="U563" s="13">
        <v>37.78</v>
      </c>
      <c r="V563" s="13">
        <v>86.1</v>
      </c>
      <c r="W563" s="13">
        <v>8.9700000000000006</v>
      </c>
      <c r="X563" s="13">
        <v>41.98</v>
      </c>
      <c r="Y563" s="13">
        <v>4.6500000000000004</v>
      </c>
      <c r="Z563" s="35">
        <v>1284</v>
      </c>
      <c r="AA563" s="13"/>
      <c r="AB563" s="13"/>
      <c r="AC563" s="14">
        <v>1118.2432432432433</v>
      </c>
      <c r="AD563" s="14">
        <v>309.94671403197157</v>
      </c>
      <c r="AE563" s="14">
        <v>1109.5477386934674</v>
      </c>
      <c r="AF563" s="14">
        <v>1059.8337950138502</v>
      </c>
      <c r="AG563" s="15">
        <v>0.27825475239380143</v>
      </c>
      <c r="AH563" s="15">
        <v>0.27825687201496613</v>
      </c>
      <c r="AI563" s="15">
        <v>0.28217395607209128</v>
      </c>
      <c r="AJ563" s="41">
        <f t="shared" si="16"/>
        <v>655.52</v>
      </c>
      <c r="AK563" s="44">
        <f t="shared" si="17"/>
        <v>0.14457831325301204</v>
      </c>
      <c r="AL563" s="10"/>
      <c r="AM563" s="10"/>
    </row>
    <row r="564" spans="1:39" s="16" customFormat="1" ht="19" customHeight="1">
      <c r="A564" s="29" t="s">
        <v>625</v>
      </c>
      <c r="B564" s="29" t="s">
        <v>1369</v>
      </c>
      <c r="C564" s="29"/>
      <c r="D564" s="29"/>
      <c r="E564" s="36" t="s">
        <v>234</v>
      </c>
      <c r="F564" s="36" t="s">
        <v>249</v>
      </c>
      <c r="G564" s="31" t="s">
        <v>439</v>
      </c>
      <c r="H564" s="35">
        <v>0.46100000000000002</v>
      </c>
      <c r="I564" s="35">
        <v>17.559999999999999</v>
      </c>
      <c r="J564" s="13">
        <v>80</v>
      </c>
      <c r="K564" s="13">
        <v>331.7</v>
      </c>
      <c r="L564" s="13">
        <v>61.7</v>
      </c>
      <c r="M564" s="35">
        <v>124</v>
      </c>
      <c r="N564" s="13">
        <v>376.3</v>
      </c>
      <c r="O564" s="13">
        <v>167.8</v>
      </c>
      <c r="P564" s="13">
        <v>20.65</v>
      </c>
      <c r="Q564" s="13">
        <v>224.4</v>
      </c>
      <c r="R564" s="13">
        <v>39.36</v>
      </c>
      <c r="S564" s="13">
        <v>252.1</v>
      </c>
      <c r="T564" s="13">
        <v>1000</v>
      </c>
      <c r="U564" s="13">
        <v>40.1</v>
      </c>
      <c r="V564" s="13">
        <v>89.6</v>
      </c>
      <c r="W564" s="13">
        <v>8.26</v>
      </c>
      <c r="X564" s="13">
        <v>34.67</v>
      </c>
      <c r="Y564" s="13">
        <v>3.6440000000000001</v>
      </c>
      <c r="Z564" s="35">
        <v>1632</v>
      </c>
      <c r="AA564" s="13"/>
      <c r="AB564" s="13"/>
      <c r="AC564" s="14">
        <v>1133.783783783784</v>
      </c>
      <c r="AD564" s="14">
        <v>366.78507992895203</v>
      </c>
      <c r="AE564" s="14">
        <v>1127.6381909547738</v>
      </c>
      <c r="AF564" s="14">
        <v>1090.3047091412743</v>
      </c>
      <c r="AG564" s="15">
        <v>0.32438446608033505</v>
      </c>
      <c r="AH564" s="15">
        <v>0.32438566391481127</v>
      </c>
      <c r="AI564" s="15">
        <v>0.3277496259852487</v>
      </c>
      <c r="AJ564" s="41">
        <f t="shared" si="16"/>
        <v>849.7</v>
      </c>
      <c r="AK564" s="44">
        <f t="shared" si="17"/>
        <v>0.124</v>
      </c>
      <c r="AL564" s="10"/>
      <c r="AM564" s="10"/>
    </row>
    <row r="565" spans="1:39" s="16" customFormat="1" ht="19" customHeight="1">
      <c r="A565" s="29" t="s">
        <v>626</v>
      </c>
      <c r="B565" s="29" t="s">
        <v>1369</v>
      </c>
      <c r="C565" s="29"/>
      <c r="D565" s="29"/>
      <c r="E565" s="36" t="s">
        <v>234</v>
      </c>
      <c r="F565" s="36" t="s">
        <v>249</v>
      </c>
      <c r="G565" s="31" t="s">
        <v>439</v>
      </c>
      <c r="H565" s="35">
        <v>0.124</v>
      </c>
      <c r="I565" s="35">
        <v>16.22</v>
      </c>
      <c r="J565" s="13">
        <v>70.3</v>
      </c>
      <c r="K565" s="13">
        <v>324.89999999999998</v>
      </c>
      <c r="L565" s="13">
        <v>63.9</v>
      </c>
      <c r="M565" s="35">
        <v>133.1</v>
      </c>
      <c r="N565" s="13">
        <v>401.7</v>
      </c>
      <c r="O565" s="13">
        <v>174.5</v>
      </c>
      <c r="P565" s="13">
        <v>17.32</v>
      </c>
      <c r="Q565" s="13">
        <v>209.8</v>
      </c>
      <c r="R565" s="13">
        <v>34.729999999999997</v>
      </c>
      <c r="S565" s="13">
        <v>213.7</v>
      </c>
      <c r="T565" s="13">
        <v>800</v>
      </c>
      <c r="U565" s="13">
        <v>33.26</v>
      </c>
      <c r="V565" s="13">
        <v>76.599999999999994</v>
      </c>
      <c r="W565" s="13">
        <v>7.68</v>
      </c>
      <c r="X565" s="13">
        <v>34.799999999999997</v>
      </c>
      <c r="Y565" s="13">
        <v>3.7120000000000002</v>
      </c>
      <c r="Z565" s="35">
        <v>1502</v>
      </c>
      <c r="AA565" s="13"/>
      <c r="AB565" s="13"/>
      <c r="AC565" s="14">
        <v>1179.0540540540542</v>
      </c>
      <c r="AD565" s="14">
        <v>307.63765541740679</v>
      </c>
      <c r="AE565" s="14">
        <v>1054.2713567839196</v>
      </c>
      <c r="AF565" s="14">
        <v>962.04986149584477</v>
      </c>
      <c r="AG565" s="15">
        <v>0.27549738513204575</v>
      </c>
      <c r="AH565" s="15">
        <v>0.27592841811213809</v>
      </c>
      <c r="AI565" s="15">
        <v>0.27922297847036487</v>
      </c>
      <c r="AJ565" s="41">
        <f t="shared" si="16"/>
        <v>860.8</v>
      </c>
      <c r="AK565" s="44">
        <f t="shared" si="17"/>
        <v>0.166375</v>
      </c>
      <c r="AL565" s="10"/>
      <c r="AM565" s="10"/>
    </row>
    <row r="566" spans="1:39" s="16" customFormat="1" ht="19" customHeight="1">
      <c r="A566" s="29" t="s">
        <v>627</v>
      </c>
      <c r="B566" s="29" t="s">
        <v>1369</v>
      </c>
      <c r="C566" s="29"/>
      <c r="D566" s="29"/>
      <c r="E566" s="36" t="s">
        <v>234</v>
      </c>
      <c r="F566" s="36" t="s">
        <v>249</v>
      </c>
      <c r="G566" s="31" t="s">
        <v>439</v>
      </c>
      <c r="H566" s="35">
        <v>6.88E-2</v>
      </c>
      <c r="I566" s="35">
        <v>14.91</v>
      </c>
      <c r="J566" s="13">
        <v>54.6</v>
      </c>
      <c r="K566" s="13">
        <v>274.3</v>
      </c>
      <c r="L566" s="13">
        <v>55.7</v>
      </c>
      <c r="M566" s="35">
        <v>132.19999999999999</v>
      </c>
      <c r="N566" s="13">
        <v>355.8</v>
      </c>
      <c r="O566" s="13">
        <v>173.4</v>
      </c>
      <c r="P566" s="13">
        <v>23.09</v>
      </c>
      <c r="Q566" s="13">
        <v>225.7</v>
      </c>
      <c r="R566" s="13">
        <v>39.1</v>
      </c>
      <c r="S566" s="13">
        <v>245.6</v>
      </c>
      <c r="T566" s="13">
        <v>908</v>
      </c>
      <c r="U566" s="13">
        <v>36.130000000000003</v>
      </c>
      <c r="V566" s="13">
        <v>81.5</v>
      </c>
      <c r="W566" s="13">
        <v>8.66</v>
      </c>
      <c r="X566" s="13">
        <v>44.92</v>
      </c>
      <c r="Y566" s="13">
        <v>5.19</v>
      </c>
      <c r="Z566" s="35">
        <v>1513</v>
      </c>
      <c r="AA566" s="13"/>
      <c r="AB566" s="13"/>
      <c r="AC566" s="14">
        <v>1171.6216216216217</v>
      </c>
      <c r="AD566" s="14">
        <v>410.1243339253997</v>
      </c>
      <c r="AE566" s="14">
        <v>1134.1708542713566</v>
      </c>
      <c r="AF566" s="14">
        <v>1083.1024930747924</v>
      </c>
      <c r="AG566" s="15">
        <v>0.3557339510933813</v>
      </c>
      <c r="AH566" s="15">
        <v>0.35578088235865923</v>
      </c>
      <c r="AI566" s="15">
        <v>0.35933603223637134</v>
      </c>
      <c r="AJ566" s="41">
        <f t="shared" si="16"/>
        <v>740.40000000000009</v>
      </c>
      <c r="AK566" s="44">
        <f t="shared" si="17"/>
        <v>0.14559471365638765</v>
      </c>
      <c r="AL566" s="10"/>
      <c r="AM566" s="10"/>
    </row>
    <row r="567" spans="1:39" s="16" customFormat="1" ht="19" customHeight="1">
      <c r="A567" s="29" t="s">
        <v>628</v>
      </c>
      <c r="B567" s="29" t="s">
        <v>1369</v>
      </c>
      <c r="C567" s="29"/>
      <c r="D567" s="29"/>
      <c r="E567" s="36" t="s">
        <v>234</v>
      </c>
      <c r="F567" s="36" t="s">
        <v>249</v>
      </c>
      <c r="G567" s="31" t="s">
        <v>439</v>
      </c>
      <c r="H567" s="35">
        <v>0.35199999999999998</v>
      </c>
      <c r="I567" s="35">
        <v>20.48</v>
      </c>
      <c r="J567" s="13">
        <v>80.099999999999994</v>
      </c>
      <c r="K567" s="13">
        <v>366.1</v>
      </c>
      <c r="L567" s="13">
        <v>70.8</v>
      </c>
      <c r="M567" s="35">
        <v>134.6</v>
      </c>
      <c r="N567" s="13">
        <v>437</v>
      </c>
      <c r="O567" s="13">
        <v>188.6</v>
      </c>
      <c r="P567" s="13">
        <v>18.21</v>
      </c>
      <c r="Q567" s="13">
        <v>233.4</v>
      </c>
      <c r="R567" s="13">
        <v>38.619999999999997</v>
      </c>
      <c r="S567" s="13">
        <v>230</v>
      </c>
      <c r="T567" s="13">
        <v>804</v>
      </c>
      <c r="U567" s="13">
        <v>33.24</v>
      </c>
      <c r="V567" s="13">
        <v>69</v>
      </c>
      <c r="W567" s="13">
        <v>6.42</v>
      </c>
      <c r="X567" s="13">
        <v>28.2</v>
      </c>
      <c r="Y567" s="13">
        <v>2.964</v>
      </c>
      <c r="Z567" s="35">
        <v>1433</v>
      </c>
      <c r="AA567" s="13"/>
      <c r="AB567" s="13"/>
      <c r="AC567" s="14">
        <v>1274.3243243243244</v>
      </c>
      <c r="AD567" s="14">
        <v>323.44582593250448</v>
      </c>
      <c r="AE567" s="14">
        <v>1172.8643216080402</v>
      </c>
      <c r="AF567" s="14">
        <v>1069.8060941828255</v>
      </c>
      <c r="AG567" s="15">
        <v>0.26434073766248084</v>
      </c>
      <c r="AH567" s="15">
        <v>0.26456822083257991</v>
      </c>
      <c r="AI567" s="15">
        <v>0.26905839471671883</v>
      </c>
      <c r="AJ567" s="41">
        <f t="shared" si="16"/>
        <v>954</v>
      </c>
      <c r="AK567" s="44">
        <f t="shared" si="17"/>
        <v>0.16741293532338308</v>
      </c>
      <c r="AL567" s="10"/>
      <c r="AM567" s="10"/>
    </row>
    <row r="568" spans="1:39" s="16" customFormat="1" ht="19" customHeight="1">
      <c r="A568" s="29" t="s">
        <v>629</v>
      </c>
      <c r="B568" s="29" t="s">
        <v>1369</v>
      </c>
      <c r="C568" s="29"/>
      <c r="D568" s="29"/>
      <c r="E568" s="36" t="s">
        <v>234</v>
      </c>
      <c r="F568" s="36" t="s">
        <v>249</v>
      </c>
      <c r="G568" s="31" t="s">
        <v>439</v>
      </c>
      <c r="H568" s="35">
        <v>0.11700000000000001</v>
      </c>
      <c r="I568" s="35">
        <v>16.3</v>
      </c>
      <c r="J568" s="13">
        <v>144.19999999999999</v>
      </c>
      <c r="K568" s="13">
        <v>574</v>
      </c>
      <c r="L568" s="13">
        <v>92.3</v>
      </c>
      <c r="M568" s="35">
        <v>133.19999999999999</v>
      </c>
      <c r="N568" s="13">
        <v>531</v>
      </c>
      <c r="O568" s="13">
        <v>208.8</v>
      </c>
      <c r="P568" s="13">
        <v>19.07</v>
      </c>
      <c r="Q568" s="13">
        <v>246.4</v>
      </c>
      <c r="R568" s="13">
        <v>40.94</v>
      </c>
      <c r="S568" s="13">
        <v>260.89999999999998</v>
      </c>
      <c r="T568" s="13">
        <v>1018</v>
      </c>
      <c r="U568" s="13">
        <v>41.62</v>
      </c>
      <c r="V568" s="13">
        <v>99.1</v>
      </c>
      <c r="W568" s="13">
        <v>10.11</v>
      </c>
      <c r="X568" s="13">
        <v>48.01</v>
      </c>
      <c r="Y568" s="13">
        <v>5.2670000000000003</v>
      </c>
      <c r="Z568" s="35">
        <v>1591</v>
      </c>
      <c r="AA568" s="13"/>
      <c r="AB568" s="13"/>
      <c r="AC568" s="14">
        <v>1410.8108108108111</v>
      </c>
      <c r="AD568" s="14">
        <v>338.72113676731794</v>
      </c>
      <c r="AE568" s="14">
        <v>1238.1909547738694</v>
      </c>
      <c r="AF568" s="14">
        <v>1134.0720221606648</v>
      </c>
      <c r="AG568" s="15">
        <v>0.25573492714721263</v>
      </c>
      <c r="AH568" s="15">
        <v>0.25627963405507093</v>
      </c>
      <c r="AI568" s="15">
        <v>0.25821585206275977</v>
      </c>
      <c r="AJ568" s="41">
        <f t="shared" si="16"/>
        <v>1341.5</v>
      </c>
      <c r="AK568" s="44">
        <f t="shared" si="17"/>
        <v>0.13084479371316304</v>
      </c>
      <c r="AL568" s="10"/>
      <c r="AM568" s="10"/>
    </row>
    <row r="569" spans="1:39" s="16" customFormat="1" ht="19" customHeight="1">
      <c r="A569" s="29" t="s">
        <v>630</v>
      </c>
      <c r="B569" s="29" t="s">
        <v>1369</v>
      </c>
      <c r="C569" s="29"/>
      <c r="D569" s="29"/>
      <c r="E569" s="36" t="s">
        <v>234</v>
      </c>
      <c r="F569" s="36" t="s">
        <v>249</v>
      </c>
      <c r="G569" s="31" t="s">
        <v>439</v>
      </c>
      <c r="H569" s="35">
        <v>0.17899999999999999</v>
      </c>
      <c r="I569" s="35">
        <v>16.77</v>
      </c>
      <c r="J569" s="13">
        <v>149.4</v>
      </c>
      <c r="K569" s="13">
        <v>571</v>
      </c>
      <c r="L569" s="13">
        <v>94.8</v>
      </c>
      <c r="M569" s="35">
        <v>134.1</v>
      </c>
      <c r="N569" s="13">
        <v>533</v>
      </c>
      <c r="O569" s="13">
        <v>213.3</v>
      </c>
      <c r="P569" s="13">
        <v>19.260000000000002</v>
      </c>
      <c r="Q569" s="13">
        <v>257.10000000000002</v>
      </c>
      <c r="R569" s="13">
        <v>42.27</v>
      </c>
      <c r="S569" s="13">
        <v>274.39999999999998</v>
      </c>
      <c r="T569" s="13">
        <v>1079</v>
      </c>
      <c r="U569" s="13">
        <v>43.76</v>
      </c>
      <c r="V569" s="13">
        <v>107</v>
      </c>
      <c r="W569" s="13">
        <v>10.8</v>
      </c>
      <c r="X569" s="13">
        <v>51.18</v>
      </c>
      <c r="Y569" s="13">
        <v>5.64</v>
      </c>
      <c r="Z569" s="35">
        <v>1624</v>
      </c>
      <c r="AA569" s="13"/>
      <c r="AB569" s="13"/>
      <c r="AC569" s="14">
        <v>1441.2162162162163</v>
      </c>
      <c r="AD569" s="14">
        <v>342.09591474245121</v>
      </c>
      <c r="AE569" s="14">
        <v>1291.959798994975</v>
      </c>
      <c r="AF569" s="14">
        <v>1170.9141274238227</v>
      </c>
      <c r="AG569" s="15">
        <v>0.25032849171700172</v>
      </c>
      <c r="AH569" s="15">
        <v>0.25070258834343834</v>
      </c>
      <c r="AI569" s="15">
        <v>0.25438223550502442</v>
      </c>
      <c r="AJ569" s="41">
        <f t="shared" si="16"/>
        <v>1348.1999999999998</v>
      </c>
      <c r="AK569" s="44">
        <f t="shared" si="17"/>
        <v>0.1242817423540315</v>
      </c>
      <c r="AL569" s="10"/>
      <c r="AM569" s="10"/>
    </row>
    <row r="570" spans="1:39" s="16" customFormat="1" ht="19" customHeight="1">
      <c r="A570" s="29" t="s">
        <v>631</v>
      </c>
      <c r="B570" s="29" t="s">
        <v>1369</v>
      </c>
      <c r="C570" s="29"/>
      <c r="D570" s="29"/>
      <c r="E570" s="36" t="s">
        <v>234</v>
      </c>
      <c r="F570" s="36" t="s">
        <v>249</v>
      </c>
      <c r="G570" s="31" t="s">
        <v>439</v>
      </c>
      <c r="H570" s="35">
        <v>0.32600000000000001</v>
      </c>
      <c r="I570" s="35">
        <v>26.35</v>
      </c>
      <c r="J570" s="13">
        <v>97.3</v>
      </c>
      <c r="K570" s="13">
        <v>425</v>
      </c>
      <c r="L570" s="13">
        <v>79</v>
      </c>
      <c r="M570" s="35">
        <v>131.1</v>
      </c>
      <c r="N570" s="13">
        <v>474.7</v>
      </c>
      <c r="O570" s="13">
        <v>196.7</v>
      </c>
      <c r="P570" s="13">
        <v>12.72</v>
      </c>
      <c r="Q570" s="13">
        <v>231.6</v>
      </c>
      <c r="R570" s="13">
        <v>37.39</v>
      </c>
      <c r="S570" s="13">
        <v>227</v>
      </c>
      <c r="T570" s="13">
        <v>840</v>
      </c>
      <c r="U570" s="13">
        <v>32.94</v>
      </c>
      <c r="V570" s="13">
        <v>75.400000000000006</v>
      </c>
      <c r="W570" s="13">
        <v>7.3</v>
      </c>
      <c r="X570" s="13">
        <v>33.4</v>
      </c>
      <c r="Y570" s="13">
        <v>3.64</v>
      </c>
      <c r="Z570" s="35">
        <v>1237</v>
      </c>
      <c r="AA570" s="13"/>
      <c r="AB570" s="13"/>
      <c r="AC570" s="14">
        <v>1329.0540540540539</v>
      </c>
      <c r="AD570" s="14">
        <v>225.93250444049735</v>
      </c>
      <c r="AE570" s="14">
        <v>1163.8190954773868</v>
      </c>
      <c r="AF570" s="14">
        <v>1035.7340720221607</v>
      </c>
      <c r="AG570" s="15">
        <v>0.18126273651987751</v>
      </c>
      <c r="AH570" s="15">
        <v>0.18166223577091539</v>
      </c>
      <c r="AI570" s="15">
        <v>0.18472862572194931</v>
      </c>
      <c r="AJ570" s="41">
        <f t="shared" si="16"/>
        <v>1076</v>
      </c>
      <c r="AK570" s="44">
        <f t="shared" si="17"/>
        <v>0.15607142857142856</v>
      </c>
      <c r="AL570" s="10"/>
      <c r="AM570" s="10"/>
    </row>
    <row r="571" spans="1:39" s="16" customFormat="1" ht="19" customHeight="1">
      <c r="A571" s="29" t="s">
        <v>632</v>
      </c>
      <c r="B571" s="29" t="s">
        <v>1369</v>
      </c>
      <c r="C571" s="29"/>
      <c r="D571" s="29"/>
      <c r="E571" s="36" t="s">
        <v>234</v>
      </c>
      <c r="F571" s="36" t="s">
        <v>249</v>
      </c>
      <c r="G571" s="31" t="s">
        <v>439</v>
      </c>
      <c r="H571" s="35">
        <v>0.1</v>
      </c>
      <c r="I571" s="35">
        <v>21.85</v>
      </c>
      <c r="J571" s="13">
        <v>213.4</v>
      </c>
      <c r="K571" s="13">
        <v>799</v>
      </c>
      <c r="L571" s="13">
        <v>122.6</v>
      </c>
      <c r="M571" s="35">
        <v>123</v>
      </c>
      <c r="N571" s="13">
        <v>667</v>
      </c>
      <c r="O571" s="13">
        <v>248.5</v>
      </c>
      <c r="P571" s="13">
        <v>18.13</v>
      </c>
      <c r="Q571" s="13">
        <v>287.3</v>
      </c>
      <c r="R571" s="13">
        <v>45.9</v>
      </c>
      <c r="S571" s="13">
        <v>273.2</v>
      </c>
      <c r="T571" s="13">
        <v>967</v>
      </c>
      <c r="U571" s="13">
        <v>37.4</v>
      </c>
      <c r="V571" s="13">
        <v>78.3</v>
      </c>
      <c r="W571" s="13">
        <v>6.57</v>
      </c>
      <c r="X571" s="13">
        <v>27.85</v>
      </c>
      <c r="Y571" s="13">
        <v>2.8210000000000002</v>
      </c>
      <c r="Z571" s="35">
        <v>1822</v>
      </c>
      <c r="AA571" s="13"/>
      <c r="AB571" s="13"/>
      <c r="AC571" s="14">
        <v>1679.0540540540542</v>
      </c>
      <c r="AD571" s="14">
        <v>322.02486678507995</v>
      </c>
      <c r="AE571" s="14">
        <v>1443.7185929648242</v>
      </c>
      <c r="AF571" s="14">
        <v>1271.4681440443212</v>
      </c>
      <c r="AG571" s="15">
        <v>0.20624291498934294</v>
      </c>
      <c r="AH571" s="15">
        <v>0.20683107805772225</v>
      </c>
      <c r="AI571" s="15">
        <v>0.21041553301293514</v>
      </c>
      <c r="AJ571" s="41">
        <f t="shared" si="16"/>
        <v>1802</v>
      </c>
      <c r="AK571" s="44">
        <f t="shared" si="17"/>
        <v>0.12719751809720786</v>
      </c>
      <c r="AL571" s="10"/>
      <c r="AM571" s="10"/>
    </row>
    <row r="572" spans="1:39" s="16" customFormat="1" ht="19" customHeight="1">
      <c r="A572" s="29" t="s">
        <v>633</v>
      </c>
      <c r="B572" s="29" t="s">
        <v>1369</v>
      </c>
      <c r="C572" s="29"/>
      <c r="D572" s="29"/>
      <c r="E572" s="36" t="s">
        <v>234</v>
      </c>
      <c r="F572" s="36" t="s">
        <v>249</v>
      </c>
      <c r="G572" s="31" t="s">
        <v>439</v>
      </c>
      <c r="H572" s="35">
        <v>0.27800000000000002</v>
      </c>
      <c r="I572" s="35">
        <v>15.55</v>
      </c>
      <c r="J572" s="13">
        <v>73.2</v>
      </c>
      <c r="K572" s="13">
        <v>310.2</v>
      </c>
      <c r="L572" s="13">
        <v>59.1</v>
      </c>
      <c r="M572" s="35">
        <v>130.80000000000001</v>
      </c>
      <c r="N572" s="13">
        <v>364.3</v>
      </c>
      <c r="O572" s="13">
        <v>159.19999999999999</v>
      </c>
      <c r="P572" s="13">
        <v>17.66</v>
      </c>
      <c r="Q572" s="13">
        <v>205</v>
      </c>
      <c r="R572" s="13">
        <v>34.520000000000003</v>
      </c>
      <c r="S572" s="13">
        <v>219.9</v>
      </c>
      <c r="T572" s="13">
        <v>799</v>
      </c>
      <c r="U572" s="13">
        <v>33.409999999999997</v>
      </c>
      <c r="V572" s="13">
        <v>75.7</v>
      </c>
      <c r="W572" s="13">
        <v>7.17</v>
      </c>
      <c r="X572" s="13">
        <v>33.880000000000003</v>
      </c>
      <c r="Y572" s="13">
        <v>3.661</v>
      </c>
      <c r="Z572" s="35">
        <v>1225</v>
      </c>
      <c r="AA572" s="13"/>
      <c r="AB572" s="13"/>
      <c r="AC572" s="14">
        <v>1075.6756756756756</v>
      </c>
      <c r="AD572" s="14">
        <v>313.67673179396093</v>
      </c>
      <c r="AE572" s="14">
        <v>1030.1507537688442</v>
      </c>
      <c r="AF572" s="14">
        <v>956.23268698060951</v>
      </c>
      <c r="AG572" s="15">
        <v>0.29791318734346339</v>
      </c>
      <c r="AH572" s="15">
        <v>0.29798282838686208</v>
      </c>
      <c r="AI572" s="15">
        <v>0.30327751365265493</v>
      </c>
      <c r="AJ572" s="41">
        <f t="shared" si="16"/>
        <v>806.8</v>
      </c>
      <c r="AK572" s="44">
        <f t="shared" si="17"/>
        <v>0.16370463078848563</v>
      </c>
      <c r="AL572" s="10"/>
      <c r="AM572" s="10"/>
    </row>
    <row r="573" spans="1:39" s="16" customFormat="1" ht="19" customHeight="1">
      <c r="A573" s="29" t="s">
        <v>634</v>
      </c>
      <c r="B573" s="29" t="s">
        <v>1369</v>
      </c>
      <c r="C573" s="29"/>
      <c r="D573" s="29"/>
      <c r="E573" s="36" t="s">
        <v>234</v>
      </c>
      <c r="F573" s="36" t="s">
        <v>249</v>
      </c>
      <c r="G573" s="31" t="s">
        <v>439</v>
      </c>
      <c r="H573" s="35">
        <v>0.28100000000000003</v>
      </c>
      <c r="I573" s="35">
        <v>14.79</v>
      </c>
      <c r="J573" s="13">
        <v>82.9</v>
      </c>
      <c r="K573" s="13">
        <v>356.8</v>
      </c>
      <c r="L573" s="13">
        <v>68.2</v>
      </c>
      <c r="M573" s="35">
        <v>140.80000000000001</v>
      </c>
      <c r="N573" s="13">
        <v>411</v>
      </c>
      <c r="O573" s="13">
        <v>175.3</v>
      </c>
      <c r="P573" s="13">
        <v>18.32</v>
      </c>
      <c r="Q573" s="13">
        <v>222.4</v>
      </c>
      <c r="R573" s="13">
        <v>38.229999999999997</v>
      </c>
      <c r="S573" s="13">
        <v>250.6</v>
      </c>
      <c r="T573" s="13">
        <v>978</v>
      </c>
      <c r="U573" s="13">
        <v>39.39</v>
      </c>
      <c r="V573" s="13">
        <v>96.4</v>
      </c>
      <c r="W573" s="13">
        <v>9.89</v>
      </c>
      <c r="X573" s="13">
        <v>47.7</v>
      </c>
      <c r="Y573" s="13">
        <v>5.4</v>
      </c>
      <c r="Z573" s="35">
        <v>1421</v>
      </c>
      <c r="AA573" s="13"/>
      <c r="AB573" s="13"/>
      <c r="AC573" s="14">
        <v>1184.4594594594596</v>
      </c>
      <c r="AD573" s="14">
        <v>325.39964476021316</v>
      </c>
      <c r="AE573" s="14">
        <v>1117.5879396984924</v>
      </c>
      <c r="AF573" s="14">
        <v>1059.0027700831024</v>
      </c>
      <c r="AG573" s="15">
        <v>0.28270455671698036</v>
      </c>
      <c r="AH573" s="15">
        <v>0.28282390924858591</v>
      </c>
      <c r="AI573" s="15">
        <v>0.28517048589816346</v>
      </c>
      <c r="AJ573" s="41">
        <f t="shared" si="16"/>
        <v>918.90000000000009</v>
      </c>
      <c r="AK573" s="44">
        <f t="shared" si="17"/>
        <v>0.14396728016359919</v>
      </c>
      <c r="AL573" s="10"/>
      <c r="AM573" s="10"/>
    </row>
    <row r="574" spans="1:39" s="16" customFormat="1" ht="19" customHeight="1">
      <c r="A574" s="29" t="s">
        <v>635</v>
      </c>
      <c r="B574" s="29" t="s">
        <v>1369</v>
      </c>
      <c r="C574" s="29"/>
      <c r="D574" s="29"/>
      <c r="E574" s="36" t="s">
        <v>234</v>
      </c>
      <c r="F574" s="36" t="s">
        <v>249</v>
      </c>
      <c r="G574" s="31" t="s">
        <v>439</v>
      </c>
      <c r="H574" s="35">
        <v>0.14199999999999999</v>
      </c>
      <c r="I574" s="35">
        <v>12.14</v>
      </c>
      <c r="J574" s="13">
        <v>104.2</v>
      </c>
      <c r="K574" s="13">
        <v>411.8</v>
      </c>
      <c r="L574" s="13">
        <v>74</v>
      </c>
      <c r="M574" s="35">
        <v>132</v>
      </c>
      <c r="N574" s="13">
        <v>435.4</v>
      </c>
      <c r="O574" s="13">
        <v>177</v>
      </c>
      <c r="P574" s="13">
        <v>17.489999999999998</v>
      </c>
      <c r="Q574" s="13">
        <v>222.7</v>
      </c>
      <c r="R574" s="13">
        <v>35.86</v>
      </c>
      <c r="S574" s="13">
        <v>219.7</v>
      </c>
      <c r="T574" s="13">
        <v>715</v>
      </c>
      <c r="U574" s="13">
        <v>30.2</v>
      </c>
      <c r="V574" s="13">
        <v>64.099999999999994</v>
      </c>
      <c r="W574" s="13">
        <v>5.91</v>
      </c>
      <c r="X574" s="13">
        <v>28.7</v>
      </c>
      <c r="Y574" s="13">
        <v>3.1230000000000002</v>
      </c>
      <c r="Z574" s="35">
        <v>1090</v>
      </c>
      <c r="AA574" s="13"/>
      <c r="AB574" s="13"/>
      <c r="AC574" s="14">
        <v>1195.9459459459461</v>
      </c>
      <c r="AD574" s="14">
        <v>310.65719360568386</v>
      </c>
      <c r="AE574" s="14">
        <v>1119.0954773869346</v>
      </c>
      <c r="AF574" s="14">
        <v>993.35180055401656</v>
      </c>
      <c r="AG574" s="15">
        <v>0.26838154209650561</v>
      </c>
      <c r="AH574" s="15">
        <v>0.2685295405836336</v>
      </c>
      <c r="AI574" s="15">
        <v>0.27633720026306585</v>
      </c>
      <c r="AJ574" s="41">
        <f t="shared" si="16"/>
        <v>1025.4000000000001</v>
      </c>
      <c r="AK574" s="44">
        <f t="shared" si="17"/>
        <v>0.18461538461538463</v>
      </c>
      <c r="AL574" s="10"/>
      <c r="AM574" s="10"/>
    </row>
    <row r="575" spans="1:39" s="16" customFormat="1" ht="19" customHeight="1">
      <c r="A575" s="29" t="s">
        <v>636</v>
      </c>
      <c r="B575" s="29" t="s">
        <v>1369</v>
      </c>
      <c r="C575" s="29"/>
      <c r="D575" s="29"/>
      <c r="E575" s="36" t="s">
        <v>234</v>
      </c>
      <c r="F575" s="36" t="s">
        <v>249</v>
      </c>
      <c r="G575" s="31" t="s">
        <v>439</v>
      </c>
      <c r="H575" s="35">
        <v>8.5000000000000006E-2</v>
      </c>
      <c r="I575" s="35">
        <v>15.57</v>
      </c>
      <c r="J575" s="13">
        <v>129.6</v>
      </c>
      <c r="K575" s="13">
        <v>516</v>
      </c>
      <c r="L575" s="13">
        <v>89.4</v>
      </c>
      <c r="M575" s="35">
        <v>131.80000000000001</v>
      </c>
      <c r="N575" s="13">
        <v>506</v>
      </c>
      <c r="O575" s="13">
        <v>194.3</v>
      </c>
      <c r="P575" s="13">
        <v>14.35</v>
      </c>
      <c r="Q575" s="13">
        <v>211.5</v>
      </c>
      <c r="R575" s="13">
        <v>34.99</v>
      </c>
      <c r="S575" s="13">
        <v>213.5</v>
      </c>
      <c r="T575" s="13">
        <v>718</v>
      </c>
      <c r="U575" s="13">
        <v>31.24</v>
      </c>
      <c r="V575" s="13">
        <v>73.7</v>
      </c>
      <c r="W575" s="13">
        <v>7.52</v>
      </c>
      <c r="X575" s="13">
        <v>37.229999999999997</v>
      </c>
      <c r="Y575" s="13">
        <v>3.8610000000000002</v>
      </c>
      <c r="Z575" s="35">
        <v>1327</v>
      </c>
      <c r="AA575" s="13"/>
      <c r="AB575" s="13"/>
      <c r="AC575" s="14">
        <v>1312.8378378378379</v>
      </c>
      <c r="AD575" s="14">
        <v>254.88454706927178</v>
      </c>
      <c r="AE575" s="14">
        <v>1062.8140703517588</v>
      </c>
      <c r="AF575" s="14">
        <v>969.25207756232692</v>
      </c>
      <c r="AG575" s="15">
        <v>0.21458071882552068</v>
      </c>
      <c r="AH575" s="15">
        <v>0.21577906950003367</v>
      </c>
      <c r="AI575" s="15">
        <v>0.21481133930965679</v>
      </c>
      <c r="AJ575" s="41">
        <f t="shared" si="16"/>
        <v>1241</v>
      </c>
      <c r="AK575" s="44">
        <f t="shared" si="17"/>
        <v>0.18356545961002788</v>
      </c>
      <c r="AL575" s="10"/>
      <c r="AM575" s="10"/>
    </row>
    <row r="576" spans="1:39" s="16" customFormat="1" ht="19" customHeight="1">
      <c r="A576" s="29" t="s">
        <v>637</v>
      </c>
      <c r="B576" s="29" t="s">
        <v>1369</v>
      </c>
      <c r="C576" s="29"/>
      <c r="D576" s="29"/>
      <c r="E576" s="36" t="s">
        <v>234</v>
      </c>
      <c r="F576" s="36" t="s">
        <v>249</v>
      </c>
      <c r="G576" s="31" t="s">
        <v>439</v>
      </c>
      <c r="H576" s="35">
        <v>8.8999999999999996E-2</v>
      </c>
      <c r="I576" s="35">
        <v>13.77</v>
      </c>
      <c r="J576" s="13">
        <v>100.4</v>
      </c>
      <c r="K576" s="13">
        <v>410.7</v>
      </c>
      <c r="L576" s="13">
        <v>74.3</v>
      </c>
      <c r="M576" s="35">
        <v>132</v>
      </c>
      <c r="N576" s="13">
        <v>440.5</v>
      </c>
      <c r="O576" s="13">
        <v>190</v>
      </c>
      <c r="P576" s="13">
        <v>17.97</v>
      </c>
      <c r="Q576" s="13">
        <v>247.8</v>
      </c>
      <c r="R576" s="13">
        <v>41.71</v>
      </c>
      <c r="S576" s="13">
        <v>266.89999999999998</v>
      </c>
      <c r="T576" s="13">
        <v>964</v>
      </c>
      <c r="U576" s="13">
        <v>38.72</v>
      </c>
      <c r="V576" s="13">
        <v>84.4</v>
      </c>
      <c r="W576" s="13">
        <v>7.52</v>
      </c>
      <c r="X576" s="13">
        <v>32.81</v>
      </c>
      <c r="Y576" s="13">
        <v>3.5230000000000001</v>
      </c>
      <c r="Z576" s="35">
        <v>1484</v>
      </c>
      <c r="AA576" s="13"/>
      <c r="AB576" s="13"/>
      <c r="AC576" s="14">
        <v>1283.7837837837837</v>
      </c>
      <c r="AD576" s="14">
        <v>319.1829484902309</v>
      </c>
      <c r="AE576" s="14">
        <v>1245.2261306532664</v>
      </c>
      <c r="AF576" s="14">
        <v>1155.4016620498614</v>
      </c>
      <c r="AG576" s="15">
        <v>0.25241731688606689</v>
      </c>
      <c r="AH576" s="15">
        <v>0.25244665856704679</v>
      </c>
      <c r="AI576" s="15">
        <v>0.25751395138961686</v>
      </c>
      <c r="AJ576" s="41">
        <f t="shared" si="16"/>
        <v>1025.9000000000001</v>
      </c>
      <c r="AK576" s="44">
        <f t="shared" si="17"/>
        <v>0.13692946058091288</v>
      </c>
      <c r="AL576" s="10"/>
      <c r="AM576" s="10"/>
    </row>
    <row r="577" spans="1:39" s="16" customFormat="1" ht="19" customHeight="1">
      <c r="A577" s="29" t="s">
        <v>638</v>
      </c>
      <c r="B577" s="29" t="s">
        <v>1369</v>
      </c>
      <c r="C577" s="29"/>
      <c r="D577" s="29"/>
      <c r="E577" s="36" t="s">
        <v>234</v>
      </c>
      <c r="F577" s="36" t="s">
        <v>249</v>
      </c>
      <c r="G577" s="31" t="s">
        <v>439</v>
      </c>
      <c r="H577" s="35">
        <v>2.6599999999999999E-2</v>
      </c>
      <c r="I577" s="35">
        <v>16.72</v>
      </c>
      <c r="J577" s="13">
        <v>149</v>
      </c>
      <c r="K577" s="13">
        <v>556</v>
      </c>
      <c r="L577" s="13">
        <v>94.4</v>
      </c>
      <c r="M577" s="35">
        <v>137.5</v>
      </c>
      <c r="N577" s="13">
        <v>512</v>
      </c>
      <c r="O577" s="13">
        <v>189.1</v>
      </c>
      <c r="P577" s="13">
        <v>13.61</v>
      </c>
      <c r="Q577" s="13">
        <v>202.8</v>
      </c>
      <c r="R577" s="13">
        <v>33.979999999999997</v>
      </c>
      <c r="S577" s="13">
        <v>219.7</v>
      </c>
      <c r="T577" s="13">
        <v>778</v>
      </c>
      <c r="U577" s="13">
        <v>33.56</v>
      </c>
      <c r="V577" s="13">
        <v>83.9</v>
      </c>
      <c r="W577" s="13">
        <v>9.35</v>
      </c>
      <c r="X577" s="13">
        <v>49.12</v>
      </c>
      <c r="Y577" s="13">
        <v>5.42</v>
      </c>
      <c r="Z577" s="35">
        <v>1769</v>
      </c>
      <c r="AA577" s="13"/>
      <c r="AB577" s="13"/>
      <c r="AC577" s="14">
        <v>1277.7027027027027</v>
      </c>
      <c r="AD577" s="14">
        <v>241.74067495559504</v>
      </c>
      <c r="AE577" s="14">
        <v>1019.0954773869347</v>
      </c>
      <c r="AF577" s="14">
        <v>941.27423822714672</v>
      </c>
      <c r="AG577" s="15">
        <v>0.21050232192900867</v>
      </c>
      <c r="AH577" s="15">
        <v>0.21184947227825726</v>
      </c>
      <c r="AI577" s="15">
        <v>0.20948734733788149</v>
      </c>
      <c r="AJ577" s="41">
        <f t="shared" si="16"/>
        <v>1311.4</v>
      </c>
      <c r="AK577" s="44">
        <f t="shared" si="17"/>
        <v>0.17673521850899743</v>
      </c>
      <c r="AL577" s="10"/>
      <c r="AM577" s="10"/>
    </row>
    <row r="578" spans="1:39" s="16" customFormat="1" ht="19" customHeight="1">
      <c r="A578" s="29" t="s">
        <v>639</v>
      </c>
      <c r="B578" s="29" t="s">
        <v>1369</v>
      </c>
      <c r="C578" s="29"/>
      <c r="D578" s="29"/>
      <c r="E578" s="36" t="s">
        <v>234</v>
      </c>
      <c r="F578" s="36" t="s">
        <v>249</v>
      </c>
      <c r="G578" s="31" t="s">
        <v>439</v>
      </c>
      <c r="H578" s="35">
        <v>0.16200000000000001</v>
      </c>
      <c r="I578" s="35">
        <v>15.94</v>
      </c>
      <c r="J578" s="13">
        <v>154.19999999999999</v>
      </c>
      <c r="K578" s="13">
        <v>626</v>
      </c>
      <c r="L578" s="13">
        <v>102.8</v>
      </c>
      <c r="M578" s="35">
        <v>130.30000000000001</v>
      </c>
      <c r="N578" s="13">
        <v>578.20000000000005</v>
      </c>
      <c r="O578" s="13">
        <v>213.3</v>
      </c>
      <c r="P578" s="13">
        <v>16.64</v>
      </c>
      <c r="Q578" s="13">
        <v>234.8</v>
      </c>
      <c r="R578" s="13">
        <v>36.840000000000003</v>
      </c>
      <c r="S578" s="13">
        <v>224.1</v>
      </c>
      <c r="T578" s="13">
        <v>753</v>
      </c>
      <c r="U578" s="13">
        <v>32.82</v>
      </c>
      <c r="V578" s="13">
        <v>74.099999999999994</v>
      </c>
      <c r="W578" s="13">
        <v>6.79</v>
      </c>
      <c r="X578" s="13">
        <v>29.31</v>
      </c>
      <c r="Y578" s="13">
        <v>2.9969999999999999</v>
      </c>
      <c r="Z578" s="35">
        <v>1414</v>
      </c>
      <c r="AA578" s="13"/>
      <c r="AB578" s="13"/>
      <c r="AC578" s="14">
        <v>1441.2162162162163</v>
      </c>
      <c r="AD578" s="14">
        <v>295.55950266429841</v>
      </c>
      <c r="AE578" s="14">
        <v>1179.8994974874372</v>
      </c>
      <c r="AF578" s="14">
        <v>1020.4986149584488</v>
      </c>
      <c r="AG578" s="15">
        <v>0.22552190360697272</v>
      </c>
      <c r="AH578" s="15">
        <v>0.22665110931198734</v>
      </c>
      <c r="AI578" s="15">
        <v>0.23008485219013969</v>
      </c>
      <c r="AJ578" s="41">
        <f t="shared" si="16"/>
        <v>1461.2</v>
      </c>
      <c r="AK578" s="44">
        <f t="shared" si="17"/>
        <v>0.17304116865869856</v>
      </c>
      <c r="AL578" s="10"/>
      <c r="AM578" s="10"/>
    </row>
    <row r="579" spans="1:39" s="16" customFormat="1" ht="19" customHeight="1">
      <c r="A579" s="29" t="s">
        <v>640</v>
      </c>
      <c r="B579" s="29" t="s">
        <v>1369</v>
      </c>
      <c r="C579" s="29"/>
      <c r="D579" s="29"/>
      <c r="E579" s="36" t="s">
        <v>234</v>
      </c>
      <c r="F579" s="36" t="s">
        <v>249</v>
      </c>
      <c r="G579" s="31" t="s">
        <v>439</v>
      </c>
      <c r="H579" s="35">
        <v>6.4799999999999996E-2</v>
      </c>
      <c r="I579" s="35">
        <v>12.06</v>
      </c>
      <c r="J579" s="13">
        <v>32.270000000000003</v>
      </c>
      <c r="K579" s="13">
        <v>183.8</v>
      </c>
      <c r="L579" s="13">
        <v>41.14</v>
      </c>
      <c r="M579" s="35">
        <v>131.80000000000001</v>
      </c>
      <c r="N579" s="13">
        <v>281.3</v>
      </c>
      <c r="O579" s="13">
        <v>159.19999999999999</v>
      </c>
      <c r="P579" s="13">
        <v>15.49</v>
      </c>
      <c r="Q579" s="13">
        <v>234.2</v>
      </c>
      <c r="R579" s="13">
        <v>43.75</v>
      </c>
      <c r="S579" s="13">
        <v>296.8</v>
      </c>
      <c r="T579" s="13">
        <v>1189</v>
      </c>
      <c r="U579" s="13">
        <v>47.16</v>
      </c>
      <c r="V579" s="13">
        <v>113.1</v>
      </c>
      <c r="W579" s="13">
        <v>10.31</v>
      </c>
      <c r="X579" s="13">
        <v>45.24</v>
      </c>
      <c r="Y579" s="13">
        <v>5.01</v>
      </c>
      <c r="Z579" s="35">
        <v>1694</v>
      </c>
      <c r="AA579" s="13"/>
      <c r="AB579" s="13"/>
      <c r="AC579" s="14">
        <v>1075.6756756756756</v>
      </c>
      <c r="AD579" s="14">
        <v>275.13321492007105</v>
      </c>
      <c r="AE579" s="14">
        <v>1176.8844221105526</v>
      </c>
      <c r="AF579" s="14">
        <v>1211.9113573407203</v>
      </c>
      <c r="AG579" s="15">
        <v>0.24428490515344436</v>
      </c>
      <c r="AH579" s="15">
        <v>0.24453185463213878</v>
      </c>
      <c r="AI579" s="15">
        <v>0.24580941094032333</v>
      </c>
      <c r="AJ579" s="41">
        <f t="shared" si="16"/>
        <v>538.51</v>
      </c>
      <c r="AK579" s="44">
        <f t="shared" si="17"/>
        <v>0.11084945332211944</v>
      </c>
      <c r="AL579" s="10"/>
      <c r="AM579" s="10"/>
    </row>
    <row r="580" spans="1:39" s="16" customFormat="1" ht="19" customHeight="1">
      <c r="A580" s="29" t="s">
        <v>641</v>
      </c>
      <c r="B580" s="29" t="s">
        <v>1368</v>
      </c>
      <c r="C580" s="29"/>
      <c r="D580" s="29"/>
      <c r="E580" s="36" t="s">
        <v>234</v>
      </c>
      <c r="F580" s="36" t="s">
        <v>249</v>
      </c>
      <c r="G580" s="31" t="s">
        <v>439</v>
      </c>
      <c r="H580" s="35">
        <v>1.4</v>
      </c>
      <c r="I580" s="35">
        <v>36.299999999999997</v>
      </c>
      <c r="J580" s="13">
        <v>369.3</v>
      </c>
      <c r="K580" s="13">
        <v>1261</v>
      </c>
      <c r="L580" s="13">
        <v>194.3</v>
      </c>
      <c r="M580" s="35">
        <v>170.4</v>
      </c>
      <c r="N580" s="13">
        <v>1013</v>
      </c>
      <c r="O580" s="13">
        <v>382.1</v>
      </c>
      <c r="P580" s="13">
        <v>10.79</v>
      </c>
      <c r="Q580" s="13">
        <v>447.1</v>
      </c>
      <c r="R580" s="13">
        <v>66.95</v>
      </c>
      <c r="S580" s="13">
        <v>349.7</v>
      </c>
      <c r="T580" s="13">
        <v>1243</v>
      </c>
      <c r="U580" s="13">
        <v>42.97</v>
      </c>
      <c r="V580" s="13">
        <v>62.5</v>
      </c>
      <c r="W580" s="13">
        <v>5.74</v>
      </c>
      <c r="X580" s="13">
        <v>24.35</v>
      </c>
      <c r="Y580" s="13">
        <v>1.899</v>
      </c>
      <c r="Z580" s="35">
        <v>4019</v>
      </c>
      <c r="AA580" s="13"/>
      <c r="AB580" s="13"/>
      <c r="AC580" s="14">
        <v>2581.7567567567571</v>
      </c>
      <c r="AD580" s="14">
        <v>191.651865008881</v>
      </c>
      <c r="AE580" s="14">
        <v>2246.7336683417084</v>
      </c>
      <c r="AF580" s="14">
        <v>1854.5706371191136</v>
      </c>
      <c r="AG580" s="15">
        <v>7.9383761025050695E-2</v>
      </c>
      <c r="AH580" s="15">
        <v>7.9575539547089291E-2</v>
      </c>
      <c r="AI580" s="15">
        <v>8.2887372999389322E-2</v>
      </c>
      <c r="AJ580" s="41">
        <f t="shared" si="16"/>
        <v>2837.6</v>
      </c>
      <c r="AK580" s="44">
        <f t="shared" si="17"/>
        <v>0.13708769106999197</v>
      </c>
      <c r="AL580" s="10"/>
      <c r="AM580" s="10"/>
    </row>
    <row r="581" spans="1:39" s="16" customFormat="1" ht="19" customHeight="1">
      <c r="A581" s="29" t="s">
        <v>642</v>
      </c>
      <c r="B581" s="29" t="s">
        <v>1368</v>
      </c>
      <c r="C581" s="29"/>
      <c r="D581" s="29"/>
      <c r="E581" s="36" t="s">
        <v>234</v>
      </c>
      <c r="F581" s="36" t="s">
        <v>249</v>
      </c>
      <c r="G581" s="31" t="s">
        <v>439</v>
      </c>
      <c r="H581" s="35">
        <v>7.9000000000000001E-2</v>
      </c>
      <c r="I581" s="35">
        <v>16.59</v>
      </c>
      <c r="J581" s="13">
        <v>274.8</v>
      </c>
      <c r="K581" s="13">
        <v>951</v>
      </c>
      <c r="L581" s="13">
        <v>143.30000000000001</v>
      </c>
      <c r="M581" s="35">
        <v>170.7</v>
      </c>
      <c r="N581" s="13">
        <v>741</v>
      </c>
      <c r="O581" s="13">
        <v>282</v>
      </c>
      <c r="P581" s="13">
        <v>9.66</v>
      </c>
      <c r="Q581" s="13">
        <v>324.39999999999998</v>
      </c>
      <c r="R581" s="13">
        <v>53.09</v>
      </c>
      <c r="S581" s="13">
        <v>334.5</v>
      </c>
      <c r="T581" s="13">
        <v>1367</v>
      </c>
      <c r="U581" s="13">
        <v>56.32</v>
      </c>
      <c r="V581" s="13">
        <v>117.1</v>
      </c>
      <c r="W581" s="13">
        <v>14.77</v>
      </c>
      <c r="X581" s="13">
        <v>80.5</v>
      </c>
      <c r="Y581" s="13">
        <v>7.46</v>
      </c>
      <c r="Z581" s="35">
        <v>3951</v>
      </c>
      <c r="AA581" s="13"/>
      <c r="AB581" s="13"/>
      <c r="AC581" s="14">
        <v>1905.4054054054054</v>
      </c>
      <c r="AD581" s="14">
        <v>171.5808170515098</v>
      </c>
      <c r="AE581" s="14">
        <v>1630.150753768844</v>
      </c>
      <c r="AF581" s="14">
        <v>1470.6371191135736</v>
      </c>
      <c r="AG581" s="15">
        <v>9.7060156494068267E-2</v>
      </c>
      <c r="AH581" s="15">
        <v>9.7355647719373634E-2</v>
      </c>
      <c r="AI581" s="15">
        <v>9.8169209855905451E-2</v>
      </c>
      <c r="AJ581" s="41">
        <f t="shared" si="16"/>
        <v>2110.1</v>
      </c>
      <c r="AK581" s="44">
        <f t="shared" si="17"/>
        <v>0.12487198244330651</v>
      </c>
      <c r="AL581" s="10"/>
      <c r="AM581" s="10"/>
    </row>
    <row r="582" spans="1:39" s="16" customFormat="1" ht="19" customHeight="1">
      <c r="A582" s="29" t="s">
        <v>643</v>
      </c>
      <c r="B582" s="29" t="s">
        <v>1368</v>
      </c>
      <c r="C582" s="29"/>
      <c r="D582" s="29"/>
      <c r="E582" s="36" t="s">
        <v>234</v>
      </c>
      <c r="F582" s="36" t="s">
        <v>249</v>
      </c>
      <c r="G582" s="31" t="s">
        <v>439</v>
      </c>
      <c r="H582" s="35">
        <v>5.4100000000000002E-2</v>
      </c>
      <c r="I582" s="35">
        <v>9.67</v>
      </c>
      <c r="J582" s="13">
        <v>124.1</v>
      </c>
      <c r="K582" s="13">
        <v>506.8</v>
      </c>
      <c r="L582" s="13">
        <v>91.5</v>
      </c>
      <c r="M582" s="35">
        <v>144.4</v>
      </c>
      <c r="N582" s="13">
        <v>535.4</v>
      </c>
      <c r="O582" s="13">
        <v>228.6</v>
      </c>
      <c r="P582" s="13">
        <v>16.29</v>
      </c>
      <c r="Q582" s="13">
        <v>274</v>
      </c>
      <c r="R582" s="13">
        <v>43.52</v>
      </c>
      <c r="S582" s="13">
        <v>253.7</v>
      </c>
      <c r="T582" s="13">
        <v>928</v>
      </c>
      <c r="U582" s="13">
        <v>38.25</v>
      </c>
      <c r="V582" s="13">
        <v>67.98</v>
      </c>
      <c r="W582" s="13">
        <v>7.02</v>
      </c>
      <c r="X582" s="13">
        <v>32.25</v>
      </c>
      <c r="Y582" s="13">
        <v>2.742</v>
      </c>
      <c r="Z582" s="35">
        <v>1353</v>
      </c>
      <c r="AA582" s="13"/>
      <c r="AB582" s="13"/>
      <c r="AC582" s="14">
        <v>1544.5945945945946</v>
      </c>
      <c r="AD582" s="14">
        <v>289.34280639431614</v>
      </c>
      <c r="AE582" s="14">
        <v>1376.8844221105528</v>
      </c>
      <c r="AF582" s="14">
        <v>1205.5401662049862</v>
      </c>
      <c r="AG582" s="15">
        <v>0.19807967453460459</v>
      </c>
      <c r="AH582" s="15">
        <v>0.1984068631654706</v>
      </c>
      <c r="AI582" s="15">
        <v>0.20345847629583164</v>
      </c>
      <c r="AJ582" s="41">
        <f t="shared" ref="AJ582:AJ645" si="18">J582+K582+L582+N582</f>
        <v>1257.8</v>
      </c>
      <c r="AK582" s="44">
        <f t="shared" ref="AK582:AK645" si="19">M582/T582</f>
        <v>0.15560344827586209</v>
      </c>
      <c r="AL582" s="10"/>
      <c r="AM582" s="10"/>
    </row>
    <row r="583" spans="1:39" s="16" customFormat="1" ht="19" customHeight="1">
      <c r="A583" s="29" t="s">
        <v>644</v>
      </c>
      <c r="B583" s="29" t="s">
        <v>1368</v>
      </c>
      <c r="C583" s="29"/>
      <c r="D583" s="29"/>
      <c r="E583" s="36" t="s">
        <v>234</v>
      </c>
      <c r="F583" s="36" t="s">
        <v>249</v>
      </c>
      <c r="G583" s="31" t="s">
        <v>439</v>
      </c>
      <c r="H583" s="35">
        <v>6.2799999999999995E-2</v>
      </c>
      <c r="I583" s="35">
        <v>7.4589999999999996</v>
      </c>
      <c r="J583" s="13">
        <v>77.3</v>
      </c>
      <c r="K583" s="13">
        <v>343.4</v>
      </c>
      <c r="L583" s="13">
        <v>67.8</v>
      </c>
      <c r="M583" s="35">
        <v>139.1</v>
      </c>
      <c r="N583" s="13">
        <v>418.7</v>
      </c>
      <c r="O583" s="13">
        <v>197.4</v>
      </c>
      <c r="P583" s="13">
        <v>16.559999999999999</v>
      </c>
      <c r="Q583" s="13">
        <v>263.2</v>
      </c>
      <c r="R583" s="13">
        <v>44.47</v>
      </c>
      <c r="S583" s="13">
        <v>282.5</v>
      </c>
      <c r="T583" s="13">
        <v>1209</v>
      </c>
      <c r="U583" s="13">
        <v>48.65</v>
      </c>
      <c r="V583" s="13">
        <v>98.6</v>
      </c>
      <c r="W583" s="13">
        <v>10.92</v>
      </c>
      <c r="X583" s="13">
        <v>50</v>
      </c>
      <c r="Y583" s="13">
        <v>4.5060000000000002</v>
      </c>
      <c r="Z583" s="35">
        <v>1414</v>
      </c>
      <c r="AA583" s="13"/>
      <c r="AB583" s="13"/>
      <c r="AC583" s="14">
        <v>1333.783783783784</v>
      </c>
      <c r="AD583" s="14">
        <v>294.13854351687388</v>
      </c>
      <c r="AE583" s="14">
        <v>1322.613065326633</v>
      </c>
      <c r="AF583" s="14">
        <v>1231.8559556786704</v>
      </c>
      <c r="AG583" s="15">
        <v>0.22145677790227464</v>
      </c>
      <c r="AH583" s="15">
        <v>0.22145873603010802</v>
      </c>
      <c r="AI583" s="15">
        <v>0.22645139832330202</v>
      </c>
      <c r="AJ583" s="41">
        <f t="shared" si="18"/>
        <v>907.2</v>
      </c>
      <c r="AK583" s="44">
        <f t="shared" si="19"/>
        <v>0.11505376344086021</v>
      </c>
      <c r="AL583" s="10"/>
      <c r="AM583" s="10"/>
    </row>
    <row r="584" spans="1:39" s="16" customFormat="1" ht="19" customHeight="1">
      <c r="A584" s="29" t="s">
        <v>645</v>
      </c>
      <c r="B584" s="29" t="s">
        <v>1368</v>
      </c>
      <c r="C584" s="29"/>
      <c r="D584" s="29"/>
      <c r="E584" s="36" t="s">
        <v>234</v>
      </c>
      <c r="F584" s="36" t="s">
        <v>249</v>
      </c>
      <c r="G584" s="31" t="s">
        <v>439</v>
      </c>
      <c r="H584" s="35">
        <v>3.0830000000000002</v>
      </c>
      <c r="I584" s="35">
        <v>29.17</v>
      </c>
      <c r="J584" s="13">
        <v>347.3</v>
      </c>
      <c r="K584" s="13">
        <v>1196</v>
      </c>
      <c r="L584" s="13">
        <v>179.2</v>
      </c>
      <c r="M584" s="35">
        <v>168.6</v>
      </c>
      <c r="N584" s="13">
        <v>923</v>
      </c>
      <c r="O584" s="13">
        <v>361.9</v>
      </c>
      <c r="P584" s="13">
        <v>11.65</v>
      </c>
      <c r="Q584" s="13">
        <v>435</v>
      </c>
      <c r="R584" s="13">
        <v>66</v>
      </c>
      <c r="S584" s="13">
        <v>344.6</v>
      </c>
      <c r="T584" s="13">
        <v>1298</v>
      </c>
      <c r="U584" s="13">
        <v>43.7</v>
      </c>
      <c r="V584" s="13">
        <v>71.8</v>
      </c>
      <c r="W584" s="13">
        <v>7.69</v>
      </c>
      <c r="X584" s="13">
        <v>39.76</v>
      </c>
      <c r="Y584" s="13">
        <v>3.3889999999999998</v>
      </c>
      <c r="Z584" s="35">
        <v>3601</v>
      </c>
      <c r="AA584" s="13"/>
      <c r="AB584" s="13"/>
      <c r="AC584" s="14">
        <v>2445.2702702702704</v>
      </c>
      <c r="AD584" s="14">
        <v>206.92717584369453</v>
      </c>
      <c r="AE584" s="14">
        <v>2185.929648241206</v>
      </c>
      <c r="AF584" s="14">
        <v>1828.2548476454294</v>
      </c>
      <c r="AG584" s="15">
        <v>8.9362229869015639E-2</v>
      </c>
      <c r="AH584" s="15">
        <v>8.95026731348533E-2</v>
      </c>
      <c r="AI584" s="15">
        <v>9.3236803198783039E-2</v>
      </c>
      <c r="AJ584" s="41">
        <f t="shared" si="18"/>
        <v>2645.5</v>
      </c>
      <c r="AK584" s="44">
        <f t="shared" si="19"/>
        <v>0.12989214175654853</v>
      </c>
      <c r="AL584" s="10"/>
      <c r="AM584" s="10"/>
    </row>
    <row r="585" spans="1:39" s="16" customFormat="1" ht="19" customHeight="1">
      <c r="A585" s="29" t="s">
        <v>646</v>
      </c>
      <c r="B585" s="29" t="s">
        <v>1368</v>
      </c>
      <c r="C585" s="29"/>
      <c r="D585" s="29"/>
      <c r="E585" s="36" t="s">
        <v>234</v>
      </c>
      <c r="F585" s="36" t="s">
        <v>249</v>
      </c>
      <c r="G585" s="31" t="s">
        <v>439</v>
      </c>
      <c r="H585" s="35">
        <v>1.9E-2</v>
      </c>
      <c r="I585" s="35">
        <v>12.66</v>
      </c>
      <c r="J585" s="13">
        <v>167.9</v>
      </c>
      <c r="K585" s="13">
        <v>680</v>
      </c>
      <c r="L585" s="13">
        <v>119.9</v>
      </c>
      <c r="M585" s="35">
        <v>147.69999999999999</v>
      </c>
      <c r="N585" s="13">
        <v>672</v>
      </c>
      <c r="O585" s="13">
        <v>278.5</v>
      </c>
      <c r="P585" s="13">
        <v>10.76</v>
      </c>
      <c r="Q585" s="13">
        <v>339.5</v>
      </c>
      <c r="R585" s="13">
        <v>54.8</v>
      </c>
      <c r="S585" s="13">
        <v>300.3</v>
      </c>
      <c r="T585" s="13">
        <v>991</v>
      </c>
      <c r="U585" s="13">
        <v>40.56</v>
      </c>
      <c r="V585" s="13">
        <v>63.7</v>
      </c>
      <c r="W585" s="13">
        <v>5.55</v>
      </c>
      <c r="X585" s="13">
        <v>20.9</v>
      </c>
      <c r="Y585" s="13">
        <v>1.4970000000000001</v>
      </c>
      <c r="Z585" s="35">
        <v>801</v>
      </c>
      <c r="AA585" s="13"/>
      <c r="AB585" s="13"/>
      <c r="AC585" s="14">
        <v>1881.7567567567569</v>
      </c>
      <c r="AD585" s="14">
        <v>191.11900532859681</v>
      </c>
      <c r="AE585" s="14">
        <v>1706.0301507537688</v>
      </c>
      <c r="AF585" s="14">
        <v>1518.0055401662048</v>
      </c>
      <c r="AG585" s="15">
        <v>0.10653866032484602</v>
      </c>
      <c r="AH585" s="15">
        <v>0.10666668133394525</v>
      </c>
      <c r="AI585" s="15">
        <v>0.10910310283402047</v>
      </c>
      <c r="AJ585" s="41">
        <f t="shared" si="18"/>
        <v>1639.8</v>
      </c>
      <c r="AK585" s="44">
        <f t="shared" si="19"/>
        <v>0.14904137235116044</v>
      </c>
      <c r="AL585" s="10"/>
      <c r="AM585" s="10"/>
    </row>
    <row r="586" spans="1:39" s="16" customFormat="1" ht="19" customHeight="1">
      <c r="A586" s="29" t="s">
        <v>647</v>
      </c>
      <c r="B586" s="29" t="s">
        <v>1368</v>
      </c>
      <c r="C586" s="29"/>
      <c r="D586" s="29"/>
      <c r="E586" s="36" t="s">
        <v>234</v>
      </c>
      <c r="F586" s="36" t="s">
        <v>249</v>
      </c>
      <c r="G586" s="31" t="s">
        <v>439</v>
      </c>
      <c r="H586" s="35">
        <v>9.5999999999999992E-3</v>
      </c>
      <c r="I586" s="35">
        <v>14.99</v>
      </c>
      <c r="J586" s="13">
        <v>171.2</v>
      </c>
      <c r="K586" s="13">
        <v>680.1</v>
      </c>
      <c r="L586" s="13">
        <v>119.1</v>
      </c>
      <c r="M586" s="35">
        <v>132.5</v>
      </c>
      <c r="N586" s="13">
        <v>692.3</v>
      </c>
      <c r="O586" s="13">
        <v>264.39999999999998</v>
      </c>
      <c r="P586" s="13">
        <v>15.35</v>
      </c>
      <c r="Q586" s="13">
        <v>294.8</v>
      </c>
      <c r="R586" s="13">
        <v>48.51</v>
      </c>
      <c r="S586" s="13">
        <v>262.60000000000002</v>
      </c>
      <c r="T586" s="13">
        <v>863</v>
      </c>
      <c r="U586" s="13">
        <v>37.74</v>
      </c>
      <c r="V586" s="13">
        <v>72.3</v>
      </c>
      <c r="W586" s="13">
        <v>6.59</v>
      </c>
      <c r="X586" s="13">
        <v>27.35</v>
      </c>
      <c r="Y586" s="13">
        <v>2.7149999999999999</v>
      </c>
      <c r="Z586" s="35">
        <v>1497</v>
      </c>
      <c r="AA586" s="13"/>
      <c r="AB586" s="13"/>
      <c r="AC586" s="14">
        <v>1786.4864864864865</v>
      </c>
      <c r="AD586" s="14">
        <v>272.64653641207815</v>
      </c>
      <c r="AE586" s="14">
        <v>1481.4070351758794</v>
      </c>
      <c r="AF586" s="14">
        <v>1343.7673130193905</v>
      </c>
      <c r="AG586" s="15">
        <v>0.16686378219164485</v>
      </c>
      <c r="AH586" s="15">
        <v>0.1675957170232617</v>
      </c>
      <c r="AI586" s="15">
        <v>0.16781294953518042</v>
      </c>
      <c r="AJ586" s="41">
        <f t="shared" si="18"/>
        <v>1662.6999999999998</v>
      </c>
      <c r="AK586" s="44">
        <f t="shared" si="19"/>
        <v>0.15353418308227115</v>
      </c>
      <c r="AL586" s="10"/>
      <c r="AM586" s="10"/>
    </row>
    <row r="587" spans="1:39" s="16" customFormat="1" ht="19" customHeight="1">
      <c r="A587" s="29" t="s">
        <v>648</v>
      </c>
      <c r="B587" s="29" t="s">
        <v>1368</v>
      </c>
      <c r="C587" s="29"/>
      <c r="D587" s="29"/>
      <c r="E587" s="36" t="s">
        <v>234</v>
      </c>
      <c r="F587" s="36" t="s">
        <v>249</v>
      </c>
      <c r="G587" s="31" t="s">
        <v>439</v>
      </c>
      <c r="H587" s="35">
        <v>0.876</v>
      </c>
      <c r="I587" s="35">
        <v>39.07</v>
      </c>
      <c r="J587" s="13">
        <v>376.2</v>
      </c>
      <c r="K587" s="13">
        <v>1294</v>
      </c>
      <c r="L587" s="13">
        <v>192.4</v>
      </c>
      <c r="M587" s="35">
        <v>174.2</v>
      </c>
      <c r="N587" s="13">
        <v>1007</v>
      </c>
      <c r="O587" s="13">
        <v>360.6</v>
      </c>
      <c r="P587" s="13">
        <v>10.15</v>
      </c>
      <c r="Q587" s="13">
        <v>393</v>
      </c>
      <c r="R587" s="13">
        <v>59.83</v>
      </c>
      <c r="S587" s="13">
        <v>301.2</v>
      </c>
      <c r="T587" s="13">
        <v>1009</v>
      </c>
      <c r="U587" s="13">
        <v>38.549999999999997</v>
      </c>
      <c r="V587" s="13">
        <v>66.75</v>
      </c>
      <c r="W587" s="13">
        <v>5.6</v>
      </c>
      <c r="X587" s="13">
        <v>23.18</v>
      </c>
      <c r="Y587" s="13">
        <v>2.2650000000000001</v>
      </c>
      <c r="Z587" s="35">
        <v>4418</v>
      </c>
      <c r="AA587" s="13"/>
      <c r="AB587" s="13"/>
      <c r="AC587" s="14">
        <v>2436.4864864864867</v>
      </c>
      <c r="AD587" s="14">
        <v>180.28419182948491</v>
      </c>
      <c r="AE587" s="14">
        <v>1974.8743718592964</v>
      </c>
      <c r="AF587" s="14">
        <v>1657.3407202216065</v>
      </c>
      <c r="AG587" s="15">
        <v>8.1736315671572482E-2</v>
      </c>
      <c r="AH587" s="15">
        <v>8.2187525878979678E-2</v>
      </c>
      <c r="AI587" s="15">
        <v>8.4135195735124929E-2</v>
      </c>
      <c r="AJ587" s="41">
        <f t="shared" si="18"/>
        <v>2869.6000000000004</v>
      </c>
      <c r="AK587" s="44">
        <f t="shared" si="19"/>
        <v>0.1726461843409316</v>
      </c>
      <c r="AL587" s="10"/>
      <c r="AM587" s="10"/>
    </row>
    <row r="588" spans="1:39" s="16" customFormat="1" ht="19" customHeight="1">
      <c r="A588" s="29" t="s">
        <v>649</v>
      </c>
      <c r="B588" s="29" t="s">
        <v>1368</v>
      </c>
      <c r="C588" s="29"/>
      <c r="D588" s="29"/>
      <c r="E588" s="36" t="s">
        <v>234</v>
      </c>
      <c r="F588" s="36" t="s">
        <v>249</v>
      </c>
      <c r="G588" s="31" t="s">
        <v>439</v>
      </c>
      <c r="H588" s="35">
        <v>0.21199999999999999</v>
      </c>
      <c r="I588" s="35">
        <v>12.98</v>
      </c>
      <c r="J588" s="13">
        <v>78.400000000000006</v>
      </c>
      <c r="K588" s="13">
        <v>338.8</v>
      </c>
      <c r="L588" s="13">
        <v>65.239999999999995</v>
      </c>
      <c r="M588" s="35">
        <v>141</v>
      </c>
      <c r="N588" s="13">
        <v>418.1</v>
      </c>
      <c r="O588" s="13">
        <v>193.6</v>
      </c>
      <c r="P588" s="13">
        <v>17.66</v>
      </c>
      <c r="Q588" s="13">
        <v>258.5</v>
      </c>
      <c r="R588" s="13">
        <v>46.77</v>
      </c>
      <c r="S588" s="13">
        <v>281.3</v>
      </c>
      <c r="T588" s="13">
        <v>1033</v>
      </c>
      <c r="U588" s="13">
        <v>44.82</v>
      </c>
      <c r="V588" s="13">
        <v>97.4</v>
      </c>
      <c r="W588" s="13">
        <v>8.8000000000000007</v>
      </c>
      <c r="X588" s="13">
        <v>36.42</v>
      </c>
      <c r="Y588" s="13">
        <v>3.863</v>
      </c>
      <c r="Z588" s="35">
        <v>1532</v>
      </c>
      <c r="AA588" s="13"/>
      <c r="AB588" s="13"/>
      <c r="AC588" s="14">
        <v>1308.1081081081081</v>
      </c>
      <c r="AD588" s="14">
        <v>313.67673179396093</v>
      </c>
      <c r="AE588" s="14">
        <v>1298.9949748743718</v>
      </c>
      <c r="AF588" s="14">
        <v>1295.5678670360112</v>
      </c>
      <c r="AG588" s="15">
        <v>0.24063239680965762</v>
      </c>
      <c r="AH588" s="15">
        <v>0.24063386691045799</v>
      </c>
      <c r="AI588" s="15">
        <v>0.24056539618956757</v>
      </c>
      <c r="AJ588" s="41">
        <f t="shared" si="18"/>
        <v>900.54000000000008</v>
      </c>
      <c r="AK588" s="44">
        <f t="shared" si="19"/>
        <v>0.13649564375605033</v>
      </c>
      <c r="AL588" s="10"/>
      <c r="AM588" s="10"/>
    </row>
    <row r="589" spans="1:39" s="16" customFormat="1" ht="19" customHeight="1">
      <c r="A589" s="29" t="s">
        <v>650</v>
      </c>
      <c r="B589" s="29" t="s">
        <v>1368</v>
      </c>
      <c r="C589" s="29"/>
      <c r="D589" s="29"/>
      <c r="E589" s="36" t="s">
        <v>234</v>
      </c>
      <c r="F589" s="36" t="s">
        <v>249</v>
      </c>
      <c r="G589" s="31" t="s">
        <v>439</v>
      </c>
      <c r="H589" s="35">
        <v>0.13500000000000001</v>
      </c>
      <c r="I589" s="35">
        <v>17.3</v>
      </c>
      <c r="J589" s="13">
        <v>180.4</v>
      </c>
      <c r="K589" s="13">
        <v>687</v>
      </c>
      <c r="L589" s="13">
        <v>118.2</v>
      </c>
      <c r="M589" s="35">
        <v>146.19999999999999</v>
      </c>
      <c r="N589" s="13">
        <v>683</v>
      </c>
      <c r="O589" s="13">
        <v>269</v>
      </c>
      <c r="P589" s="13">
        <v>18.89</v>
      </c>
      <c r="Q589" s="13">
        <v>328.8</v>
      </c>
      <c r="R589" s="13">
        <v>55.82</v>
      </c>
      <c r="S589" s="13">
        <v>311.89999999999998</v>
      </c>
      <c r="T589" s="13">
        <v>1051</v>
      </c>
      <c r="U589" s="13">
        <v>45.24</v>
      </c>
      <c r="V589" s="13">
        <v>89.2</v>
      </c>
      <c r="W589" s="13">
        <v>7.59</v>
      </c>
      <c r="X589" s="13">
        <v>30.62</v>
      </c>
      <c r="Y589" s="13">
        <v>3.319</v>
      </c>
      <c r="Z589" s="35">
        <v>1521</v>
      </c>
      <c r="AA589" s="13"/>
      <c r="AB589" s="13"/>
      <c r="AC589" s="14">
        <v>1817.5675675675677</v>
      </c>
      <c r="AD589" s="14">
        <v>335.5239786856128</v>
      </c>
      <c r="AE589" s="14">
        <v>1652.2613065326632</v>
      </c>
      <c r="AF589" s="14">
        <v>1546.2603878116342</v>
      </c>
      <c r="AG589" s="15">
        <v>0.19339511593211831</v>
      </c>
      <c r="AH589" s="15">
        <v>0.19361496166855754</v>
      </c>
      <c r="AI589" s="15">
        <v>0.19482094408779399</v>
      </c>
      <c r="AJ589" s="41">
        <f t="shared" si="18"/>
        <v>1668.6</v>
      </c>
      <c r="AK589" s="44">
        <f t="shared" si="19"/>
        <v>0.13910561370123692</v>
      </c>
      <c r="AL589" s="10"/>
      <c r="AM589" s="10"/>
    </row>
    <row r="590" spans="1:39" s="16" customFormat="1" ht="19" customHeight="1">
      <c r="A590" s="29" t="s">
        <v>651</v>
      </c>
      <c r="B590" s="29" t="s">
        <v>1368</v>
      </c>
      <c r="C590" s="29"/>
      <c r="D590" s="29"/>
      <c r="E590" s="36" t="s">
        <v>234</v>
      </c>
      <c r="F590" s="36" t="s">
        <v>249</v>
      </c>
      <c r="G590" s="31" t="s">
        <v>439</v>
      </c>
      <c r="H590" s="35">
        <v>2.5999999999999999E-2</v>
      </c>
      <c r="I590" s="35">
        <v>12.21</v>
      </c>
      <c r="J590" s="13">
        <v>146.4</v>
      </c>
      <c r="K590" s="13">
        <v>582.79999999999995</v>
      </c>
      <c r="L590" s="13">
        <v>104.3</v>
      </c>
      <c r="M590" s="35">
        <v>132.4</v>
      </c>
      <c r="N590" s="13">
        <v>623.4</v>
      </c>
      <c r="O590" s="13">
        <v>245.4</v>
      </c>
      <c r="P590" s="13">
        <v>14.39</v>
      </c>
      <c r="Q590" s="13">
        <v>304.39999999999998</v>
      </c>
      <c r="R590" s="13">
        <v>52.01</v>
      </c>
      <c r="S590" s="13">
        <v>310.60000000000002</v>
      </c>
      <c r="T590" s="13">
        <v>1101</v>
      </c>
      <c r="U590" s="13">
        <v>47.65</v>
      </c>
      <c r="V590" s="13">
        <v>95.8</v>
      </c>
      <c r="W590" s="13">
        <v>7.65</v>
      </c>
      <c r="X590" s="13">
        <v>27.24</v>
      </c>
      <c r="Y590" s="13">
        <v>2.8330000000000002</v>
      </c>
      <c r="Z590" s="35">
        <v>1352</v>
      </c>
      <c r="AA590" s="13"/>
      <c r="AB590" s="13"/>
      <c r="AC590" s="14">
        <v>1658.1081081081081</v>
      </c>
      <c r="AD590" s="14">
        <v>255.59502664298404</v>
      </c>
      <c r="AE590" s="14">
        <v>1529.64824120603</v>
      </c>
      <c r="AF590" s="14">
        <v>1440.7202216066482</v>
      </c>
      <c r="AG590" s="15">
        <v>0.16036045333136995</v>
      </c>
      <c r="AH590" s="15">
        <v>0.16049081842322296</v>
      </c>
      <c r="AI590" s="15">
        <v>0.16154144131494941</v>
      </c>
      <c r="AJ590" s="41">
        <f t="shared" si="18"/>
        <v>1456.8999999999999</v>
      </c>
      <c r="AK590" s="44">
        <f t="shared" si="19"/>
        <v>0.12025431425976385</v>
      </c>
      <c r="AL590" s="10"/>
      <c r="AM590" s="10"/>
    </row>
    <row r="591" spans="1:39" s="16" customFormat="1" ht="19" customHeight="1">
      <c r="A591" s="29" t="s">
        <v>652</v>
      </c>
      <c r="B591" s="29" t="s">
        <v>1368</v>
      </c>
      <c r="C591" s="29"/>
      <c r="D591" s="29"/>
      <c r="E591" s="36" t="s">
        <v>234</v>
      </c>
      <c r="F591" s="36" t="s">
        <v>249</v>
      </c>
      <c r="G591" s="31" t="s">
        <v>439</v>
      </c>
      <c r="H591" s="35">
        <v>0.13400000000000001</v>
      </c>
      <c r="I591" s="35">
        <v>12.07</v>
      </c>
      <c r="J591" s="13">
        <v>41.61</v>
      </c>
      <c r="K591" s="13">
        <v>185.3</v>
      </c>
      <c r="L591" s="13">
        <v>37.83</v>
      </c>
      <c r="M591" s="35">
        <v>140.19999999999999</v>
      </c>
      <c r="N591" s="13">
        <v>255</v>
      </c>
      <c r="O591" s="13">
        <v>133.69999999999999</v>
      </c>
      <c r="P591" s="13">
        <v>19.260000000000002</v>
      </c>
      <c r="Q591" s="13">
        <v>197.1</v>
      </c>
      <c r="R591" s="13">
        <v>37.03</v>
      </c>
      <c r="S591" s="13">
        <v>232.1</v>
      </c>
      <c r="T591" s="13">
        <v>933</v>
      </c>
      <c r="U591" s="13">
        <v>37.229999999999997</v>
      </c>
      <c r="V591" s="13">
        <v>82.6</v>
      </c>
      <c r="W591" s="13">
        <v>7.6</v>
      </c>
      <c r="X591" s="13">
        <v>32.39</v>
      </c>
      <c r="Y591" s="13">
        <v>3.871</v>
      </c>
      <c r="Z591" s="35">
        <v>1474</v>
      </c>
      <c r="AA591" s="13"/>
      <c r="AB591" s="13"/>
      <c r="AC591" s="14">
        <v>903.37837837837833</v>
      </c>
      <c r="AD591" s="14">
        <v>342.09591474245121</v>
      </c>
      <c r="AE591" s="14">
        <v>990.45226130653259</v>
      </c>
      <c r="AF591" s="14">
        <v>1025.7617728531857</v>
      </c>
      <c r="AG591" s="15">
        <v>0.36127403113445028</v>
      </c>
      <c r="AH591" s="15">
        <v>0.36165649421538687</v>
      </c>
      <c r="AI591" s="15">
        <v>0.36298269736460836</v>
      </c>
      <c r="AJ591" s="41">
        <f t="shared" si="18"/>
        <v>519.74</v>
      </c>
      <c r="AK591" s="44">
        <f t="shared" si="19"/>
        <v>0.15026795284030009</v>
      </c>
      <c r="AL591" s="10"/>
      <c r="AM591" s="10"/>
    </row>
    <row r="592" spans="1:39" s="16" customFormat="1" ht="19" customHeight="1">
      <c r="A592" s="29" t="s">
        <v>653</v>
      </c>
      <c r="B592" s="29" t="s">
        <v>1368</v>
      </c>
      <c r="C592" s="29"/>
      <c r="D592" s="29"/>
      <c r="E592" s="36" t="s">
        <v>234</v>
      </c>
      <c r="F592" s="36" t="s">
        <v>249</v>
      </c>
      <c r="G592" s="31" t="s">
        <v>439</v>
      </c>
      <c r="H592" s="35">
        <v>0.128</v>
      </c>
      <c r="I592" s="35">
        <v>7.85</v>
      </c>
      <c r="J592" s="13">
        <v>46.31</v>
      </c>
      <c r="K592" s="13">
        <v>252.8</v>
      </c>
      <c r="L592" s="13">
        <v>54.5</v>
      </c>
      <c r="M592" s="35">
        <v>138.1</v>
      </c>
      <c r="N592" s="13">
        <v>380.2</v>
      </c>
      <c r="O592" s="13">
        <v>201.9</v>
      </c>
      <c r="P592" s="13">
        <v>14.23</v>
      </c>
      <c r="Q592" s="13">
        <v>260.3</v>
      </c>
      <c r="R592" s="13">
        <v>47.61</v>
      </c>
      <c r="S592" s="13">
        <v>268.2</v>
      </c>
      <c r="T592" s="13">
        <v>897</v>
      </c>
      <c r="U592" s="13">
        <v>38.44</v>
      </c>
      <c r="V592" s="13">
        <v>78.599999999999994</v>
      </c>
      <c r="W592" s="13">
        <v>6.6070000000000002</v>
      </c>
      <c r="X592" s="13">
        <v>26.15</v>
      </c>
      <c r="Y592" s="13">
        <v>2.75</v>
      </c>
      <c r="Z592" s="35">
        <v>1346</v>
      </c>
      <c r="AA592" s="13"/>
      <c r="AB592" s="13"/>
      <c r="AC592" s="14">
        <v>1364.1891891891894</v>
      </c>
      <c r="AD592" s="14">
        <v>252.75310834813502</v>
      </c>
      <c r="AE592" s="14">
        <v>1308.0402010050252</v>
      </c>
      <c r="AF592" s="14">
        <v>1318.8365650969529</v>
      </c>
      <c r="AG592" s="15">
        <v>0.18917021815239088</v>
      </c>
      <c r="AH592" s="15">
        <v>0.18921199185806675</v>
      </c>
      <c r="AI592" s="15">
        <v>0.18737706986383806</v>
      </c>
      <c r="AJ592" s="41">
        <f t="shared" si="18"/>
        <v>733.81</v>
      </c>
      <c r="AK592" s="44">
        <f t="shared" si="19"/>
        <v>0.15395763656633221</v>
      </c>
      <c r="AL592" s="10"/>
      <c r="AM592" s="10"/>
    </row>
    <row r="593" spans="1:39" s="16" customFormat="1" ht="19" customHeight="1">
      <c r="A593" s="29" t="s">
        <v>654</v>
      </c>
      <c r="B593" s="29" t="s">
        <v>1368</v>
      </c>
      <c r="C593" s="29"/>
      <c r="D593" s="29"/>
      <c r="E593" s="36" t="s">
        <v>234</v>
      </c>
      <c r="F593" s="36" t="s">
        <v>249</v>
      </c>
      <c r="G593" s="31" t="s">
        <v>439</v>
      </c>
      <c r="H593" s="35">
        <v>0.35499999999999998</v>
      </c>
      <c r="I593" s="35">
        <v>20.8</v>
      </c>
      <c r="J593" s="13">
        <v>149</v>
      </c>
      <c r="K593" s="13">
        <v>574.70000000000005</v>
      </c>
      <c r="L593" s="13">
        <v>102.6</v>
      </c>
      <c r="M593" s="35">
        <v>140.30000000000001</v>
      </c>
      <c r="N593" s="13">
        <v>635</v>
      </c>
      <c r="O593" s="13">
        <v>289.7</v>
      </c>
      <c r="P593" s="13">
        <v>19.510000000000002</v>
      </c>
      <c r="Q593" s="13">
        <v>437</v>
      </c>
      <c r="R593" s="13">
        <v>89.5</v>
      </c>
      <c r="S593" s="13">
        <v>607</v>
      </c>
      <c r="T593" s="13">
        <v>2790</v>
      </c>
      <c r="U593" s="13">
        <v>103.9</v>
      </c>
      <c r="V593" s="13">
        <v>245</v>
      </c>
      <c r="W593" s="13">
        <v>22.6</v>
      </c>
      <c r="X593" s="13">
        <v>104.2</v>
      </c>
      <c r="Y593" s="13">
        <v>12.7</v>
      </c>
      <c r="Z593" s="35">
        <v>1247</v>
      </c>
      <c r="AA593" s="13"/>
      <c r="AB593" s="13"/>
      <c r="AC593" s="14">
        <v>1957.4324324324325</v>
      </c>
      <c r="AD593" s="14">
        <v>346.53641207815281</v>
      </c>
      <c r="AE593" s="14">
        <v>2195.9798994974872</v>
      </c>
      <c r="AF593" s="14">
        <v>2479.2243767313021</v>
      </c>
      <c r="AG593" s="15">
        <v>0.16686829256710548</v>
      </c>
      <c r="AH593" s="15">
        <v>0.16714419747413692</v>
      </c>
      <c r="AI593" s="15">
        <v>0.16362603646170729</v>
      </c>
      <c r="AJ593" s="41">
        <f t="shared" si="18"/>
        <v>1461.3000000000002</v>
      </c>
      <c r="AK593" s="44">
        <f t="shared" si="19"/>
        <v>5.0286738351254481E-2</v>
      </c>
      <c r="AL593" s="10"/>
      <c r="AM593" s="10"/>
    </row>
    <row r="594" spans="1:39" s="16" customFormat="1" ht="19" customHeight="1">
      <c r="A594" s="29" t="s">
        <v>655</v>
      </c>
      <c r="B594" s="29" t="s">
        <v>1368</v>
      </c>
      <c r="C594" s="29"/>
      <c r="D594" s="29"/>
      <c r="E594" s="36" t="s">
        <v>234</v>
      </c>
      <c r="F594" s="36" t="s">
        <v>249</v>
      </c>
      <c r="G594" s="31" t="s">
        <v>439</v>
      </c>
      <c r="H594" s="35">
        <v>7.8E-2</v>
      </c>
      <c r="I594" s="35">
        <v>11.3</v>
      </c>
      <c r="J594" s="13">
        <v>34.950000000000003</v>
      </c>
      <c r="K594" s="13">
        <v>181.5</v>
      </c>
      <c r="L594" s="13">
        <v>40.56</v>
      </c>
      <c r="M594" s="35">
        <v>145.30000000000001</v>
      </c>
      <c r="N594" s="13">
        <v>290.3</v>
      </c>
      <c r="O594" s="13">
        <v>164</v>
      </c>
      <c r="P594" s="13">
        <v>18.55</v>
      </c>
      <c r="Q594" s="13">
        <v>240.6</v>
      </c>
      <c r="R594" s="13">
        <v>46.57</v>
      </c>
      <c r="S594" s="13">
        <v>290.89999999999998</v>
      </c>
      <c r="T594" s="13">
        <v>1066</v>
      </c>
      <c r="U594" s="13">
        <v>45.03</v>
      </c>
      <c r="V594" s="13">
        <v>101.6</v>
      </c>
      <c r="W594" s="13">
        <v>9.06</v>
      </c>
      <c r="X594" s="13">
        <v>38.25</v>
      </c>
      <c r="Y594" s="13">
        <v>4.3600000000000003</v>
      </c>
      <c r="Z594" s="35">
        <v>1313</v>
      </c>
      <c r="AA594" s="13"/>
      <c r="AB594" s="13"/>
      <c r="AC594" s="14">
        <v>1108.1081081081081</v>
      </c>
      <c r="AD594" s="14">
        <v>329.48490230905867</v>
      </c>
      <c r="AE594" s="14">
        <v>1209.0452261306532</v>
      </c>
      <c r="AF594" s="14">
        <v>1290.027700831025</v>
      </c>
      <c r="AG594" s="15">
        <v>0.28438765569849711</v>
      </c>
      <c r="AH594" s="15">
        <v>0.28465785959524309</v>
      </c>
      <c r="AI594" s="15">
        <v>0.2826491946039747</v>
      </c>
      <c r="AJ594" s="41">
        <f t="shared" si="18"/>
        <v>547.30999999999995</v>
      </c>
      <c r="AK594" s="44">
        <f t="shared" si="19"/>
        <v>0.13630393996247656</v>
      </c>
      <c r="AL594" s="10"/>
      <c r="AM594" s="10"/>
    </row>
    <row r="595" spans="1:39" s="16" customFormat="1" ht="19" customHeight="1">
      <c r="A595" s="29" t="s">
        <v>656</v>
      </c>
      <c r="B595" s="29" t="s">
        <v>1368</v>
      </c>
      <c r="C595" s="29"/>
      <c r="D595" s="29"/>
      <c r="E595" s="36" t="s">
        <v>234</v>
      </c>
      <c r="F595" s="36" t="s">
        <v>249</v>
      </c>
      <c r="G595" s="31" t="s">
        <v>439</v>
      </c>
      <c r="H595" s="35">
        <v>3.37</v>
      </c>
      <c r="I595" s="35">
        <v>54.4</v>
      </c>
      <c r="J595" s="13">
        <v>299.60000000000002</v>
      </c>
      <c r="K595" s="13">
        <v>1078</v>
      </c>
      <c r="L595" s="13">
        <v>171.4</v>
      </c>
      <c r="M595" s="35">
        <v>177.7</v>
      </c>
      <c r="N595" s="13">
        <v>992</v>
      </c>
      <c r="O595" s="13">
        <v>387.9</v>
      </c>
      <c r="P595" s="13">
        <v>13.12</v>
      </c>
      <c r="Q595" s="13">
        <v>468</v>
      </c>
      <c r="R595" s="13">
        <v>75.400000000000006</v>
      </c>
      <c r="S595" s="13">
        <v>364.4</v>
      </c>
      <c r="T595" s="13">
        <v>1144</v>
      </c>
      <c r="U595" s="13">
        <v>39.11</v>
      </c>
      <c r="V595" s="13">
        <v>63</v>
      </c>
      <c r="W595" s="13">
        <v>4.7</v>
      </c>
      <c r="X595" s="13">
        <v>18.71</v>
      </c>
      <c r="Y595" s="13">
        <v>1.849</v>
      </c>
      <c r="Z595" s="35">
        <v>3082</v>
      </c>
      <c r="AA595" s="13"/>
      <c r="AB595" s="13"/>
      <c r="AC595" s="14">
        <v>2620.9459459459458</v>
      </c>
      <c r="AD595" s="14">
        <v>233.0373001776199</v>
      </c>
      <c r="AE595" s="14">
        <v>2351.7587939698492</v>
      </c>
      <c r="AF595" s="14">
        <v>2088.6426592797784</v>
      </c>
      <c r="AG595" s="15">
        <v>9.3726578337553199E-2</v>
      </c>
      <c r="AH595" s="15">
        <v>9.3864207936551827E-2</v>
      </c>
      <c r="AI595" s="15">
        <v>9.5902961044174673E-2</v>
      </c>
      <c r="AJ595" s="41">
        <f t="shared" si="18"/>
        <v>2541</v>
      </c>
      <c r="AK595" s="44">
        <f t="shared" si="19"/>
        <v>0.15533216783216783</v>
      </c>
      <c r="AL595" s="10"/>
      <c r="AM595" s="10"/>
    </row>
    <row r="596" spans="1:39" s="16" customFormat="1" ht="19" customHeight="1">
      <c r="A596" s="29" t="s">
        <v>657</v>
      </c>
      <c r="B596" s="29" t="s">
        <v>1368</v>
      </c>
      <c r="C596" s="29"/>
      <c r="D596" s="29"/>
      <c r="E596" s="36" t="s">
        <v>234</v>
      </c>
      <c r="F596" s="36" t="s">
        <v>249</v>
      </c>
      <c r="G596" s="31" t="s">
        <v>439</v>
      </c>
      <c r="H596" s="35">
        <v>1.9930000000000001</v>
      </c>
      <c r="I596" s="35">
        <v>46.87</v>
      </c>
      <c r="J596" s="13">
        <v>125.4</v>
      </c>
      <c r="K596" s="13">
        <v>541</v>
      </c>
      <c r="L596" s="13">
        <v>103.8</v>
      </c>
      <c r="M596" s="35">
        <v>179.3</v>
      </c>
      <c r="N596" s="13">
        <v>644</v>
      </c>
      <c r="O596" s="13">
        <v>295.89999999999998</v>
      </c>
      <c r="P596" s="13">
        <v>9.35</v>
      </c>
      <c r="Q596" s="13">
        <v>385.6</v>
      </c>
      <c r="R596" s="13">
        <v>65.22</v>
      </c>
      <c r="S596" s="13">
        <v>338.2</v>
      </c>
      <c r="T596" s="13">
        <v>1128</v>
      </c>
      <c r="U596" s="13">
        <v>40.76</v>
      </c>
      <c r="V596" s="13">
        <v>74.599999999999994</v>
      </c>
      <c r="W596" s="13">
        <v>6.03</v>
      </c>
      <c r="X596" s="13">
        <v>23.97</v>
      </c>
      <c r="Y596" s="13">
        <v>2.3029999999999999</v>
      </c>
      <c r="Z596" s="35">
        <v>3005</v>
      </c>
      <c r="AA596" s="13"/>
      <c r="AB596" s="13"/>
      <c r="AC596" s="14">
        <v>1999.3243243243244</v>
      </c>
      <c r="AD596" s="14">
        <v>166.0746003552398</v>
      </c>
      <c r="AE596" s="14">
        <v>1937.6884422110552</v>
      </c>
      <c r="AF596" s="14">
        <v>1806.6481994459834</v>
      </c>
      <c r="AG596" s="15">
        <v>8.4365792139093079E-2</v>
      </c>
      <c r="AH596" s="15">
        <v>8.4376132836262149E-2</v>
      </c>
      <c r="AI596" s="15">
        <v>8.5919126343911176E-2</v>
      </c>
      <c r="AJ596" s="41">
        <f t="shared" si="18"/>
        <v>1414.1999999999998</v>
      </c>
      <c r="AK596" s="44">
        <f t="shared" si="19"/>
        <v>0.15895390070921986</v>
      </c>
      <c r="AL596" s="10"/>
      <c r="AM596" s="10"/>
    </row>
    <row r="597" spans="1:39" s="16" customFormat="1" ht="19" customHeight="1">
      <c r="A597" s="29" t="s">
        <v>658</v>
      </c>
      <c r="B597" s="29" t="s">
        <v>1368</v>
      </c>
      <c r="C597" s="29"/>
      <c r="D597" s="29"/>
      <c r="E597" s="36" t="s">
        <v>234</v>
      </c>
      <c r="F597" s="36" t="s">
        <v>249</v>
      </c>
      <c r="G597" s="31" t="s">
        <v>439</v>
      </c>
      <c r="H597" s="35">
        <v>1.831</v>
      </c>
      <c r="I597" s="35">
        <v>56.93</v>
      </c>
      <c r="J597" s="13">
        <v>207.4</v>
      </c>
      <c r="K597" s="13">
        <v>718</v>
      </c>
      <c r="L597" s="13">
        <v>117.8</v>
      </c>
      <c r="M597" s="35">
        <v>179.3</v>
      </c>
      <c r="N597" s="13">
        <v>639.9</v>
      </c>
      <c r="O597" s="13">
        <v>243</v>
      </c>
      <c r="P597" s="13">
        <v>12.46</v>
      </c>
      <c r="Q597" s="13">
        <v>290.2</v>
      </c>
      <c r="R597" s="13">
        <v>53.27</v>
      </c>
      <c r="S597" s="13">
        <v>342.6</v>
      </c>
      <c r="T597" s="13">
        <v>1307</v>
      </c>
      <c r="U597" s="13">
        <v>53.1</v>
      </c>
      <c r="V597" s="13">
        <v>131</v>
      </c>
      <c r="W597" s="13">
        <v>13.28</v>
      </c>
      <c r="X597" s="13">
        <v>62.86</v>
      </c>
      <c r="Y597" s="13">
        <v>6.81</v>
      </c>
      <c r="Z597" s="35">
        <v>3388</v>
      </c>
      <c r="AA597" s="13"/>
      <c r="AB597" s="13"/>
      <c r="AC597" s="14">
        <v>1641.8918918918919</v>
      </c>
      <c r="AD597" s="14">
        <v>221.31438721136772</v>
      </c>
      <c r="AE597" s="14">
        <v>1458.291457286432</v>
      </c>
      <c r="AF597" s="14">
        <v>1475.6232686980611</v>
      </c>
      <c r="AG597" s="15">
        <v>0.14277503120583185</v>
      </c>
      <c r="AH597" s="15">
        <v>0.14302606902865253</v>
      </c>
      <c r="AI597" s="15">
        <v>0.1396758889419823</v>
      </c>
      <c r="AJ597" s="41">
        <f t="shared" si="18"/>
        <v>1683.1</v>
      </c>
      <c r="AK597" s="44">
        <f t="shared" si="19"/>
        <v>0.13718439173680186</v>
      </c>
      <c r="AL597" s="10"/>
      <c r="AM597" s="10"/>
    </row>
    <row r="598" spans="1:39" s="16" customFormat="1" ht="19" customHeight="1">
      <c r="A598" s="29" t="s">
        <v>659</v>
      </c>
      <c r="B598" s="29" t="s">
        <v>1368</v>
      </c>
      <c r="C598" s="29"/>
      <c r="D598" s="29"/>
      <c r="E598" s="36" t="s">
        <v>234</v>
      </c>
      <c r="F598" s="36" t="s">
        <v>249</v>
      </c>
      <c r="G598" s="31" t="s">
        <v>439</v>
      </c>
      <c r="H598" s="35">
        <v>2.976</v>
      </c>
      <c r="I598" s="35">
        <v>50.68</v>
      </c>
      <c r="J598" s="13">
        <v>200.3</v>
      </c>
      <c r="K598" s="13">
        <v>753</v>
      </c>
      <c r="L598" s="13">
        <v>125.5</v>
      </c>
      <c r="M598" s="35">
        <v>176.3</v>
      </c>
      <c r="N598" s="13">
        <v>742.1</v>
      </c>
      <c r="O598" s="13">
        <v>319.39999999999998</v>
      </c>
      <c r="P598" s="13">
        <v>10.029999999999999</v>
      </c>
      <c r="Q598" s="13">
        <v>456.4</v>
      </c>
      <c r="R598" s="13">
        <v>89.5</v>
      </c>
      <c r="S598" s="13">
        <v>579.29999999999995</v>
      </c>
      <c r="T598" s="13">
        <v>2441</v>
      </c>
      <c r="U598" s="13">
        <v>87.2</v>
      </c>
      <c r="V598" s="13">
        <v>194.3</v>
      </c>
      <c r="W598" s="13">
        <v>17.440000000000001</v>
      </c>
      <c r="X598" s="13">
        <v>73.900000000000006</v>
      </c>
      <c r="Y598" s="13">
        <v>7.99</v>
      </c>
      <c r="Z598" s="35">
        <v>3781</v>
      </c>
      <c r="AA598" s="13"/>
      <c r="AB598" s="13"/>
      <c r="AC598" s="14">
        <v>2158.1081081081079</v>
      </c>
      <c r="AD598" s="14">
        <v>178.15275310834815</v>
      </c>
      <c r="AE598" s="14">
        <v>2293.4673366834168</v>
      </c>
      <c r="AF598" s="14">
        <v>2479.2243767313021</v>
      </c>
      <c r="AG598" s="15">
        <v>8.0040316206161199E-2</v>
      </c>
      <c r="AH598" s="15">
        <v>8.0077344043758852E-2</v>
      </c>
      <c r="AI598" s="15">
        <v>7.8820368890859902E-2</v>
      </c>
      <c r="AJ598" s="41">
        <f t="shared" si="18"/>
        <v>1820.9</v>
      </c>
      <c r="AK598" s="44">
        <f t="shared" si="19"/>
        <v>7.2224498156493247E-2</v>
      </c>
      <c r="AL598" s="10"/>
      <c r="AM598" s="10"/>
    </row>
    <row r="599" spans="1:39" s="16" customFormat="1" ht="19" customHeight="1">
      <c r="A599" s="29" t="s">
        <v>660</v>
      </c>
      <c r="B599" s="29" t="s">
        <v>1368</v>
      </c>
      <c r="C599" s="29"/>
      <c r="D599" s="29"/>
      <c r="E599" s="36" t="s">
        <v>234</v>
      </c>
      <c r="F599" s="36" t="s">
        <v>249</v>
      </c>
      <c r="G599" s="31" t="s">
        <v>439</v>
      </c>
      <c r="H599" s="35">
        <v>0.438</v>
      </c>
      <c r="I599" s="35">
        <v>61.37</v>
      </c>
      <c r="J599" s="13">
        <v>352.1</v>
      </c>
      <c r="K599" s="13">
        <v>1191</v>
      </c>
      <c r="L599" s="13">
        <v>181.6</v>
      </c>
      <c r="M599" s="35">
        <v>176.5</v>
      </c>
      <c r="N599" s="13">
        <v>993</v>
      </c>
      <c r="O599" s="13">
        <v>346</v>
      </c>
      <c r="P599" s="13">
        <v>10.98</v>
      </c>
      <c r="Q599" s="13">
        <v>404.3</v>
      </c>
      <c r="R599" s="13">
        <v>69.930000000000007</v>
      </c>
      <c r="S599" s="13">
        <v>410</v>
      </c>
      <c r="T599" s="13">
        <v>1439</v>
      </c>
      <c r="U599" s="13">
        <v>56.21</v>
      </c>
      <c r="V599" s="13">
        <v>113.9</v>
      </c>
      <c r="W599" s="13">
        <v>9.1999999999999993</v>
      </c>
      <c r="X599" s="13">
        <v>35.93</v>
      </c>
      <c r="Y599" s="13">
        <v>3.496</v>
      </c>
      <c r="Z599" s="35">
        <v>4141</v>
      </c>
      <c r="AA599" s="13"/>
      <c r="AB599" s="13"/>
      <c r="AC599" s="14">
        <v>2337.8378378378379</v>
      </c>
      <c r="AD599" s="14">
        <v>195.02664298401425</v>
      </c>
      <c r="AE599" s="14">
        <v>2031.6582914572864</v>
      </c>
      <c r="AF599" s="14">
        <v>1937.1191135734073</v>
      </c>
      <c r="AG599" s="15">
        <v>8.9267337566208305E-2</v>
      </c>
      <c r="AH599" s="15">
        <v>8.9487303359278625E-2</v>
      </c>
      <c r="AI599" s="15">
        <v>8.8817575646951641E-2</v>
      </c>
      <c r="AJ599" s="41">
        <f t="shared" si="18"/>
        <v>2717.7</v>
      </c>
      <c r="AK599" s="44">
        <f t="shared" si="19"/>
        <v>0.1226546212647672</v>
      </c>
      <c r="AL599" s="10"/>
      <c r="AM599" s="10"/>
    </row>
    <row r="600" spans="1:39" s="16" customFormat="1" ht="19" customHeight="1">
      <c r="A600" s="29" t="s">
        <v>661</v>
      </c>
      <c r="B600" s="29" t="s">
        <v>1368</v>
      </c>
      <c r="C600" s="29"/>
      <c r="D600" s="29"/>
      <c r="E600" s="36" t="s">
        <v>234</v>
      </c>
      <c r="F600" s="36" t="s">
        <v>249</v>
      </c>
      <c r="G600" s="31" t="s">
        <v>439</v>
      </c>
      <c r="H600" s="35">
        <v>0.57899999999999996</v>
      </c>
      <c r="I600" s="35">
        <v>35.56</v>
      </c>
      <c r="J600" s="13">
        <v>284.10000000000002</v>
      </c>
      <c r="K600" s="13">
        <v>972</v>
      </c>
      <c r="L600" s="13">
        <v>146.4</v>
      </c>
      <c r="M600" s="35">
        <v>171.9</v>
      </c>
      <c r="N600" s="13">
        <v>792</v>
      </c>
      <c r="O600" s="13">
        <v>273.60000000000002</v>
      </c>
      <c r="P600" s="13">
        <v>10.36</v>
      </c>
      <c r="Q600" s="13">
        <v>297.5</v>
      </c>
      <c r="R600" s="13">
        <v>53.03</v>
      </c>
      <c r="S600" s="13">
        <v>325.60000000000002</v>
      </c>
      <c r="T600" s="13">
        <v>1145</v>
      </c>
      <c r="U600" s="13">
        <v>49.1</v>
      </c>
      <c r="V600" s="13">
        <v>116.2</v>
      </c>
      <c r="W600" s="13">
        <v>11.3</v>
      </c>
      <c r="X600" s="13">
        <v>50.31</v>
      </c>
      <c r="Y600" s="13">
        <v>5.34</v>
      </c>
      <c r="Z600" s="35">
        <v>3366</v>
      </c>
      <c r="AA600" s="13"/>
      <c r="AB600" s="13"/>
      <c r="AC600" s="14">
        <v>1848.648648648649</v>
      </c>
      <c r="AD600" s="14">
        <v>184.01420959147424</v>
      </c>
      <c r="AE600" s="14">
        <v>1494.9748743718592</v>
      </c>
      <c r="AF600" s="14">
        <v>1468.9750692520777</v>
      </c>
      <c r="AG600" s="15">
        <v>0.1100687372992534</v>
      </c>
      <c r="AH600" s="15">
        <v>0.11068970369960006</v>
      </c>
      <c r="AI600" s="15">
        <v>0.10746745578172558</v>
      </c>
      <c r="AJ600" s="41">
        <f t="shared" si="18"/>
        <v>2194.5</v>
      </c>
      <c r="AK600" s="44">
        <f t="shared" si="19"/>
        <v>0.15013100436681223</v>
      </c>
      <c r="AL600" s="10"/>
      <c r="AM600" s="10"/>
    </row>
    <row r="601" spans="1:39" s="16" customFormat="1" ht="19" customHeight="1">
      <c r="A601" s="29" t="s">
        <v>662</v>
      </c>
      <c r="B601" s="29" t="s">
        <v>1368</v>
      </c>
      <c r="C601" s="29"/>
      <c r="D601" s="29"/>
      <c r="E601" s="36" t="s">
        <v>234</v>
      </c>
      <c r="F601" s="36" t="s">
        <v>249</v>
      </c>
      <c r="G601" s="31" t="s">
        <v>439</v>
      </c>
      <c r="H601" s="35">
        <v>3.49E-2</v>
      </c>
      <c r="I601" s="35">
        <v>17.579999999999998</v>
      </c>
      <c r="J601" s="13">
        <v>90.2</v>
      </c>
      <c r="K601" s="13">
        <v>388.4</v>
      </c>
      <c r="L601" s="13">
        <v>76.900000000000006</v>
      </c>
      <c r="M601" s="35">
        <v>126</v>
      </c>
      <c r="N601" s="13">
        <v>503.5</v>
      </c>
      <c r="O601" s="13">
        <v>244.3</v>
      </c>
      <c r="P601" s="13">
        <v>12.96</v>
      </c>
      <c r="Q601" s="13">
        <v>380.1</v>
      </c>
      <c r="R601" s="13">
        <v>80.599999999999994</v>
      </c>
      <c r="S601" s="13">
        <v>576.6</v>
      </c>
      <c r="T601" s="13">
        <v>2641</v>
      </c>
      <c r="U601" s="13">
        <v>99.8</v>
      </c>
      <c r="V601" s="13">
        <v>253.8</v>
      </c>
      <c r="W601" s="13">
        <v>24.83</v>
      </c>
      <c r="X601" s="13">
        <v>111.8</v>
      </c>
      <c r="Y601" s="13">
        <v>13</v>
      </c>
      <c r="Z601" s="35">
        <v>1106</v>
      </c>
      <c r="AA601" s="13"/>
      <c r="AB601" s="13"/>
      <c r="AC601" s="14">
        <v>1650.6756756756758</v>
      </c>
      <c r="AD601" s="14">
        <v>230.1953818827709</v>
      </c>
      <c r="AE601" s="14">
        <v>1910.0502512562814</v>
      </c>
      <c r="AF601" s="14">
        <v>2232.6869806094182</v>
      </c>
      <c r="AG601" s="15">
        <v>0.12929688305503204</v>
      </c>
      <c r="AH601" s="15">
        <v>0.12964128715036985</v>
      </c>
      <c r="AI601" s="15">
        <v>0.12609934362805722</v>
      </c>
      <c r="AJ601" s="41">
        <f t="shared" si="18"/>
        <v>1059</v>
      </c>
      <c r="AK601" s="44">
        <f t="shared" si="19"/>
        <v>4.7709201060204466E-2</v>
      </c>
      <c r="AL601" s="10"/>
      <c r="AM601" s="10"/>
    </row>
    <row r="602" spans="1:39" s="16" customFormat="1" ht="19" customHeight="1">
      <c r="A602" s="29" t="s">
        <v>663</v>
      </c>
      <c r="B602" s="29" t="s">
        <v>1368</v>
      </c>
      <c r="C602" s="29"/>
      <c r="D602" s="29"/>
      <c r="E602" s="36" t="s">
        <v>234</v>
      </c>
      <c r="F602" s="36" t="s">
        <v>249</v>
      </c>
      <c r="G602" s="31" t="s">
        <v>439</v>
      </c>
      <c r="H602" s="35">
        <v>0.20599999999999999</v>
      </c>
      <c r="I602" s="35">
        <v>20.68</v>
      </c>
      <c r="J602" s="13">
        <v>245.5</v>
      </c>
      <c r="K602" s="13">
        <v>875</v>
      </c>
      <c r="L602" s="13">
        <v>141.69999999999999</v>
      </c>
      <c r="M602" s="35">
        <v>137.4</v>
      </c>
      <c r="N602" s="13">
        <v>804</v>
      </c>
      <c r="O602" s="13">
        <v>283.2</v>
      </c>
      <c r="P602" s="13">
        <v>18.46</v>
      </c>
      <c r="Q602" s="13">
        <v>295.3</v>
      </c>
      <c r="R602" s="13">
        <v>50.1</v>
      </c>
      <c r="S602" s="13">
        <v>299.2</v>
      </c>
      <c r="T602" s="13">
        <v>988</v>
      </c>
      <c r="U602" s="13">
        <v>44.28</v>
      </c>
      <c r="V602" s="13">
        <v>107.3</v>
      </c>
      <c r="W602" s="13">
        <v>10.06</v>
      </c>
      <c r="X602" s="13">
        <v>43.03</v>
      </c>
      <c r="Y602" s="13">
        <v>4.6950000000000003</v>
      </c>
      <c r="Z602" s="35">
        <v>1380</v>
      </c>
      <c r="AA602" s="13"/>
      <c r="AB602" s="13"/>
      <c r="AC602" s="14">
        <v>1913.5135135135135</v>
      </c>
      <c r="AD602" s="14">
        <v>327.88632326820607</v>
      </c>
      <c r="AE602" s="14">
        <v>1483.9195979899498</v>
      </c>
      <c r="AF602" s="14">
        <v>1387.8116343490306</v>
      </c>
      <c r="AG602" s="15">
        <v>0.19302003159856579</v>
      </c>
      <c r="AH602" s="15">
        <v>0.19458185967289332</v>
      </c>
      <c r="AI602" s="15">
        <v>0.19071818502014443</v>
      </c>
      <c r="AJ602" s="41">
        <f t="shared" si="18"/>
        <v>2066.1999999999998</v>
      </c>
      <c r="AK602" s="44">
        <f t="shared" si="19"/>
        <v>0.13906882591093117</v>
      </c>
      <c r="AL602" s="10"/>
      <c r="AM602" s="10"/>
    </row>
    <row r="603" spans="1:39" s="16" customFormat="1" ht="19" customHeight="1">
      <c r="A603" s="29" t="s">
        <v>664</v>
      </c>
      <c r="B603" s="29" t="s">
        <v>1368</v>
      </c>
      <c r="C603" s="29"/>
      <c r="D603" s="29"/>
      <c r="E603" s="36" t="s">
        <v>234</v>
      </c>
      <c r="F603" s="36" t="s">
        <v>249</v>
      </c>
      <c r="G603" s="31" t="s">
        <v>439</v>
      </c>
      <c r="H603" s="35">
        <v>0.20899999999999999</v>
      </c>
      <c r="I603" s="35">
        <v>27.44</v>
      </c>
      <c r="J603" s="13">
        <v>301.5</v>
      </c>
      <c r="K603" s="13">
        <v>1038</v>
      </c>
      <c r="L603" s="13">
        <v>160.1</v>
      </c>
      <c r="M603" s="35">
        <v>173.2</v>
      </c>
      <c r="N603" s="13">
        <v>883</v>
      </c>
      <c r="O603" s="13">
        <v>318.39999999999998</v>
      </c>
      <c r="P603" s="13">
        <v>10</v>
      </c>
      <c r="Q603" s="13">
        <v>376.5</v>
      </c>
      <c r="R603" s="13">
        <v>67.63</v>
      </c>
      <c r="S603" s="13">
        <v>432.3</v>
      </c>
      <c r="T603" s="13">
        <v>1593</v>
      </c>
      <c r="U603" s="13">
        <v>66.66</v>
      </c>
      <c r="V603" s="13">
        <v>158.69999999999999</v>
      </c>
      <c r="W603" s="13">
        <v>15.82</v>
      </c>
      <c r="X603" s="13">
        <v>71.91</v>
      </c>
      <c r="Y603" s="13">
        <v>7.38</v>
      </c>
      <c r="Z603" s="35">
        <v>3909</v>
      </c>
      <c r="AA603" s="13"/>
      <c r="AB603" s="13"/>
      <c r="AC603" s="14">
        <v>2151.3513513513512</v>
      </c>
      <c r="AD603" s="14">
        <v>177.61989342806396</v>
      </c>
      <c r="AE603" s="14">
        <v>1891.9597989949748</v>
      </c>
      <c r="AF603" s="14">
        <v>1873.4072022160663</v>
      </c>
      <c r="AG603" s="15">
        <v>8.7858632107919818E-2</v>
      </c>
      <c r="AH603" s="15">
        <v>8.8039989330564478E-2</v>
      </c>
      <c r="AI603" s="15">
        <v>8.6458291233009757E-2</v>
      </c>
      <c r="AJ603" s="41">
        <f t="shared" si="18"/>
        <v>2382.6</v>
      </c>
      <c r="AK603" s="44">
        <f t="shared" si="19"/>
        <v>0.10872567482736974</v>
      </c>
      <c r="AL603" s="10"/>
      <c r="AM603" s="10"/>
    </row>
    <row r="604" spans="1:39" s="16" customFormat="1" ht="19" customHeight="1">
      <c r="A604" s="29" t="s">
        <v>665</v>
      </c>
      <c r="B604" s="29" t="s">
        <v>1368</v>
      </c>
      <c r="C604" s="29"/>
      <c r="D604" s="29"/>
      <c r="E604" s="36" t="s">
        <v>234</v>
      </c>
      <c r="F604" s="36" t="s">
        <v>249</v>
      </c>
      <c r="G604" s="31" t="s">
        <v>439</v>
      </c>
      <c r="H604" s="35">
        <v>9.1999999999999998E-2</v>
      </c>
      <c r="I604" s="35">
        <v>10.9</v>
      </c>
      <c r="J604" s="13">
        <v>81.400000000000006</v>
      </c>
      <c r="K604" s="13">
        <v>337.3</v>
      </c>
      <c r="L604" s="13">
        <v>67.19</v>
      </c>
      <c r="M604" s="35">
        <v>133.80000000000001</v>
      </c>
      <c r="N604" s="13">
        <v>425.7</v>
      </c>
      <c r="O604" s="13">
        <v>184.4</v>
      </c>
      <c r="P604" s="13">
        <v>17.829999999999998</v>
      </c>
      <c r="Q604" s="13">
        <v>226.3</v>
      </c>
      <c r="R604" s="13">
        <v>39.81</v>
      </c>
      <c r="S604" s="13">
        <v>235.3</v>
      </c>
      <c r="T604" s="13">
        <v>746</v>
      </c>
      <c r="U604" s="13">
        <v>32.770000000000003</v>
      </c>
      <c r="V604" s="13">
        <v>72.87</v>
      </c>
      <c r="W604" s="13">
        <v>6.36</v>
      </c>
      <c r="X604" s="13">
        <v>25.68</v>
      </c>
      <c r="Y604" s="13">
        <v>2.5470000000000002</v>
      </c>
      <c r="Z604" s="35">
        <v>1472</v>
      </c>
      <c r="AA604" s="13"/>
      <c r="AB604" s="13"/>
      <c r="AC604" s="14">
        <v>1245.9459459459461</v>
      </c>
      <c r="AD604" s="14">
        <v>316.69626998223799</v>
      </c>
      <c r="AE604" s="14">
        <v>1137.1859296482412</v>
      </c>
      <c r="AF604" s="14">
        <v>1102.7700831024931</v>
      </c>
      <c r="AG604" s="15">
        <v>0.26578157358855853</v>
      </c>
      <c r="AH604" s="15">
        <v>0.26605878831738694</v>
      </c>
      <c r="AI604" s="15">
        <v>0.26473731255086219</v>
      </c>
      <c r="AJ604" s="41">
        <f t="shared" si="18"/>
        <v>911.59</v>
      </c>
      <c r="AK604" s="44">
        <f t="shared" si="19"/>
        <v>0.17935656836461128</v>
      </c>
      <c r="AL604" s="10"/>
      <c r="AM604" s="10"/>
    </row>
    <row r="605" spans="1:39" s="16" customFormat="1" ht="19" customHeight="1">
      <c r="A605" s="29" t="s">
        <v>666</v>
      </c>
      <c r="B605" s="29" t="s">
        <v>1368</v>
      </c>
      <c r="C605" s="29"/>
      <c r="D605" s="29"/>
      <c r="E605" s="36" t="s">
        <v>234</v>
      </c>
      <c r="F605" s="36" t="s">
        <v>249</v>
      </c>
      <c r="G605" s="31" t="s">
        <v>439</v>
      </c>
      <c r="H605" s="35">
        <v>0.78200000000000003</v>
      </c>
      <c r="I605" s="35">
        <v>38.54</v>
      </c>
      <c r="J605" s="13">
        <v>327.8</v>
      </c>
      <c r="K605" s="13">
        <v>1108</v>
      </c>
      <c r="L605" s="13">
        <v>168.7</v>
      </c>
      <c r="M605" s="35">
        <v>177.9</v>
      </c>
      <c r="N605" s="13">
        <v>930</v>
      </c>
      <c r="O605" s="13">
        <v>323</v>
      </c>
      <c r="P605" s="13">
        <v>9.35</v>
      </c>
      <c r="Q605" s="13">
        <v>359.2</v>
      </c>
      <c r="R605" s="13">
        <v>61.14</v>
      </c>
      <c r="S605" s="13">
        <v>356.1</v>
      </c>
      <c r="T605" s="13">
        <v>1171</v>
      </c>
      <c r="U605" s="13">
        <v>47.82</v>
      </c>
      <c r="V605" s="13">
        <v>103.5</v>
      </c>
      <c r="W605" s="13">
        <v>9.33</v>
      </c>
      <c r="X605" s="13">
        <v>38.770000000000003</v>
      </c>
      <c r="Y605" s="13">
        <v>3.8330000000000002</v>
      </c>
      <c r="Z605" s="35">
        <v>3662</v>
      </c>
      <c r="AA605" s="13"/>
      <c r="AB605" s="13"/>
      <c r="AC605" s="14">
        <v>2182.4324324324325</v>
      </c>
      <c r="AD605" s="14">
        <v>166.0746003552398</v>
      </c>
      <c r="AE605" s="14">
        <v>1805.0251256281406</v>
      </c>
      <c r="AF605" s="14">
        <v>1693.6288088642659</v>
      </c>
      <c r="AG605" s="15">
        <v>8.3298491801886643E-2</v>
      </c>
      <c r="AH605" s="15">
        <v>8.3674126392263085E-2</v>
      </c>
      <c r="AI605" s="15">
        <v>8.2807549757761958E-2</v>
      </c>
      <c r="AJ605" s="41">
        <f t="shared" si="18"/>
        <v>2534.5</v>
      </c>
      <c r="AK605" s="44">
        <f t="shared" si="19"/>
        <v>0.15192143467122118</v>
      </c>
      <c r="AL605" s="10"/>
      <c r="AM605" s="10"/>
    </row>
    <row r="606" spans="1:39" s="16" customFormat="1" ht="19" customHeight="1">
      <c r="A606" s="29" t="s">
        <v>667</v>
      </c>
      <c r="B606" s="29" t="s">
        <v>1368</v>
      </c>
      <c r="C606" s="29"/>
      <c r="D606" s="29"/>
      <c r="E606" s="36" t="s">
        <v>234</v>
      </c>
      <c r="F606" s="36" t="s">
        <v>249</v>
      </c>
      <c r="G606" s="31" t="s">
        <v>439</v>
      </c>
      <c r="H606" s="35">
        <v>0.16600000000000001</v>
      </c>
      <c r="I606" s="35">
        <v>11.97</v>
      </c>
      <c r="J606" s="13">
        <v>55.6</v>
      </c>
      <c r="K606" s="13">
        <v>259.60000000000002</v>
      </c>
      <c r="L606" s="13">
        <v>58.5</v>
      </c>
      <c r="M606" s="35">
        <v>280</v>
      </c>
      <c r="N606" s="13">
        <v>415.8</v>
      </c>
      <c r="O606" s="13">
        <v>204.1</v>
      </c>
      <c r="P606" s="13">
        <v>48.4</v>
      </c>
      <c r="Q606" s="13">
        <v>275.7</v>
      </c>
      <c r="R606" s="13">
        <v>48.48</v>
      </c>
      <c r="S606" s="13">
        <v>274.60000000000002</v>
      </c>
      <c r="T606" s="13">
        <v>1001</v>
      </c>
      <c r="U606" s="13">
        <v>42.93</v>
      </c>
      <c r="V606" s="13">
        <v>74.8</v>
      </c>
      <c r="W606" s="13">
        <v>7.19</v>
      </c>
      <c r="X606" s="13">
        <v>32.200000000000003</v>
      </c>
      <c r="Y606" s="13">
        <v>3.444</v>
      </c>
      <c r="Z606" s="35">
        <v>3224</v>
      </c>
      <c r="AA606" s="13"/>
      <c r="AB606" s="13"/>
      <c r="AC606" s="14">
        <v>1379.0540540540542</v>
      </c>
      <c r="AD606" s="14">
        <v>859.68028419182951</v>
      </c>
      <c r="AE606" s="14">
        <v>1385.4271356783918</v>
      </c>
      <c r="AF606" s="14">
        <v>1342.9362880886426</v>
      </c>
      <c r="AG606" s="15">
        <v>0.62194692254356176</v>
      </c>
      <c r="AH606" s="15">
        <v>0.62194857525389269</v>
      </c>
      <c r="AI606" s="15">
        <v>0.62892323234505942</v>
      </c>
      <c r="AJ606" s="41">
        <f t="shared" si="18"/>
        <v>789.5</v>
      </c>
      <c r="AK606" s="44">
        <f t="shared" si="19"/>
        <v>0.27972027972027974</v>
      </c>
      <c r="AL606" s="10"/>
      <c r="AM606" s="10"/>
    </row>
    <row r="607" spans="1:39" s="16" customFormat="1" ht="19" customHeight="1">
      <c r="A607" s="29" t="s">
        <v>668</v>
      </c>
      <c r="B607" s="29" t="s">
        <v>1368</v>
      </c>
      <c r="C607" s="29"/>
      <c r="D607" s="29"/>
      <c r="E607" s="36" t="s">
        <v>234</v>
      </c>
      <c r="F607" s="36" t="s">
        <v>249</v>
      </c>
      <c r="G607" s="31" t="s">
        <v>439</v>
      </c>
      <c r="H607" s="35">
        <v>0.28799999999999998</v>
      </c>
      <c r="I607" s="35">
        <v>94.3</v>
      </c>
      <c r="J607" s="13">
        <v>87</v>
      </c>
      <c r="K607" s="13">
        <v>339.5</v>
      </c>
      <c r="L607" s="13">
        <v>65.8</v>
      </c>
      <c r="M607" s="35">
        <v>320.8</v>
      </c>
      <c r="N607" s="13">
        <v>424.1</v>
      </c>
      <c r="O607" s="13">
        <v>185.8</v>
      </c>
      <c r="P607" s="13">
        <v>50.15</v>
      </c>
      <c r="Q607" s="13">
        <v>269.60000000000002</v>
      </c>
      <c r="R607" s="13">
        <v>51.71</v>
      </c>
      <c r="S607" s="13">
        <v>354</v>
      </c>
      <c r="T607" s="13">
        <v>1748</v>
      </c>
      <c r="U607" s="13">
        <v>72.400000000000006</v>
      </c>
      <c r="V607" s="13">
        <v>164.7</v>
      </c>
      <c r="W607" s="13">
        <v>19.88</v>
      </c>
      <c r="X607" s="13">
        <v>104</v>
      </c>
      <c r="Y607" s="13">
        <v>12.89</v>
      </c>
      <c r="Z607" s="35">
        <v>3181</v>
      </c>
      <c r="AA607" s="13"/>
      <c r="AB607" s="13"/>
      <c r="AC607" s="14">
        <v>1255.4054054054056</v>
      </c>
      <c r="AD607" s="14">
        <v>890.76376554174067</v>
      </c>
      <c r="AE607" s="14">
        <v>1354.7738693467338</v>
      </c>
      <c r="AF607" s="14">
        <v>1432.4099722991689</v>
      </c>
      <c r="AG607" s="15">
        <v>0.68253071668904952</v>
      </c>
      <c r="AH607" s="15">
        <v>0.68302584876687356</v>
      </c>
      <c r="AI607" s="15">
        <v>0.67902240010654147</v>
      </c>
      <c r="AJ607" s="41">
        <f t="shared" si="18"/>
        <v>916.40000000000009</v>
      </c>
      <c r="AK607" s="44">
        <f t="shared" si="19"/>
        <v>0.18352402745995425</v>
      </c>
      <c r="AL607" s="10"/>
      <c r="AM607" s="10"/>
    </row>
    <row r="608" spans="1:39" s="16" customFormat="1" ht="19" customHeight="1">
      <c r="A608" s="29" t="s">
        <v>669</v>
      </c>
      <c r="B608" s="29" t="s">
        <v>1368</v>
      </c>
      <c r="C608" s="29"/>
      <c r="D608" s="29"/>
      <c r="E608" s="36" t="s">
        <v>234</v>
      </c>
      <c r="F608" s="36" t="s">
        <v>249</v>
      </c>
      <c r="G608" s="31" t="s">
        <v>439</v>
      </c>
      <c r="H608" s="35">
        <v>17.7</v>
      </c>
      <c r="I608" s="35">
        <v>127</v>
      </c>
      <c r="J608" s="13">
        <v>185.4</v>
      </c>
      <c r="K608" s="13">
        <v>709</v>
      </c>
      <c r="L608" s="13">
        <v>138.30000000000001</v>
      </c>
      <c r="M608" s="35">
        <v>282.89999999999998</v>
      </c>
      <c r="N608" s="13">
        <v>979</v>
      </c>
      <c r="O608" s="13">
        <v>646</v>
      </c>
      <c r="P608" s="13">
        <v>98.5</v>
      </c>
      <c r="Q608" s="13">
        <v>1566</v>
      </c>
      <c r="R608" s="13">
        <v>389</v>
      </c>
      <c r="S608" s="13">
        <v>3232</v>
      </c>
      <c r="T608" s="13">
        <v>19970</v>
      </c>
      <c r="U608" s="13">
        <v>716</v>
      </c>
      <c r="V608" s="13">
        <v>1598</v>
      </c>
      <c r="W608" s="13">
        <v>184.3</v>
      </c>
      <c r="X608" s="13">
        <v>858</v>
      </c>
      <c r="Y608" s="13">
        <v>103.8</v>
      </c>
      <c r="Z608" s="35">
        <v>2968</v>
      </c>
      <c r="AA608" s="13"/>
      <c r="AB608" s="13"/>
      <c r="AC608" s="14">
        <v>4364.864864864865</v>
      </c>
      <c r="AD608" s="14">
        <v>1749.55595026643</v>
      </c>
      <c r="AE608" s="14">
        <v>7869.3467336683416</v>
      </c>
      <c r="AF608" s="14">
        <v>10775.62326869806</v>
      </c>
      <c r="AG608" s="15">
        <v>0.28601041206058414</v>
      </c>
      <c r="AH608" s="15">
        <v>0.29851976680491743</v>
      </c>
      <c r="AI608" s="15">
        <v>0.2965740635847286</v>
      </c>
      <c r="AJ608" s="41">
        <f t="shared" si="18"/>
        <v>2011.7</v>
      </c>
      <c r="AK608" s="44">
        <f t="shared" si="19"/>
        <v>1.416624937406109E-2</v>
      </c>
      <c r="AL608" s="10"/>
      <c r="AM608" s="10"/>
    </row>
    <row r="609" spans="1:39" s="16" customFormat="1" ht="19" customHeight="1">
      <c r="A609" s="29" t="s">
        <v>670</v>
      </c>
      <c r="B609" s="29" t="s">
        <v>1368</v>
      </c>
      <c r="C609" s="29"/>
      <c r="D609" s="29"/>
      <c r="E609" s="36" t="s">
        <v>234</v>
      </c>
      <c r="F609" s="36" t="s">
        <v>249</v>
      </c>
      <c r="G609" s="31" t="s">
        <v>439</v>
      </c>
      <c r="H609" s="35">
        <v>0.10100000000000001</v>
      </c>
      <c r="I609" s="35">
        <v>10.23</v>
      </c>
      <c r="J609" s="13">
        <v>206.3</v>
      </c>
      <c r="K609" s="13">
        <v>754</v>
      </c>
      <c r="L609" s="13">
        <v>129.69999999999999</v>
      </c>
      <c r="M609" s="35">
        <v>266.7</v>
      </c>
      <c r="N609" s="13">
        <v>757</v>
      </c>
      <c r="O609" s="13">
        <v>279</v>
      </c>
      <c r="P609" s="13">
        <v>44.08</v>
      </c>
      <c r="Q609" s="13">
        <v>328.7</v>
      </c>
      <c r="R609" s="13">
        <v>54.96</v>
      </c>
      <c r="S609" s="13">
        <v>319.39999999999998</v>
      </c>
      <c r="T609" s="13">
        <v>1186</v>
      </c>
      <c r="U609" s="13">
        <v>51.88</v>
      </c>
      <c r="V609" s="13">
        <v>93.7</v>
      </c>
      <c r="W609" s="13">
        <v>8.61</v>
      </c>
      <c r="X609" s="13">
        <v>33.020000000000003</v>
      </c>
      <c r="Y609" s="13">
        <v>3.58</v>
      </c>
      <c r="Z609" s="35">
        <v>3020</v>
      </c>
      <c r="AA609" s="13"/>
      <c r="AB609" s="13"/>
      <c r="AC609" s="14">
        <v>1885.1351351351352</v>
      </c>
      <c r="AD609" s="14">
        <v>782.94849023090592</v>
      </c>
      <c r="AE609" s="14">
        <v>1651.7587939698492</v>
      </c>
      <c r="AF609" s="14">
        <v>1522.4376731301938</v>
      </c>
      <c r="AG609" s="15">
        <v>0.44273224242776882</v>
      </c>
      <c r="AH609" s="15">
        <v>0.44369918727315671</v>
      </c>
      <c r="AI609" s="15">
        <v>0.44598990171314351</v>
      </c>
      <c r="AJ609" s="41">
        <f t="shared" si="18"/>
        <v>1847</v>
      </c>
      <c r="AK609" s="44">
        <f t="shared" si="19"/>
        <v>0.22487352445193928</v>
      </c>
      <c r="AL609" s="10"/>
      <c r="AM609" s="10"/>
    </row>
    <row r="610" spans="1:39" s="16" customFormat="1" ht="19" customHeight="1">
      <c r="A610" s="29" t="s">
        <v>671</v>
      </c>
      <c r="B610" s="29" t="s">
        <v>1368</v>
      </c>
      <c r="C610" s="29"/>
      <c r="D610" s="29"/>
      <c r="E610" s="36" t="s">
        <v>234</v>
      </c>
      <c r="F610" s="36" t="s">
        <v>249</v>
      </c>
      <c r="G610" s="31" t="s">
        <v>439</v>
      </c>
      <c r="H610" s="35">
        <v>0.11600000000000001</v>
      </c>
      <c r="I610" s="35">
        <v>5.49</v>
      </c>
      <c r="J610" s="13">
        <v>59.14</v>
      </c>
      <c r="K610" s="13">
        <v>248.4</v>
      </c>
      <c r="L610" s="13">
        <v>50.7</v>
      </c>
      <c r="M610" s="35">
        <v>289.7</v>
      </c>
      <c r="N610" s="13">
        <v>344.7</v>
      </c>
      <c r="O610" s="13">
        <v>127.9</v>
      </c>
      <c r="P610" s="13">
        <v>53.01</v>
      </c>
      <c r="Q610" s="13">
        <v>111.8</v>
      </c>
      <c r="R610" s="13">
        <v>22.85</v>
      </c>
      <c r="S610" s="13">
        <v>171.3</v>
      </c>
      <c r="T610" s="13">
        <v>873</v>
      </c>
      <c r="U610" s="13">
        <v>38.81</v>
      </c>
      <c r="V610" s="13">
        <v>108.8</v>
      </c>
      <c r="W610" s="13">
        <v>16.61</v>
      </c>
      <c r="X610" s="13">
        <v>98</v>
      </c>
      <c r="Y610" s="13">
        <v>12.47</v>
      </c>
      <c r="Z610" s="35">
        <v>2686</v>
      </c>
      <c r="AA610" s="13"/>
      <c r="AB610" s="13"/>
      <c r="AC610" s="14">
        <v>864.18918918918928</v>
      </c>
      <c r="AD610" s="14">
        <v>941.563055062167</v>
      </c>
      <c r="AE610" s="14">
        <v>561.80904522613059</v>
      </c>
      <c r="AF610" s="14">
        <v>632.9639889196676</v>
      </c>
      <c r="AG610" s="15">
        <v>1.3205669296613423</v>
      </c>
      <c r="AH610" s="15">
        <v>1.3512964357936221</v>
      </c>
      <c r="AI610" s="15">
        <v>1.2086962910158834</v>
      </c>
      <c r="AJ610" s="41">
        <f t="shared" si="18"/>
        <v>702.94</v>
      </c>
      <c r="AK610" s="44">
        <f t="shared" si="19"/>
        <v>0.33184421534936998</v>
      </c>
      <c r="AL610" s="10"/>
      <c r="AM610" s="10"/>
    </row>
    <row r="611" spans="1:39" s="16" customFormat="1" ht="19" customHeight="1">
      <c r="A611" s="29" t="s">
        <v>672</v>
      </c>
      <c r="B611" s="29" t="s">
        <v>1368</v>
      </c>
      <c r="C611" s="29"/>
      <c r="D611" s="29"/>
      <c r="E611" s="36" t="s">
        <v>234</v>
      </c>
      <c r="F611" s="36" t="s">
        <v>249</v>
      </c>
      <c r="G611" s="31" t="s">
        <v>439</v>
      </c>
      <c r="H611" s="35">
        <v>0.29799999999999999</v>
      </c>
      <c r="I611" s="35">
        <v>7.83</v>
      </c>
      <c r="J611" s="13">
        <v>53.6</v>
      </c>
      <c r="K611" s="13">
        <v>210.2</v>
      </c>
      <c r="L611" s="13">
        <v>41.35</v>
      </c>
      <c r="M611" s="35">
        <v>294.39999999999998</v>
      </c>
      <c r="N611" s="13">
        <v>289.7</v>
      </c>
      <c r="O611" s="13">
        <v>141.9</v>
      </c>
      <c r="P611" s="13">
        <v>56.6</v>
      </c>
      <c r="Q611" s="13">
        <v>199.6</v>
      </c>
      <c r="R611" s="13">
        <v>38.630000000000003</v>
      </c>
      <c r="S611" s="13">
        <v>239.1</v>
      </c>
      <c r="T611" s="13">
        <v>966</v>
      </c>
      <c r="U611" s="13">
        <v>39.89</v>
      </c>
      <c r="V611" s="13">
        <v>89.2</v>
      </c>
      <c r="W611" s="13">
        <v>10.46</v>
      </c>
      <c r="X611" s="13">
        <v>54.7</v>
      </c>
      <c r="Y611" s="13">
        <v>6.63</v>
      </c>
      <c r="Z611" s="35">
        <v>2667</v>
      </c>
      <c r="AA611" s="13"/>
      <c r="AB611" s="13"/>
      <c r="AC611" s="14">
        <v>958.78378378378386</v>
      </c>
      <c r="AD611" s="14">
        <v>1005.3285968028421</v>
      </c>
      <c r="AE611" s="14">
        <v>1003.0150753768844</v>
      </c>
      <c r="AF611" s="14">
        <v>1070.0831024930749</v>
      </c>
      <c r="AG611" s="15">
        <v>1.0249048643375802</v>
      </c>
      <c r="AH611" s="15">
        <v>1.0251654613665615</v>
      </c>
      <c r="AI611" s="15">
        <v>1.0108539547506135</v>
      </c>
      <c r="AJ611" s="41">
        <f t="shared" si="18"/>
        <v>594.85</v>
      </c>
      <c r="AK611" s="44">
        <f t="shared" si="19"/>
        <v>0.30476190476190473</v>
      </c>
      <c r="AL611" s="10"/>
      <c r="AM611" s="10"/>
    </row>
    <row r="612" spans="1:39" s="16" customFormat="1" ht="19" customHeight="1">
      <c r="A612" s="29" t="s">
        <v>673</v>
      </c>
      <c r="B612" s="29" t="s">
        <v>1368</v>
      </c>
      <c r="C612" s="29"/>
      <c r="D612" s="29"/>
      <c r="E612" s="36" t="s">
        <v>234</v>
      </c>
      <c r="F612" s="36" t="s">
        <v>249</v>
      </c>
      <c r="G612" s="31" t="s">
        <v>439</v>
      </c>
      <c r="H612" s="35">
        <v>0.26400000000000001</v>
      </c>
      <c r="I612" s="35">
        <v>10.47</v>
      </c>
      <c r="J612" s="13">
        <v>51.7</v>
      </c>
      <c r="K612" s="13">
        <v>211.3</v>
      </c>
      <c r="L612" s="13">
        <v>42.42</v>
      </c>
      <c r="M612" s="35">
        <v>314.8</v>
      </c>
      <c r="N612" s="13">
        <v>304.7</v>
      </c>
      <c r="O612" s="13">
        <v>154.69999999999999</v>
      </c>
      <c r="P612" s="13">
        <v>55.97</v>
      </c>
      <c r="Q612" s="13">
        <v>223.4</v>
      </c>
      <c r="R612" s="13">
        <v>42.45</v>
      </c>
      <c r="S612" s="13">
        <v>254.4</v>
      </c>
      <c r="T612" s="13">
        <v>958</v>
      </c>
      <c r="U612" s="13">
        <v>39.17</v>
      </c>
      <c r="V612" s="13">
        <v>79.5</v>
      </c>
      <c r="W612" s="13">
        <v>8.15</v>
      </c>
      <c r="X612" s="13">
        <v>39.01</v>
      </c>
      <c r="Y612" s="13">
        <v>4.2809999999999997</v>
      </c>
      <c r="Z612" s="35">
        <v>3062</v>
      </c>
      <c r="AA612" s="13"/>
      <c r="AB612" s="13"/>
      <c r="AC612" s="14">
        <v>1045.2702702702702</v>
      </c>
      <c r="AD612" s="14">
        <v>994.13854351687394</v>
      </c>
      <c r="AE612" s="14">
        <v>1122.6130653266332</v>
      </c>
      <c r="AF612" s="14">
        <v>1175.9002770083102</v>
      </c>
      <c r="AG612" s="15">
        <v>0.91715133115606373</v>
      </c>
      <c r="AH612" s="15">
        <v>0.91773557446005438</v>
      </c>
      <c r="AI612" s="15">
        <v>0.91447327070655426</v>
      </c>
      <c r="AJ612" s="41">
        <f t="shared" si="18"/>
        <v>610.12</v>
      </c>
      <c r="AK612" s="44">
        <f t="shared" si="19"/>
        <v>0.32860125260960338</v>
      </c>
      <c r="AL612" s="10"/>
      <c r="AM612" s="10"/>
    </row>
    <row r="613" spans="1:39" s="16" customFormat="1" ht="19" customHeight="1">
      <c r="A613" s="29" t="s">
        <v>674</v>
      </c>
      <c r="B613" s="29" t="s">
        <v>1368</v>
      </c>
      <c r="C613" s="29"/>
      <c r="D613" s="29"/>
      <c r="E613" s="36" t="s">
        <v>234</v>
      </c>
      <c r="F613" s="36" t="s">
        <v>249</v>
      </c>
      <c r="G613" s="31" t="s">
        <v>439</v>
      </c>
      <c r="H613" s="35">
        <v>0.184</v>
      </c>
      <c r="I613" s="35">
        <v>13.18</v>
      </c>
      <c r="J613" s="13">
        <v>51.27</v>
      </c>
      <c r="K613" s="13">
        <v>209.5</v>
      </c>
      <c r="L613" s="13">
        <v>42.35</v>
      </c>
      <c r="M613" s="35">
        <v>286.60000000000002</v>
      </c>
      <c r="N613" s="13">
        <v>307.3</v>
      </c>
      <c r="O613" s="13">
        <v>155.80000000000001</v>
      </c>
      <c r="P613" s="13">
        <v>50.67</v>
      </c>
      <c r="Q613" s="13">
        <v>219.3</v>
      </c>
      <c r="R613" s="13">
        <v>40.96</v>
      </c>
      <c r="S613" s="13">
        <v>238.7</v>
      </c>
      <c r="T613" s="13">
        <v>899</v>
      </c>
      <c r="U613" s="13">
        <v>36.57</v>
      </c>
      <c r="V613" s="13">
        <v>74.099999999999994</v>
      </c>
      <c r="W613" s="13">
        <v>7.48</v>
      </c>
      <c r="X613" s="13">
        <v>34.14</v>
      </c>
      <c r="Y613" s="13">
        <v>3.8460000000000001</v>
      </c>
      <c r="Z613" s="35">
        <v>2990</v>
      </c>
      <c r="AA613" s="13"/>
      <c r="AB613" s="13"/>
      <c r="AC613" s="14">
        <v>1052.7027027027029</v>
      </c>
      <c r="AD613" s="14">
        <v>900.00000000000011</v>
      </c>
      <c r="AE613" s="14">
        <v>1102.0100502512562</v>
      </c>
      <c r="AF613" s="14">
        <v>1134.6260387811635</v>
      </c>
      <c r="AG613" s="15">
        <v>0.83537817165296258</v>
      </c>
      <c r="AH613" s="15">
        <v>0.83559698219924849</v>
      </c>
      <c r="AI613" s="15">
        <v>0.83384968511826396</v>
      </c>
      <c r="AJ613" s="41">
        <f t="shared" si="18"/>
        <v>610.42000000000007</v>
      </c>
      <c r="AK613" s="44">
        <f t="shared" si="19"/>
        <v>0.31879866518353728</v>
      </c>
      <c r="AL613" s="10"/>
      <c r="AM613" s="10"/>
    </row>
    <row r="614" spans="1:39" s="16" customFormat="1" ht="19" customHeight="1">
      <c r="A614" s="29" t="s">
        <v>675</v>
      </c>
      <c r="B614" s="29" t="s">
        <v>1368</v>
      </c>
      <c r="C614" s="29"/>
      <c r="D614" s="29"/>
      <c r="E614" s="36" t="s">
        <v>234</v>
      </c>
      <c r="F614" s="36" t="s">
        <v>249</v>
      </c>
      <c r="G614" s="31" t="s">
        <v>439</v>
      </c>
      <c r="H614" s="35">
        <v>0.26</v>
      </c>
      <c r="I614" s="35">
        <v>46.6</v>
      </c>
      <c r="J614" s="13">
        <v>56.6</v>
      </c>
      <c r="K614" s="13">
        <v>219.7</v>
      </c>
      <c r="L614" s="13">
        <v>42.75</v>
      </c>
      <c r="M614" s="35">
        <v>305.7</v>
      </c>
      <c r="N614" s="13">
        <v>282.2</v>
      </c>
      <c r="O614" s="13">
        <v>131.6</v>
      </c>
      <c r="P614" s="13">
        <v>58</v>
      </c>
      <c r="Q614" s="13">
        <v>188</v>
      </c>
      <c r="R614" s="13">
        <v>36.840000000000003</v>
      </c>
      <c r="S614" s="13">
        <v>228.3</v>
      </c>
      <c r="T614" s="13">
        <v>1024</v>
      </c>
      <c r="U614" s="13">
        <v>38.97</v>
      </c>
      <c r="V614" s="13">
        <v>89</v>
      </c>
      <c r="W614" s="13">
        <v>10.27</v>
      </c>
      <c r="X614" s="13">
        <v>54.39</v>
      </c>
      <c r="Y614" s="13">
        <v>6.53</v>
      </c>
      <c r="Z614" s="35">
        <v>2860</v>
      </c>
      <c r="AA614" s="13"/>
      <c r="AB614" s="13"/>
      <c r="AC614" s="14">
        <v>889.18918918918916</v>
      </c>
      <c r="AD614" s="14">
        <v>1030.195381882771</v>
      </c>
      <c r="AE614" s="14">
        <v>944.72361809045219</v>
      </c>
      <c r="AF614" s="14">
        <v>1020.4986149584488</v>
      </c>
      <c r="AG614" s="15">
        <v>1.1234943971092333</v>
      </c>
      <c r="AH614" s="15">
        <v>1.1240098713631543</v>
      </c>
      <c r="AI614" s="15">
        <v>1.1065881363913088</v>
      </c>
      <c r="AJ614" s="41">
        <f t="shared" si="18"/>
        <v>601.25</v>
      </c>
      <c r="AK614" s="44">
        <f t="shared" si="19"/>
        <v>0.29853515624999999</v>
      </c>
      <c r="AL614" s="10"/>
      <c r="AM614" s="10"/>
    </row>
    <row r="615" spans="1:39" s="16" customFormat="1" ht="19" customHeight="1">
      <c r="A615" s="29" t="s">
        <v>676</v>
      </c>
      <c r="B615" s="29" t="s">
        <v>1368</v>
      </c>
      <c r="C615" s="29"/>
      <c r="D615" s="29"/>
      <c r="E615" s="36" t="s">
        <v>234</v>
      </c>
      <c r="F615" s="36" t="s">
        <v>249</v>
      </c>
      <c r="G615" s="31" t="s">
        <v>439</v>
      </c>
      <c r="H615" s="35">
        <v>0.123</v>
      </c>
      <c r="I615" s="35">
        <v>25.49</v>
      </c>
      <c r="J615" s="13">
        <v>94.4</v>
      </c>
      <c r="K615" s="13">
        <v>378.1</v>
      </c>
      <c r="L615" s="13">
        <v>74.5</v>
      </c>
      <c r="M615" s="35">
        <v>299.89999999999998</v>
      </c>
      <c r="N615" s="13">
        <v>511.3</v>
      </c>
      <c r="O615" s="13">
        <v>206</v>
      </c>
      <c r="P615" s="13">
        <v>50.06</v>
      </c>
      <c r="Q615" s="13">
        <v>268</v>
      </c>
      <c r="R615" s="13">
        <v>50.09</v>
      </c>
      <c r="S615" s="13">
        <v>310.8</v>
      </c>
      <c r="T615" s="13">
        <v>1339</v>
      </c>
      <c r="U615" s="13">
        <v>53.35</v>
      </c>
      <c r="V615" s="13">
        <v>121.9</v>
      </c>
      <c r="W615" s="13">
        <v>13.07</v>
      </c>
      <c r="X615" s="13">
        <v>60.8</v>
      </c>
      <c r="Y615" s="13">
        <v>7.3</v>
      </c>
      <c r="Z615" s="35">
        <v>3087</v>
      </c>
      <c r="AA615" s="13"/>
      <c r="AB615" s="13"/>
      <c r="AC615" s="14">
        <v>1391.8918918918919</v>
      </c>
      <c r="AD615" s="14">
        <v>889.16518650088824</v>
      </c>
      <c r="AE615" s="14">
        <v>1346.7336683417084</v>
      </c>
      <c r="AF615" s="14">
        <v>1387.5346260387812</v>
      </c>
      <c r="AG615" s="15">
        <v>0.64935141146133457</v>
      </c>
      <c r="AH615" s="15">
        <v>0.64943970862466471</v>
      </c>
      <c r="AI615" s="15">
        <v>0.63948570020515061</v>
      </c>
      <c r="AJ615" s="41">
        <f t="shared" si="18"/>
        <v>1058.3</v>
      </c>
      <c r="AK615" s="44">
        <f t="shared" si="19"/>
        <v>0.22397311426437638</v>
      </c>
      <c r="AL615" s="10"/>
      <c r="AM615" s="10"/>
    </row>
    <row r="616" spans="1:39" s="16" customFormat="1" ht="19" customHeight="1">
      <c r="A616" s="29" t="s">
        <v>677</v>
      </c>
      <c r="B616" s="29" t="s">
        <v>1368</v>
      </c>
      <c r="C616" s="29"/>
      <c r="D616" s="29"/>
      <c r="E616" s="36" t="s">
        <v>234</v>
      </c>
      <c r="F616" s="36" t="s">
        <v>249</v>
      </c>
      <c r="G616" s="31" t="s">
        <v>439</v>
      </c>
      <c r="H616" s="35">
        <v>3.6700000000000003E-2</v>
      </c>
      <c r="I616" s="35">
        <v>19.579999999999998</v>
      </c>
      <c r="J616" s="13">
        <v>195.9</v>
      </c>
      <c r="K616" s="13">
        <v>686</v>
      </c>
      <c r="L616" s="13">
        <v>118.1</v>
      </c>
      <c r="M616" s="35">
        <v>297.7</v>
      </c>
      <c r="N616" s="13">
        <v>751</v>
      </c>
      <c r="O616" s="13">
        <v>259</v>
      </c>
      <c r="P616" s="13">
        <v>47.13</v>
      </c>
      <c r="Q616" s="13">
        <v>276.10000000000002</v>
      </c>
      <c r="R616" s="13">
        <v>44.64</v>
      </c>
      <c r="S616" s="13">
        <v>233.8</v>
      </c>
      <c r="T616" s="13">
        <v>780</v>
      </c>
      <c r="U616" s="13">
        <v>31.63</v>
      </c>
      <c r="V616" s="13">
        <v>60.7</v>
      </c>
      <c r="W616" s="13">
        <v>5.6</v>
      </c>
      <c r="X616" s="13">
        <v>23.21</v>
      </c>
      <c r="Y616" s="13">
        <v>2.3109999999999999</v>
      </c>
      <c r="Z616" s="35">
        <v>3205</v>
      </c>
      <c r="AA616" s="13"/>
      <c r="AB616" s="13"/>
      <c r="AC616" s="14">
        <v>1750</v>
      </c>
      <c r="AD616" s="14">
        <v>837.12255772646552</v>
      </c>
      <c r="AE616" s="14">
        <v>1387.4371859296482</v>
      </c>
      <c r="AF616" s="14">
        <v>1236.5650969529086</v>
      </c>
      <c r="AG616" s="15">
        <v>0.53363462476997403</v>
      </c>
      <c r="AH616" s="15">
        <v>0.53723383341079434</v>
      </c>
      <c r="AI616" s="15">
        <v>0.53706232146192412</v>
      </c>
      <c r="AJ616" s="41">
        <f t="shared" si="18"/>
        <v>1751</v>
      </c>
      <c r="AK616" s="44">
        <f t="shared" si="19"/>
        <v>0.38166666666666665</v>
      </c>
      <c r="AL616" s="10"/>
      <c r="AM616" s="10"/>
    </row>
    <row r="617" spans="1:39" s="16" customFormat="1" ht="19" customHeight="1">
      <c r="A617" s="29" t="s">
        <v>678</v>
      </c>
      <c r="B617" s="29" t="s">
        <v>1368</v>
      </c>
      <c r="C617" s="29"/>
      <c r="D617" s="29"/>
      <c r="E617" s="36" t="s">
        <v>234</v>
      </c>
      <c r="F617" s="36" t="s">
        <v>249</v>
      </c>
      <c r="G617" s="31" t="s">
        <v>439</v>
      </c>
      <c r="H617" s="35">
        <v>0.39</v>
      </c>
      <c r="I617" s="35">
        <v>25.46</v>
      </c>
      <c r="J617" s="13">
        <v>241.5</v>
      </c>
      <c r="K617" s="13">
        <v>805</v>
      </c>
      <c r="L617" s="13">
        <v>128.80000000000001</v>
      </c>
      <c r="M617" s="35">
        <v>236.8</v>
      </c>
      <c r="N617" s="13">
        <v>745</v>
      </c>
      <c r="O617" s="13">
        <v>267.2</v>
      </c>
      <c r="P617" s="13">
        <v>15.35</v>
      </c>
      <c r="Q617" s="13">
        <v>320.60000000000002</v>
      </c>
      <c r="R617" s="13">
        <v>57.6</v>
      </c>
      <c r="S617" s="13">
        <v>321.8</v>
      </c>
      <c r="T617" s="13">
        <v>1324</v>
      </c>
      <c r="U617" s="13">
        <v>46.34</v>
      </c>
      <c r="V617" s="13">
        <v>92.9</v>
      </c>
      <c r="W617" s="13">
        <v>9.56</v>
      </c>
      <c r="X617" s="13">
        <v>42.4</v>
      </c>
      <c r="Y617" s="13">
        <v>4.12</v>
      </c>
      <c r="Z617" s="35">
        <v>2610</v>
      </c>
      <c r="AA617" s="13"/>
      <c r="AB617" s="13"/>
      <c r="AC617" s="14">
        <v>1805.4054054054054</v>
      </c>
      <c r="AD617" s="14">
        <v>272.64653641207815</v>
      </c>
      <c r="AE617" s="14">
        <v>1611.0552763819096</v>
      </c>
      <c r="AF617" s="14">
        <v>1595.5678670360112</v>
      </c>
      <c r="AG617" s="15">
        <v>0.15960759499766503</v>
      </c>
      <c r="AH617" s="15">
        <v>0.15986647350145372</v>
      </c>
      <c r="AI617" s="15">
        <v>0.15736629953245279</v>
      </c>
      <c r="AJ617" s="41">
        <f t="shared" si="18"/>
        <v>1920.3</v>
      </c>
      <c r="AK617" s="44">
        <f t="shared" si="19"/>
        <v>0.17885196374622359</v>
      </c>
      <c r="AL617" s="10"/>
      <c r="AM617" s="10"/>
    </row>
    <row r="618" spans="1:39" s="16" customFormat="1" ht="19" customHeight="1">
      <c r="A618" s="29" t="s">
        <v>679</v>
      </c>
      <c r="B618" s="29" t="s">
        <v>1368</v>
      </c>
      <c r="C618" s="29"/>
      <c r="D618" s="29"/>
      <c r="E618" s="36" t="s">
        <v>234</v>
      </c>
      <c r="F618" s="36" t="s">
        <v>249</v>
      </c>
      <c r="G618" s="31" t="s">
        <v>439</v>
      </c>
      <c r="H618" s="35">
        <v>9.6000000000000002E-2</v>
      </c>
      <c r="I618" s="35">
        <v>10.86</v>
      </c>
      <c r="J618" s="13">
        <v>52.1</v>
      </c>
      <c r="K618" s="13">
        <v>224.7</v>
      </c>
      <c r="L618" s="13">
        <v>47.3</v>
      </c>
      <c r="M618" s="35">
        <v>310.10000000000002</v>
      </c>
      <c r="N618" s="13">
        <v>343.9</v>
      </c>
      <c r="O618" s="13">
        <v>171.2</v>
      </c>
      <c r="P618" s="13">
        <v>55.5</v>
      </c>
      <c r="Q618" s="13">
        <v>228.6</v>
      </c>
      <c r="R618" s="13">
        <v>42.4</v>
      </c>
      <c r="S618" s="13">
        <v>250.2</v>
      </c>
      <c r="T618" s="13">
        <v>970</v>
      </c>
      <c r="U618" s="13">
        <v>38.17</v>
      </c>
      <c r="V618" s="13">
        <v>79.099999999999994</v>
      </c>
      <c r="W618" s="13">
        <v>8.14</v>
      </c>
      <c r="X618" s="13">
        <v>37.67</v>
      </c>
      <c r="Y618" s="13">
        <v>4.24</v>
      </c>
      <c r="Z618" s="35">
        <v>2935</v>
      </c>
      <c r="AA618" s="13"/>
      <c r="AB618" s="13"/>
      <c r="AC618" s="14">
        <v>1156.7567567567567</v>
      </c>
      <c r="AD618" s="14">
        <v>985.79040852575497</v>
      </c>
      <c r="AE618" s="14">
        <v>1148.7437185929648</v>
      </c>
      <c r="AF618" s="14">
        <v>1174.5152354570637</v>
      </c>
      <c r="AG618" s="15">
        <v>0.85516391695926275</v>
      </c>
      <c r="AH618" s="15">
        <v>0.8551690821611021</v>
      </c>
      <c r="AI618" s="15">
        <v>0.84788510709746057</v>
      </c>
      <c r="AJ618" s="41">
        <f t="shared" si="18"/>
        <v>668</v>
      </c>
      <c r="AK618" s="44">
        <f t="shared" si="19"/>
        <v>0.31969072164948453</v>
      </c>
      <c r="AL618" s="10"/>
      <c r="AM618" s="10"/>
    </row>
    <row r="619" spans="1:39" s="16" customFormat="1" ht="19" customHeight="1">
      <c r="A619" s="29" t="s">
        <v>680</v>
      </c>
      <c r="B619" s="29" t="s">
        <v>1368</v>
      </c>
      <c r="C619" s="29"/>
      <c r="D619" s="29"/>
      <c r="E619" s="36" t="s">
        <v>234</v>
      </c>
      <c r="F619" s="36" t="s">
        <v>249</v>
      </c>
      <c r="G619" s="31" t="s">
        <v>439</v>
      </c>
      <c r="H619" s="35">
        <v>7.6999999999999999E-2</v>
      </c>
      <c r="I619" s="35">
        <v>10.96</v>
      </c>
      <c r="J619" s="13">
        <v>55.3</v>
      </c>
      <c r="K619" s="13">
        <v>232.6</v>
      </c>
      <c r="L619" s="13">
        <v>48.9</v>
      </c>
      <c r="M619" s="35">
        <v>290.5</v>
      </c>
      <c r="N619" s="13">
        <v>364.7</v>
      </c>
      <c r="O619" s="13">
        <v>174.2</v>
      </c>
      <c r="P619" s="13">
        <v>56.8</v>
      </c>
      <c r="Q619" s="13">
        <v>227.7</v>
      </c>
      <c r="R619" s="13">
        <v>41.77</v>
      </c>
      <c r="S619" s="13">
        <v>241.6</v>
      </c>
      <c r="T619" s="13">
        <v>927</v>
      </c>
      <c r="U619" s="13">
        <v>36.82</v>
      </c>
      <c r="V619" s="13">
        <v>77.3</v>
      </c>
      <c r="W619" s="13">
        <v>8.1</v>
      </c>
      <c r="X619" s="13">
        <v>37.51</v>
      </c>
      <c r="Y619" s="13">
        <v>4.2089999999999996</v>
      </c>
      <c r="Z619" s="35">
        <v>2826</v>
      </c>
      <c r="AA619" s="13"/>
      <c r="AB619" s="13"/>
      <c r="AC619" s="14">
        <v>1177.0270270270271</v>
      </c>
      <c r="AD619" s="14">
        <v>1008.8809946714032</v>
      </c>
      <c r="AE619" s="14">
        <v>1144.221105527638</v>
      </c>
      <c r="AF619" s="14">
        <v>1157.0637119113574</v>
      </c>
      <c r="AG619" s="15">
        <v>0.86925734523785914</v>
      </c>
      <c r="AH619" s="15">
        <v>0.86934417023673627</v>
      </c>
      <c r="AI619" s="15">
        <v>0.86204491261713956</v>
      </c>
      <c r="AJ619" s="41">
        <f t="shared" si="18"/>
        <v>701.5</v>
      </c>
      <c r="AK619" s="44">
        <f t="shared" si="19"/>
        <v>0.31337648327939588</v>
      </c>
      <c r="AL619" s="10"/>
      <c r="AM619" s="10"/>
    </row>
    <row r="620" spans="1:39" s="16" customFormat="1" ht="19" customHeight="1">
      <c r="A620" s="29" t="s">
        <v>681</v>
      </c>
      <c r="B620" s="29" t="s">
        <v>1368</v>
      </c>
      <c r="C620" s="29"/>
      <c r="D620" s="29"/>
      <c r="E620" s="36" t="s">
        <v>234</v>
      </c>
      <c r="F620" s="36" t="s">
        <v>249</v>
      </c>
      <c r="G620" s="31" t="s">
        <v>439</v>
      </c>
      <c r="H620" s="35">
        <v>8.4000000000000005E-2</v>
      </c>
      <c r="I620" s="35">
        <v>7.79</v>
      </c>
      <c r="J620" s="13">
        <v>62.9</v>
      </c>
      <c r="K620" s="13">
        <v>258</v>
      </c>
      <c r="L620" s="13">
        <v>52.2</v>
      </c>
      <c r="M620" s="35">
        <v>308.2</v>
      </c>
      <c r="N620" s="13">
        <v>374.8</v>
      </c>
      <c r="O620" s="13">
        <v>177.4</v>
      </c>
      <c r="P620" s="13">
        <v>57.6</v>
      </c>
      <c r="Q620" s="13">
        <v>252.9</v>
      </c>
      <c r="R620" s="13">
        <v>47.47</v>
      </c>
      <c r="S620" s="13">
        <v>286.2</v>
      </c>
      <c r="T620" s="13">
        <v>1157</v>
      </c>
      <c r="U620" s="13">
        <v>44.71</v>
      </c>
      <c r="V620" s="13">
        <v>90</v>
      </c>
      <c r="W620" s="13">
        <v>8.32</v>
      </c>
      <c r="X620" s="13">
        <v>36.22</v>
      </c>
      <c r="Y620" s="13">
        <v>3.8919999999999999</v>
      </c>
      <c r="Z620" s="35">
        <v>2815</v>
      </c>
      <c r="AA620" s="13"/>
      <c r="AB620" s="13"/>
      <c r="AC620" s="14">
        <v>1198.6486486486488</v>
      </c>
      <c r="AD620" s="14">
        <v>1023.0905861456484</v>
      </c>
      <c r="AE620" s="14">
        <v>1270.8542713567838</v>
      </c>
      <c r="AF620" s="14">
        <v>1314.9584487534626</v>
      </c>
      <c r="AG620" s="15">
        <v>0.82858017932078243</v>
      </c>
      <c r="AH620" s="15">
        <v>0.82893458940027831</v>
      </c>
      <c r="AI620" s="15">
        <v>0.82759046601730868</v>
      </c>
      <c r="AJ620" s="41">
        <f t="shared" si="18"/>
        <v>747.9</v>
      </c>
      <c r="AK620" s="44">
        <f t="shared" si="19"/>
        <v>0.26637856525496972</v>
      </c>
      <c r="AL620" s="10"/>
      <c r="AM620" s="10"/>
    </row>
    <row r="621" spans="1:39" s="16" customFormat="1" ht="19" customHeight="1">
      <c r="A621" s="29" t="s">
        <v>682</v>
      </c>
      <c r="B621" s="29" t="s">
        <v>1368</v>
      </c>
      <c r="C621" s="29"/>
      <c r="D621" s="29"/>
      <c r="E621" s="36" t="s">
        <v>234</v>
      </c>
      <c r="F621" s="36" t="s">
        <v>249</v>
      </c>
      <c r="G621" s="31" t="s">
        <v>439</v>
      </c>
      <c r="H621" s="35">
        <v>0.24199999999999999</v>
      </c>
      <c r="I621" s="35">
        <v>7.83</v>
      </c>
      <c r="J621" s="13">
        <v>51.78</v>
      </c>
      <c r="K621" s="13">
        <v>216.3</v>
      </c>
      <c r="L621" s="13">
        <v>45.3</v>
      </c>
      <c r="M621" s="35">
        <v>297.60000000000002</v>
      </c>
      <c r="N621" s="13">
        <v>340.1</v>
      </c>
      <c r="O621" s="13">
        <v>160.4</v>
      </c>
      <c r="P621" s="13">
        <v>47.19</v>
      </c>
      <c r="Q621" s="13">
        <v>218.4</v>
      </c>
      <c r="R621" s="13">
        <v>39.58</v>
      </c>
      <c r="S621" s="13">
        <v>231.4</v>
      </c>
      <c r="T621" s="13">
        <v>856</v>
      </c>
      <c r="U621" s="13">
        <v>35.58</v>
      </c>
      <c r="V621" s="13">
        <v>74.3</v>
      </c>
      <c r="W621" s="13">
        <v>7.44</v>
      </c>
      <c r="X621" s="13">
        <v>32.33</v>
      </c>
      <c r="Y621" s="13">
        <v>3.597</v>
      </c>
      <c r="Z621" s="35">
        <v>2806</v>
      </c>
      <c r="AA621" s="13"/>
      <c r="AB621" s="13"/>
      <c r="AC621" s="14">
        <v>1083.783783783784</v>
      </c>
      <c r="AD621" s="14">
        <v>838.18827708703373</v>
      </c>
      <c r="AE621" s="14">
        <v>1097.4874371859296</v>
      </c>
      <c r="AF621" s="14">
        <v>1096.398891966759</v>
      </c>
      <c r="AG621" s="15">
        <v>0.76853191756172878</v>
      </c>
      <c r="AH621" s="15">
        <v>0.76854708450846798</v>
      </c>
      <c r="AI621" s="15">
        <v>0.77041303301790121</v>
      </c>
      <c r="AJ621" s="41">
        <f t="shared" si="18"/>
        <v>653.48</v>
      </c>
      <c r="AK621" s="44">
        <f t="shared" si="19"/>
        <v>0.34766355140186916</v>
      </c>
      <c r="AL621" s="10"/>
      <c r="AM621" s="10"/>
    </row>
    <row r="622" spans="1:39" s="16" customFormat="1" ht="19" customHeight="1">
      <c r="A622" s="29" t="s">
        <v>683</v>
      </c>
      <c r="B622" s="29" t="s">
        <v>1368</v>
      </c>
      <c r="C622" s="29"/>
      <c r="D622" s="29"/>
      <c r="E622" s="36" t="s">
        <v>234</v>
      </c>
      <c r="F622" s="36" t="s">
        <v>249</v>
      </c>
      <c r="G622" s="31" t="s">
        <v>439</v>
      </c>
      <c r="H622" s="35">
        <v>0.11799999999999999</v>
      </c>
      <c r="I622" s="35">
        <v>7.08</v>
      </c>
      <c r="J622" s="13">
        <v>57.5</v>
      </c>
      <c r="K622" s="13">
        <v>252.2</v>
      </c>
      <c r="L622" s="13">
        <v>52.6</v>
      </c>
      <c r="M622" s="35">
        <v>250</v>
      </c>
      <c r="N622" s="13">
        <v>397.3</v>
      </c>
      <c r="O622" s="13">
        <v>199.2</v>
      </c>
      <c r="P622" s="13">
        <v>41.97</v>
      </c>
      <c r="Q622" s="13">
        <v>293.39999999999998</v>
      </c>
      <c r="R622" s="13">
        <v>57.27</v>
      </c>
      <c r="S622" s="13">
        <v>330.6</v>
      </c>
      <c r="T622" s="13">
        <v>1230</v>
      </c>
      <c r="U622" s="13">
        <v>48.36</v>
      </c>
      <c r="V622" s="13">
        <v>85.1</v>
      </c>
      <c r="W622" s="13">
        <v>7.21</v>
      </c>
      <c r="X622" s="13">
        <v>29.88</v>
      </c>
      <c r="Y622" s="13">
        <v>3.3140000000000001</v>
      </c>
      <c r="Z622" s="35">
        <v>2933</v>
      </c>
      <c r="AA622" s="13"/>
      <c r="AB622" s="13"/>
      <c r="AC622" s="14">
        <v>1345.9459459459458</v>
      </c>
      <c r="AD622" s="14">
        <v>745.47069271758437</v>
      </c>
      <c r="AE622" s="14">
        <v>1474.3718592964822</v>
      </c>
      <c r="AF622" s="14">
        <v>1586.426592797784</v>
      </c>
      <c r="AG622" s="15">
        <v>0.52864304251946204</v>
      </c>
      <c r="AH622" s="15">
        <v>0.52919197355524195</v>
      </c>
      <c r="AI622" s="15">
        <v>0.52433095963166243</v>
      </c>
      <c r="AJ622" s="41">
        <f t="shared" si="18"/>
        <v>759.6</v>
      </c>
      <c r="AK622" s="44">
        <f t="shared" si="19"/>
        <v>0.2032520325203252</v>
      </c>
      <c r="AL622" s="10"/>
      <c r="AM622" s="10"/>
    </row>
    <row r="623" spans="1:39" s="16" customFormat="1" ht="19" customHeight="1">
      <c r="A623" s="29" t="s">
        <v>684</v>
      </c>
      <c r="B623" s="29" t="s">
        <v>1368</v>
      </c>
      <c r="C623" s="29"/>
      <c r="D623" s="29"/>
      <c r="E623" s="36" t="s">
        <v>234</v>
      </c>
      <c r="F623" s="36" t="s">
        <v>249</v>
      </c>
      <c r="G623" s="31" t="s">
        <v>439</v>
      </c>
      <c r="H623" s="35">
        <v>2.8400000000000002E-2</v>
      </c>
      <c r="I623" s="35">
        <v>4.0369999999999999</v>
      </c>
      <c r="J623" s="13">
        <v>85.4</v>
      </c>
      <c r="K623" s="13">
        <v>408.2</v>
      </c>
      <c r="L623" s="13">
        <v>84.8</v>
      </c>
      <c r="M623" s="35">
        <v>301.60000000000002</v>
      </c>
      <c r="N623" s="13">
        <v>566</v>
      </c>
      <c r="O623" s="13">
        <v>206.4</v>
      </c>
      <c r="P623" s="13">
        <v>41.5</v>
      </c>
      <c r="Q623" s="13">
        <v>205.7</v>
      </c>
      <c r="R623" s="13">
        <v>36.46</v>
      </c>
      <c r="S623" s="13">
        <v>225.5</v>
      </c>
      <c r="T623" s="13">
        <v>978</v>
      </c>
      <c r="U623" s="13">
        <v>39.75</v>
      </c>
      <c r="V623" s="13">
        <v>107.7</v>
      </c>
      <c r="W623" s="13">
        <v>15.46</v>
      </c>
      <c r="X623" s="13">
        <v>96.2</v>
      </c>
      <c r="Y623" s="13">
        <v>13.09</v>
      </c>
      <c r="Z623" s="35">
        <v>1312</v>
      </c>
      <c r="AA623" s="13"/>
      <c r="AB623" s="13"/>
      <c r="AC623" s="14">
        <v>1394.5945945945948</v>
      </c>
      <c r="AD623" s="14">
        <v>737.1225577264654</v>
      </c>
      <c r="AE623" s="14">
        <v>1033.6683417085426</v>
      </c>
      <c r="AF623" s="14">
        <v>1009.972299168975</v>
      </c>
      <c r="AG623" s="15">
        <v>0.60711922642832372</v>
      </c>
      <c r="AH623" s="15">
        <v>0.61393883454760056</v>
      </c>
      <c r="AI623" s="15">
        <v>0.58857872923634891</v>
      </c>
      <c r="AJ623" s="41">
        <f t="shared" si="18"/>
        <v>1144.4000000000001</v>
      </c>
      <c r="AK623" s="44">
        <f t="shared" si="19"/>
        <v>0.30838445807770964</v>
      </c>
      <c r="AL623" s="10"/>
      <c r="AM623" s="10"/>
    </row>
    <row r="624" spans="1:39" s="16" customFormat="1" ht="19" customHeight="1">
      <c r="A624" s="29" t="s">
        <v>685</v>
      </c>
      <c r="B624" s="29" t="s">
        <v>1368</v>
      </c>
      <c r="C624" s="29"/>
      <c r="D624" s="29"/>
      <c r="E624" s="36" t="s">
        <v>234</v>
      </c>
      <c r="F624" s="36" t="s">
        <v>249</v>
      </c>
      <c r="G624" s="31" t="s">
        <v>439</v>
      </c>
      <c r="H624" s="35">
        <v>0.63900000000000001</v>
      </c>
      <c r="I624" s="35">
        <v>26.44</v>
      </c>
      <c r="J624" s="13">
        <v>223.1</v>
      </c>
      <c r="K624" s="13">
        <v>749</v>
      </c>
      <c r="L624" s="13">
        <v>119.6</v>
      </c>
      <c r="M624" s="35">
        <v>253.8</v>
      </c>
      <c r="N624" s="13">
        <v>692</v>
      </c>
      <c r="O624" s="13">
        <v>259.39999999999998</v>
      </c>
      <c r="P624" s="13">
        <v>18.04</v>
      </c>
      <c r="Q624" s="13">
        <v>314.5</v>
      </c>
      <c r="R624" s="13">
        <v>58.8</v>
      </c>
      <c r="S624" s="13">
        <v>350.7</v>
      </c>
      <c r="T624" s="13">
        <v>1553</v>
      </c>
      <c r="U624" s="13">
        <v>55.08</v>
      </c>
      <c r="V624" s="13">
        <v>126.2</v>
      </c>
      <c r="W624" s="13">
        <v>15.49</v>
      </c>
      <c r="X624" s="13">
        <v>85.8</v>
      </c>
      <c r="Y624" s="13">
        <v>10.119999999999999</v>
      </c>
      <c r="Z624" s="35">
        <v>3483</v>
      </c>
      <c r="AA624" s="13"/>
      <c r="AB624" s="13"/>
      <c r="AC624" s="14">
        <v>1752.7027027027027</v>
      </c>
      <c r="AD624" s="14">
        <v>320.42628774422735</v>
      </c>
      <c r="AE624" s="14">
        <v>1580.4020100502512</v>
      </c>
      <c r="AF624" s="14">
        <v>1628.8088642659279</v>
      </c>
      <c r="AG624" s="15">
        <v>0.19226895963887891</v>
      </c>
      <c r="AH624" s="15">
        <v>0.19252637045145365</v>
      </c>
      <c r="AI624" s="15">
        <v>0.18734089601820816</v>
      </c>
      <c r="AJ624" s="41">
        <f t="shared" si="18"/>
        <v>1783.7</v>
      </c>
      <c r="AK624" s="44">
        <f t="shared" si="19"/>
        <v>0.16342562781712813</v>
      </c>
      <c r="AL624" s="10"/>
      <c r="AM624" s="10"/>
    </row>
    <row r="625" spans="1:39" s="16" customFormat="1" ht="19" customHeight="1">
      <c r="A625" s="29" t="s">
        <v>686</v>
      </c>
      <c r="B625" s="29" t="s">
        <v>1368</v>
      </c>
      <c r="C625" s="29"/>
      <c r="D625" s="29"/>
      <c r="E625" s="36" t="s">
        <v>234</v>
      </c>
      <c r="F625" s="36" t="s">
        <v>249</v>
      </c>
      <c r="G625" s="31" t="s">
        <v>439</v>
      </c>
      <c r="H625" s="35">
        <v>0.29199999999999998</v>
      </c>
      <c r="I625" s="35">
        <v>7.81</v>
      </c>
      <c r="J625" s="13">
        <v>53.3</v>
      </c>
      <c r="K625" s="13">
        <v>205.6</v>
      </c>
      <c r="L625" s="13">
        <v>40.409999999999997</v>
      </c>
      <c r="M625" s="35">
        <v>278.2</v>
      </c>
      <c r="N625" s="13">
        <v>275.2</v>
      </c>
      <c r="O625" s="13">
        <v>133.5</v>
      </c>
      <c r="P625" s="13">
        <v>50.9</v>
      </c>
      <c r="Q625" s="13">
        <v>183</v>
      </c>
      <c r="R625" s="13">
        <v>36.33</v>
      </c>
      <c r="S625" s="13">
        <v>227.4</v>
      </c>
      <c r="T625" s="13">
        <v>939</v>
      </c>
      <c r="U625" s="13">
        <v>39.39</v>
      </c>
      <c r="V625" s="13">
        <v>91.6</v>
      </c>
      <c r="W625" s="13">
        <v>10.83</v>
      </c>
      <c r="X625" s="13">
        <v>58.03</v>
      </c>
      <c r="Y625" s="13">
        <v>6.88</v>
      </c>
      <c r="Z625" s="35">
        <v>2669</v>
      </c>
      <c r="AA625" s="13"/>
      <c r="AB625" s="13"/>
      <c r="AC625" s="14">
        <v>902.02702702702709</v>
      </c>
      <c r="AD625" s="14">
        <v>904.08525754884556</v>
      </c>
      <c r="AE625" s="14">
        <v>919.59798994974869</v>
      </c>
      <c r="AF625" s="14">
        <v>1006.371191135734</v>
      </c>
      <c r="AG625" s="15">
        <v>0.99261401125166016</v>
      </c>
      <c r="AH625" s="15">
        <v>0.99266019124573579</v>
      </c>
      <c r="AI625" s="15">
        <v>0.96637040723727996</v>
      </c>
      <c r="AJ625" s="41">
        <f t="shared" si="18"/>
        <v>574.51</v>
      </c>
      <c r="AK625" s="44">
        <f t="shared" si="19"/>
        <v>0.29627263045793395</v>
      </c>
      <c r="AL625" s="10"/>
      <c r="AM625" s="10"/>
    </row>
    <row r="626" spans="1:39" s="16" customFormat="1" ht="19" customHeight="1">
      <c r="A626" s="29" t="s">
        <v>687</v>
      </c>
      <c r="B626" s="29" t="s">
        <v>1368</v>
      </c>
      <c r="C626" s="29"/>
      <c r="D626" s="29"/>
      <c r="E626" s="36" t="s">
        <v>234</v>
      </c>
      <c r="F626" s="36" t="s">
        <v>249</v>
      </c>
      <c r="G626" s="31" t="s">
        <v>439</v>
      </c>
      <c r="H626" s="35">
        <v>0.28599999999999998</v>
      </c>
      <c r="I626" s="35">
        <v>7.5810000000000004</v>
      </c>
      <c r="J626" s="13">
        <v>53.2</v>
      </c>
      <c r="K626" s="13">
        <v>199.8</v>
      </c>
      <c r="L626" s="13">
        <v>38.9</v>
      </c>
      <c r="M626" s="35">
        <v>276.3</v>
      </c>
      <c r="N626" s="13">
        <v>262.39999999999998</v>
      </c>
      <c r="O626" s="13">
        <v>131.30000000000001</v>
      </c>
      <c r="P626" s="13">
        <v>49.38</v>
      </c>
      <c r="Q626" s="13">
        <v>181.9</v>
      </c>
      <c r="R626" s="13">
        <v>35.61</v>
      </c>
      <c r="S626" s="13">
        <v>228.1</v>
      </c>
      <c r="T626" s="13">
        <v>927</v>
      </c>
      <c r="U626" s="13">
        <v>39.299999999999997</v>
      </c>
      <c r="V626" s="13">
        <v>91.8</v>
      </c>
      <c r="W626" s="13">
        <v>10.73</v>
      </c>
      <c r="X626" s="13">
        <v>56.41</v>
      </c>
      <c r="Y626" s="13">
        <v>6.83</v>
      </c>
      <c r="Z626" s="35">
        <v>2679</v>
      </c>
      <c r="AA626" s="13"/>
      <c r="AB626" s="13"/>
      <c r="AC626" s="14">
        <v>887.1621621621623</v>
      </c>
      <c r="AD626" s="14">
        <v>877.08703374777986</v>
      </c>
      <c r="AE626" s="14">
        <v>914.070351758794</v>
      </c>
      <c r="AF626" s="14">
        <v>986.42659279778388</v>
      </c>
      <c r="AG626" s="15">
        <v>0.97387430769670102</v>
      </c>
      <c r="AH626" s="15">
        <v>0.97398299404893285</v>
      </c>
      <c r="AI626" s="15">
        <v>0.9543018373466835</v>
      </c>
      <c r="AJ626" s="41">
        <f t="shared" si="18"/>
        <v>554.29999999999995</v>
      </c>
      <c r="AK626" s="44">
        <f t="shared" si="19"/>
        <v>0.29805825242718448</v>
      </c>
      <c r="AL626" s="10"/>
      <c r="AM626" s="10"/>
    </row>
    <row r="627" spans="1:39" s="16" customFormat="1" ht="19" customHeight="1">
      <c r="A627" s="29" t="s">
        <v>688</v>
      </c>
      <c r="B627" s="29" t="s">
        <v>1368</v>
      </c>
      <c r="C627" s="29"/>
      <c r="D627" s="29"/>
      <c r="E627" s="36" t="s">
        <v>234</v>
      </c>
      <c r="F627" s="36" t="s">
        <v>249</v>
      </c>
      <c r="G627" s="31" t="s">
        <v>439</v>
      </c>
      <c r="H627" s="35">
        <v>0.45300000000000001</v>
      </c>
      <c r="I627" s="35">
        <v>15.54</v>
      </c>
      <c r="J627" s="13">
        <v>54.5</v>
      </c>
      <c r="K627" s="13">
        <v>212.8</v>
      </c>
      <c r="L627" s="13">
        <v>41.61</v>
      </c>
      <c r="M627" s="35">
        <v>303.39999999999998</v>
      </c>
      <c r="N627" s="13">
        <v>282.7</v>
      </c>
      <c r="O627" s="13">
        <v>145.30000000000001</v>
      </c>
      <c r="P627" s="13">
        <v>57.06</v>
      </c>
      <c r="Q627" s="13">
        <v>198.5</v>
      </c>
      <c r="R627" s="13">
        <v>38.71</v>
      </c>
      <c r="S627" s="13">
        <v>240.9</v>
      </c>
      <c r="T627" s="13">
        <v>964</v>
      </c>
      <c r="U627" s="13">
        <v>40.200000000000003</v>
      </c>
      <c r="V627" s="13">
        <v>92.5</v>
      </c>
      <c r="W627" s="13">
        <v>10.57</v>
      </c>
      <c r="X627" s="13">
        <v>54.93</v>
      </c>
      <c r="Y627" s="13">
        <v>6.72</v>
      </c>
      <c r="Z627" s="35">
        <v>3097</v>
      </c>
      <c r="AA627" s="13"/>
      <c r="AB627" s="13"/>
      <c r="AC627" s="14">
        <v>981.75675675675689</v>
      </c>
      <c r="AD627" s="14">
        <v>1013.499111900533</v>
      </c>
      <c r="AE627" s="14">
        <v>997.48743718592959</v>
      </c>
      <c r="AF627" s="14">
        <v>1072.2991689750693</v>
      </c>
      <c r="AG627" s="15">
        <v>1.0241274068174744</v>
      </c>
      <c r="AH627" s="15">
        <v>1.0241597543252616</v>
      </c>
      <c r="AI627" s="15">
        <v>1.0024178319593378</v>
      </c>
      <c r="AJ627" s="41">
        <f t="shared" si="18"/>
        <v>591.61</v>
      </c>
      <c r="AK627" s="44">
        <f t="shared" si="19"/>
        <v>0.31473029045643153</v>
      </c>
      <c r="AL627" s="10"/>
      <c r="AM627" s="10"/>
    </row>
    <row r="628" spans="1:39" s="16" customFormat="1" ht="19" customHeight="1">
      <c r="A628" s="29" t="s">
        <v>689</v>
      </c>
      <c r="B628" s="29" t="s">
        <v>1368</v>
      </c>
      <c r="C628" s="29"/>
      <c r="D628" s="29"/>
      <c r="E628" s="36" t="s">
        <v>234</v>
      </c>
      <c r="F628" s="36" t="s">
        <v>249</v>
      </c>
      <c r="G628" s="31" t="s">
        <v>439</v>
      </c>
      <c r="H628" s="35">
        <v>0.19</v>
      </c>
      <c r="I628" s="35">
        <v>8.6999999999999993</v>
      </c>
      <c r="J628" s="13">
        <v>56.3</v>
      </c>
      <c r="K628" s="13">
        <v>226</v>
      </c>
      <c r="L628" s="13">
        <v>46</v>
      </c>
      <c r="M628" s="35">
        <v>319.3</v>
      </c>
      <c r="N628" s="13">
        <v>317.10000000000002</v>
      </c>
      <c r="O628" s="13">
        <v>164.6</v>
      </c>
      <c r="P628" s="13">
        <v>56.2</v>
      </c>
      <c r="Q628" s="13">
        <v>232.8</v>
      </c>
      <c r="R628" s="13">
        <v>44.24</v>
      </c>
      <c r="S628" s="13">
        <v>270.10000000000002</v>
      </c>
      <c r="T628" s="13">
        <v>1072</v>
      </c>
      <c r="U628" s="13">
        <v>43.81</v>
      </c>
      <c r="V628" s="13">
        <v>89.8</v>
      </c>
      <c r="W628" s="13">
        <v>8.27</v>
      </c>
      <c r="X628" s="13">
        <v>35.82</v>
      </c>
      <c r="Y628" s="13">
        <v>3.97</v>
      </c>
      <c r="Z628" s="35">
        <v>3260</v>
      </c>
      <c r="AA628" s="13"/>
      <c r="AB628" s="13"/>
      <c r="AC628" s="14">
        <v>1112.1621621621621</v>
      </c>
      <c r="AD628" s="14">
        <v>998.2238010657195</v>
      </c>
      <c r="AE628" s="14">
        <v>1169.8492462311558</v>
      </c>
      <c r="AF628" s="14">
        <v>1225.4847645429363</v>
      </c>
      <c r="AG628" s="15">
        <v>0.87486311189700239</v>
      </c>
      <c r="AH628" s="15">
        <v>0.8751427780237403</v>
      </c>
      <c r="AI628" s="15">
        <v>0.86898685146127319</v>
      </c>
      <c r="AJ628" s="41">
        <f t="shared" si="18"/>
        <v>645.40000000000009</v>
      </c>
      <c r="AK628" s="44">
        <f t="shared" si="19"/>
        <v>0.29785447761194028</v>
      </c>
      <c r="AL628" s="10"/>
      <c r="AM628" s="10"/>
    </row>
    <row r="629" spans="1:39" s="16" customFormat="1" ht="19" customHeight="1">
      <c r="A629" s="29" t="s">
        <v>690</v>
      </c>
      <c r="B629" s="29" t="s">
        <v>1368</v>
      </c>
      <c r="C629" s="29"/>
      <c r="D629" s="29"/>
      <c r="E629" s="36" t="s">
        <v>234</v>
      </c>
      <c r="F629" s="36" t="s">
        <v>249</v>
      </c>
      <c r="G629" s="31" t="s">
        <v>439</v>
      </c>
      <c r="H629" s="35">
        <v>0.121</v>
      </c>
      <c r="I629" s="35">
        <v>7.52</v>
      </c>
      <c r="J629" s="13">
        <v>57.4</v>
      </c>
      <c r="K629" s="13">
        <v>246.3</v>
      </c>
      <c r="L629" s="13">
        <v>51.8</v>
      </c>
      <c r="M629" s="35">
        <v>322.2</v>
      </c>
      <c r="N629" s="13">
        <v>368.7</v>
      </c>
      <c r="O629" s="13">
        <v>184</v>
      </c>
      <c r="P629" s="13">
        <v>58</v>
      </c>
      <c r="Q629" s="13">
        <v>246.4</v>
      </c>
      <c r="R629" s="13">
        <v>45.52</v>
      </c>
      <c r="S629" s="13">
        <v>266.5</v>
      </c>
      <c r="T629" s="13">
        <v>988</v>
      </c>
      <c r="U629" s="13">
        <v>40.42</v>
      </c>
      <c r="V629" s="13">
        <v>77.900000000000006</v>
      </c>
      <c r="W629" s="13">
        <v>7.29</v>
      </c>
      <c r="X629" s="13">
        <v>33.46</v>
      </c>
      <c r="Y629" s="13">
        <v>3.71</v>
      </c>
      <c r="Z629" s="35">
        <v>2985</v>
      </c>
      <c r="AA629" s="13"/>
      <c r="AB629" s="13"/>
      <c r="AC629" s="14">
        <v>1243.2432432432433</v>
      </c>
      <c r="AD629" s="14">
        <v>1030.195381882771</v>
      </c>
      <c r="AE629" s="14">
        <v>1238.1909547738694</v>
      </c>
      <c r="AF629" s="14">
        <v>1260.9418282548477</v>
      </c>
      <c r="AG629" s="15">
        <v>0.83032254710279152</v>
      </c>
      <c r="AH629" s="15">
        <v>0.83032426813476301</v>
      </c>
      <c r="AI629" s="15">
        <v>0.82474022478903397</v>
      </c>
      <c r="AJ629" s="41">
        <f t="shared" si="18"/>
        <v>724.2</v>
      </c>
      <c r="AK629" s="44">
        <f t="shared" si="19"/>
        <v>0.3261133603238866</v>
      </c>
      <c r="AL629" s="10"/>
      <c r="AM629" s="10"/>
    </row>
    <row r="630" spans="1:39" s="16" customFormat="1" ht="19" customHeight="1">
      <c r="A630" s="29" t="s">
        <v>691</v>
      </c>
      <c r="B630" s="29" t="s">
        <v>1370</v>
      </c>
      <c r="C630" s="29"/>
      <c r="D630" s="29"/>
      <c r="E630" s="36" t="s">
        <v>234</v>
      </c>
      <c r="F630" s="36" t="s">
        <v>249</v>
      </c>
      <c r="G630" s="31" t="s">
        <v>439</v>
      </c>
      <c r="H630" s="35">
        <v>1.48</v>
      </c>
      <c r="I630" s="35">
        <v>16.600000000000001</v>
      </c>
      <c r="J630" s="13">
        <v>170.3</v>
      </c>
      <c r="K630" s="13">
        <v>634</v>
      </c>
      <c r="L630" s="13">
        <v>111.8</v>
      </c>
      <c r="M630" s="35">
        <v>120.3</v>
      </c>
      <c r="N630" s="13">
        <v>664</v>
      </c>
      <c r="O630" s="13">
        <v>271.39999999999998</v>
      </c>
      <c r="P630" s="13">
        <v>14.05</v>
      </c>
      <c r="Q630" s="13">
        <v>343.5</v>
      </c>
      <c r="R630" s="13">
        <v>58.8</v>
      </c>
      <c r="S630" s="13">
        <v>390.8</v>
      </c>
      <c r="T630" s="13">
        <v>1996</v>
      </c>
      <c r="U630" s="13">
        <v>73.2</v>
      </c>
      <c r="V630" s="13">
        <v>193.8</v>
      </c>
      <c r="W630" s="13">
        <v>25.3</v>
      </c>
      <c r="X630" s="13">
        <v>142.19999999999999</v>
      </c>
      <c r="Y630" s="13">
        <v>17.47</v>
      </c>
      <c r="Z630" s="35">
        <v>1731</v>
      </c>
      <c r="AA630" s="13"/>
      <c r="AB630" s="13"/>
      <c r="AC630" s="14">
        <v>1833.7837837837837</v>
      </c>
      <c r="AD630" s="14">
        <v>249.55595026642987</v>
      </c>
      <c r="AE630" s="14">
        <v>1726.1306532663316</v>
      </c>
      <c r="AF630" s="14">
        <v>1628.8088642659279</v>
      </c>
      <c r="AG630" s="15">
        <v>0.14020334178212537</v>
      </c>
      <c r="AH630" s="15">
        <v>0.14026749235915026</v>
      </c>
      <c r="AI630" s="15">
        <v>0.14157257664618858</v>
      </c>
      <c r="AJ630" s="41">
        <f t="shared" si="18"/>
        <v>1580.1</v>
      </c>
      <c r="AK630" s="44">
        <f t="shared" si="19"/>
        <v>6.0270541082164328E-2</v>
      </c>
      <c r="AL630" s="10"/>
      <c r="AM630" s="10"/>
    </row>
    <row r="631" spans="1:39" s="16" customFormat="1" ht="19" customHeight="1">
      <c r="A631" s="29" t="s">
        <v>692</v>
      </c>
      <c r="B631" s="29" t="s">
        <v>1370</v>
      </c>
      <c r="C631" s="29"/>
      <c r="D631" s="29"/>
      <c r="E631" s="36" t="s">
        <v>234</v>
      </c>
      <c r="F631" s="36" t="s">
        <v>249</v>
      </c>
      <c r="G631" s="31" t="s">
        <v>439</v>
      </c>
      <c r="H631" s="35">
        <v>2.581</v>
      </c>
      <c r="I631" s="35">
        <v>24.13</v>
      </c>
      <c r="J631" s="13">
        <v>143.19999999999999</v>
      </c>
      <c r="K631" s="13">
        <v>561.5</v>
      </c>
      <c r="L631" s="13">
        <v>109.4</v>
      </c>
      <c r="M631" s="35">
        <v>115.2</v>
      </c>
      <c r="N631" s="13">
        <v>700</v>
      </c>
      <c r="O631" s="13">
        <v>324.3</v>
      </c>
      <c r="P631" s="13">
        <v>20.86</v>
      </c>
      <c r="Q631" s="13">
        <v>421.8</v>
      </c>
      <c r="R631" s="13">
        <v>73.900000000000006</v>
      </c>
      <c r="S631" s="13">
        <v>480</v>
      </c>
      <c r="T631" s="13">
        <v>2342</v>
      </c>
      <c r="U631" s="13">
        <v>85.8</v>
      </c>
      <c r="V631" s="13">
        <v>223.3</v>
      </c>
      <c r="W631" s="13">
        <v>28.67</v>
      </c>
      <c r="X631" s="13">
        <v>163.1</v>
      </c>
      <c r="Y631" s="13">
        <v>19.52</v>
      </c>
      <c r="Z631" s="35">
        <v>1520</v>
      </c>
      <c r="AA631" s="13"/>
      <c r="AB631" s="13"/>
      <c r="AC631" s="14">
        <v>2191.2162162162163</v>
      </c>
      <c r="AD631" s="14">
        <v>370.51509769094139</v>
      </c>
      <c r="AE631" s="14">
        <v>2119.5979899497488</v>
      </c>
      <c r="AF631" s="14">
        <v>2047.0914127423823</v>
      </c>
      <c r="AG631" s="15">
        <v>0.17190028610417762</v>
      </c>
      <c r="AH631" s="15">
        <v>0.17192401431700843</v>
      </c>
      <c r="AI631" s="15">
        <v>0.17296969059425557</v>
      </c>
      <c r="AJ631" s="41">
        <f t="shared" si="18"/>
        <v>1514.1</v>
      </c>
      <c r="AK631" s="44">
        <f t="shared" si="19"/>
        <v>4.9188727583262169E-2</v>
      </c>
      <c r="AL631" s="10"/>
      <c r="AM631" s="10"/>
    </row>
    <row r="632" spans="1:39" s="16" customFormat="1" ht="19" customHeight="1">
      <c r="A632" s="29" t="s">
        <v>693</v>
      </c>
      <c r="B632" s="29" t="s">
        <v>1370</v>
      </c>
      <c r="C632" s="29"/>
      <c r="D632" s="29"/>
      <c r="E632" s="36" t="s">
        <v>234</v>
      </c>
      <c r="F632" s="36" t="s">
        <v>249</v>
      </c>
      <c r="G632" s="31" t="s">
        <v>439</v>
      </c>
      <c r="H632" s="35">
        <v>0.17599999999999999</v>
      </c>
      <c r="I632" s="35">
        <v>7.74</v>
      </c>
      <c r="J632" s="13">
        <v>114.9</v>
      </c>
      <c r="K632" s="13">
        <v>462.8</v>
      </c>
      <c r="L632" s="13">
        <v>90.3</v>
      </c>
      <c r="M632" s="35">
        <v>117.5</v>
      </c>
      <c r="N632" s="13">
        <v>571.6</v>
      </c>
      <c r="O632" s="13">
        <v>252.4</v>
      </c>
      <c r="P632" s="13">
        <v>14.81</v>
      </c>
      <c r="Q632" s="13">
        <v>323.3</v>
      </c>
      <c r="R632" s="13">
        <v>54.59</v>
      </c>
      <c r="S632" s="13">
        <v>356.4</v>
      </c>
      <c r="T632" s="13">
        <v>1766</v>
      </c>
      <c r="U632" s="13">
        <v>64.099999999999994</v>
      </c>
      <c r="V632" s="13">
        <v>164.8</v>
      </c>
      <c r="W632" s="13">
        <v>20.63</v>
      </c>
      <c r="X632" s="13">
        <v>115.2</v>
      </c>
      <c r="Y632" s="13">
        <v>13.92</v>
      </c>
      <c r="Z632" s="35">
        <v>1601</v>
      </c>
      <c r="AA632" s="13"/>
      <c r="AB632" s="13"/>
      <c r="AC632" s="14">
        <v>1705.4054054054054</v>
      </c>
      <c r="AD632" s="14">
        <v>263.05506216696273</v>
      </c>
      <c r="AE632" s="14">
        <v>1624.6231155778894</v>
      </c>
      <c r="AF632" s="14">
        <v>1512.1883656509697</v>
      </c>
      <c r="AG632" s="15">
        <v>0.15798967516908086</v>
      </c>
      <c r="AH632" s="15">
        <v>0.15803618308267614</v>
      </c>
      <c r="AI632" s="15">
        <v>0.16055590260625741</v>
      </c>
      <c r="AJ632" s="41">
        <f t="shared" si="18"/>
        <v>1239.5999999999999</v>
      </c>
      <c r="AK632" s="44">
        <f t="shared" si="19"/>
        <v>6.6534541336353337E-2</v>
      </c>
      <c r="AL632" s="10"/>
      <c r="AM632" s="10"/>
    </row>
    <row r="633" spans="1:39" s="16" customFormat="1" ht="19" customHeight="1">
      <c r="A633" s="29" t="s">
        <v>694</v>
      </c>
      <c r="B633" s="29" t="s">
        <v>1370</v>
      </c>
      <c r="C633" s="29"/>
      <c r="D633" s="29"/>
      <c r="E633" s="36" t="s">
        <v>234</v>
      </c>
      <c r="F633" s="36" t="s">
        <v>249</v>
      </c>
      <c r="G633" s="31" t="s">
        <v>439</v>
      </c>
      <c r="H633" s="35">
        <v>15.74</v>
      </c>
      <c r="I633" s="35">
        <v>78.5</v>
      </c>
      <c r="J633" s="13">
        <v>237.2</v>
      </c>
      <c r="K633" s="13">
        <v>993</v>
      </c>
      <c r="L633" s="13">
        <v>169.2</v>
      </c>
      <c r="M633" s="35">
        <v>121.1</v>
      </c>
      <c r="N633" s="13">
        <v>1010</v>
      </c>
      <c r="O633" s="13">
        <v>430.1</v>
      </c>
      <c r="P633" s="13">
        <v>22.68</v>
      </c>
      <c r="Q633" s="13">
        <v>549</v>
      </c>
      <c r="R633" s="13">
        <v>97.8</v>
      </c>
      <c r="S633" s="13">
        <v>657</v>
      </c>
      <c r="T633" s="13">
        <v>3394</v>
      </c>
      <c r="U633" s="13">
        <v>123.3</v>
      </c>
      <c r="V633" s="13">
        <v>336.9</v>
      </c>
      <c r="W633" s="13">
        <v>44.2</v>
      </c>
      <c r="X633" s="13">
        <v>257.39999999999998</v>
      </c>
      <c r="Y633" s="13">
        <v>32.15</v>
      </c>
      <c r="Z633" s="35">
        <v>1797</v>
      </c>
      <c r="AA633" s="13"/>
      <c r="AB633" s="13"/>
      <c r="AC633" s="14">
        <v>2906.0810810810813</v>
      </c>
      <c r="AD633" s="14">
        <v>402.84191829484905</v>
      </c>
      <c r="AE633" s="14">
        <v>2758.793969849246</v>
      </c>
      <c r="AF633" s="14">
        <v>2709.1412742382272</v>
      </c>
      <c r="AG633" s="15">
        <v>0.14222446732649166</v>
      </c>
      <c r="AH633" s="15">
        <v>0.1422725638177981</v>
      </c>
      <c r="AI633" s="15">
        <v>0.14190105357463101</v>
      </c>
      <c r="AJ633" s="41">
        <f t="shared" si="18"/>
        <v>2409.4</v>
      </c>
      <c r="AK633" s="44">
        <f t="shared" si="19"/>
        <v>3.5680612846199174E-2</v>
      </c>
      <c r="AL633" s="10"/>
      <c r="AM633" s="10"/>
    </row>
    <row r="634" spans="1:39" s="16" customFormat="1" ht="19" customHeight="1">
      <c r="A634" s="29" t="s">
        <v>695</v>
      </c>
      <c r="B634" s="29" t="s">
        <v>1370</v>
      </c>
      <c r="C634" s="29"/>
      <c r="D634" s="29"/>
      <c r="E634" s="36" t="s">
        <v>234</v>
      </c>
      <c r="F634" s="36" t="s">
        <v>249</v>
      </c>
      <c r="G634" s="31" t="s">
        <v>439</v>
      </c>
      <c r="H634" s="35">
        <v>1.1140000000000001</v>
      </c>
      <c r="I634" s="35">
        <v>24</v>
      </c>
      <c r="J634" s="13">
        <v>155.80000000000001</v>
      </c>
      <c r="K634" s="13">
        <v>650.9</v>
      </c>
      <c r="L634" s="13">
        <v>127.2</v>
      </c>
      <c r="M634" s="35">
        <v>114.6</v>
      </c>
      <c r="N634" s="13">
        <v>790.7</v>
      </c>
      <c r="O634" s="13">
        <v>360.9</v>
      </c>
      <c r="P634" s="13">
        <v>21.05</v>
      </c>
      <c r="Q634" s="13">
        <v>453.5</v>
      </c>
      <c r="R634" s="13">
        <v>77.92</v>
      </c>
      <c r="S634" s="13">
        <v>514</v>
      </c>
      <c r="T634" s="13">
        <v>2569</v>
      </c>
      <c r="U634" s="13">
        <v>91.4</v>
      </c>
      <c r="V634" s="13">
        <v>241.9</v>
      </c>
      <c r="W634" s="13">
        <v>31.29</v>
      </c>
      <c r="X634" s="13">
        <v>180.4</v>
      </c>
      <c r="Y634" s="13">
        <v>21.64</v>
      </c>
      <c r="Z634" s="35">
        <v>1760</v>
      </c>
      <c r="AA634" s="13"/>
      <c r="AB634" s="13"/>
      <c r="AC634" s="14">
        <v>2438.5135135135133</v>
      </c>
      <c r="AD634" s="14">
        <v>373.88987566607466</v>
      </c>
      <c r="AE634" s="14">
        <v>2278.8944723618088</v>
      </c>
      <c r="AF634" s="14">
        <v>2158.4487534626037</v>
      </c>
      <c r="AG634" s="15">
        <v>0.15851496278700553</v>
      </c>
      <c r="AH634" s="15">
        <v>0.15860578161564562</v>
      </c>
      <c r="AI634" s="15">
        <v>0.15969072057076839</v>
      </c>
      <c r="AJ634" s="41">
        <f t="shared" si="18"/>
        <v>1724.6000000000001</v>
      </c>
      <c r="AK634" s="44">
        <f t="shared" si="19"/>
        <v>4.4608797197353056E-2</v>
      </c>
      <c r="AL634" s="10"/>
      <c r="AM634" s="10"/>
    </row>
    <row r="635" spans="1:39" s="16" customFormat="1" ht="19" customHeight="1">
      <c r="A635" s="29" t="s">
        <v>696</v>
      </c>
      <c r="B635" s="29" t="s">
        <v>1370</v>
      </c>
      <c r="C635" s="29"/>
      <c r="D635" s="29"/>
      <c r="E635" s="36" t="s">
        <v>234</v>
      </c>
      <c r="F635" s="36" t="s">
        <v>249</v>
      </c>
      <c r="G635" s="31" t="s">
        <v>439</v>
      </c>
      <c r="H635" s="35">
        <v>0.97899999999999998</v>
      </c>
      <c r="I635" s="35">
        <v>21.27</v>
      </c>
      <c r="J635" s="13">
        <v>166.4</v>
      </c>
      <c r="K635" s="13">
        <v>692</v>
      </c>
      <c r="L635" s="13">
        <v>131.80000000000001</v>
      </c>
      <c r="M635" s="35">
        <v>116.7</v>
      </c>
      <c r="N635" s="13">
        <v>816</v>
      </c>
      <c r="O635" s="13">
        <v>344.8</v>
      </c>
      <c r="P635" s="13">
        <v>19.46</v>
      </c>
      <c r="Q635" s="13">
        <v>429.2</v>
      </c>
      <c r="R635" s="13">
        <v>73.03</v>
      </c>
      <c r="S635" s="13">
        <v>474.4</v>
      </c>
      <c r="T635" s="13">
        <v>2402</v>
      </c>
      <c r="U635" s="13">
        <v>85.3</v>
      </c>
      <c r="V635" s="13">
        <v>224.4</v>
      </c>
      <c r="W635" s="13">
        <v>28.5</v>
      </c>
      <c r="X635" s="13">
        <v>161.9</v>
      </c>
      <c r="Y635" s="13">
        <v>19.36</v>
      </c>
      <c r="Z635" s="35">
        <v>1663</v>
      </c>
      <c r="AA635" s="13"/>
      <c r="AB635" s="13"/>
      <c r="AC635" s="14">
        <v>2329.72972972973</v>
      </c>
      <c r="AD635" s="14">
        <v>345.6483126110125</v>
      </c>
      <c r="AE635" s="14">
        <v>2156.78391959799</v>
      </c>
      <c r="AF635" s="14">
        <v>2022.9916897506926</v>
      </c>
      <c r="AG635" s="15">
        <v>0.15408325467272613</v>
      </c>
      <c r="AH635" s="15">
        <v>0.1541978618678144</v>
      </c>
      <c r="AI635" s="15">
        <v>0.1555127664983261</v>
      </c>
      <c r="AJ635" s="41">
        <f t="shared" si="18"/>
        <v>1806.2</v>
      </c>
      <c r="AK635" s="44">
        <f t="shared" si="19"/>
        <v>4.8584512905911745E-2</v>
      </c>
      <c r="AL635" s="10"/>
      <c r="AM635" s="10"/>
    </row>
    <row r="636" spans="1:39" s="16" customFormat="1" ht="19" customHeight="1">
      <c r="A636" s="29" t="s">
        <v>697</v>
      </c>
      <c r="B636" s="29" t="s">
        <v>1370</v>
      </c>
      <c r="C636" s="29"/>
      <c r="D636" s="29"/>
      <c r="E636" s="36" t="s">
        <v>234</v>
      </c>
      <c r="F636" s="36" t="s">
        <v>249</v>
      </c>
      <c r="G636" s="31" t="s">
        <v>439</v>
      </c>
      <c r="H636" s="35">
        <v>0.52</v>
      </c>
      <c r="I636" s="35">
        <v>13.12</v>
      </c>
      <c r="J636" s="13">
        <v>137.80000000000001</v>
      </c>
      <c r="K636" s="13">
        <v>514.5</v>
      </c>
      <c r="L636" s="13">
        <v>92.1</v>
      </c>
      <c r="M636" s="35">
        <v>118.5</v>
      </c>
      <c r="N636" s="13">
        <v>558</v>
      </c>
      <c r="O636" s="13">
        <v>245.1</v>
      </c>
      <c r="P636" s="13">
        <v>14.36</v>
      </c>
      <c r="Q636" s="13">
        <v>321.2</v>
      </c>
      <c r="R636" s="13">
        <v>55.24</v>
      </c>
      <c r="S636" s="13">
        <v>366.1</v>
      </c>
      <c r="T636" s="13">
        <v>1934</v>
      </c>
      <c r="U636" s="13">
        <v>68.23</v>
      </c>
      <c r="V636" s="13">
        <v>181.3</v>
      </c>
      <c r="W636" s="13">
        <v>23.81</v>
      </c>
      <c r="X636" s="13">
        <v>135.30000000000001</v>
      </c>
      <c r="Y636" s="13">
        <v>16.72</v>
      </c>
      <c r="Z636" s="35">
        <v>1757</v>
      </c>
      <c r="AA636" s="13"/>
      <c r="AB636" s="13"/>
      <c r="AC636" s="14">
        <v>1656.081081081081</v>
      </c>
      <c r="AD636" s="14">
        <v>255.06216696269982</v>
      </c>
      <c r="AE636" s="14">
        <v>1614.0703517587938</v>
      </c>
      <c r="AF636" s="14">
        <v>1530.1939058171745</v>
      </c>
      <c r="AG636" s="15">
        <v>0.15599410131364955</v>
      </c>
      <c r="AH636" s="15">
        <v>0.15600697540703312</v>
      </c>
      <c r="AI636" s="15">
        <v>0.15812826001228888</v>
      </c>
      <c r="AJ636" s="41">
        <f t="shared" si="18"/>
        <v>1302.4000000000001</v>
      </c>
      <c r="AK636" s="44">
        <f t="shared" si="19"/>
        <v>6.1271975180972077E-2</v>
      </c>
      <c r="AL636" s="10"/>
      <c r="AM636" s="10"/>
    </row>
    <row r="637" spans="1:39" s="16" customFormat="1" ht="19" customHeight="1">
      <c r="A637" s="29" t="s">
        <v>698</v>
      </c>
      <c r="B637" s="29" t="s">
        <v>1370</v>
      </c>
      <c r="C637" s="29"/>
      <c r="D637" s="29"/>
      <c r="E637" s="36" t="s">
        <v>234</v>
      </c>
      <c r="F637" s="36" t="s">
        <v>249</v>
      </c>
      <c r="G637" s="31" t="s">
        <v>439</v>
      </c>
      <c r="H637" s="35">
        <v>6.24</v>
      </c>
      <c r="I637" s="35">
        <v>49.9</v>
      </c>
      <c r="J637" s="13">
        <v>200.1</v>
      </c>
      <c r="K637" s="13">
        <v>797</v>
      </c>
      <c r="L637" s="13">
        <v>142</v>
      </c>
      <c r="M637" s="35">
        <v>118.3</v>
      </c>
      <c r="N637" s="13">
        <v>851</v>
      </c>
      <c r="O637" s="13">
        <v>374</v>
      </c>
      <c r="P637" s="13">
        <v>21.34</v>
      </c>
      <c r="Q637" s="13">
        <v>472.6</v>
      </c>
      <c r="R637" s="13">
        <v>82</v>
      </c>
      <c r="S637" s="13">
        <v>551.5</v>
      </c>
      <c r="T637" s="13">
        <v>2863</v>
      </c>
      <c r="U637" s="13">
        <v>99.3</v>
      </c>
      <c r="V637" s="13">
        <v>263.7</v>
      </c>
      <c r="W637" s="13">
        <v>34.659999999999997</v>
      </c>
      <c r="X637" s="13">
        <v>198.4</v>
      </c>
      <c r="Y637" s="13">
        <v>24.37</v>
      </c>
      <c r="Z637" s="35">
        <v>1755</v>
      </c>
      <c r="AA637" s="13"/>
      <c r="AB637" s="13"/>
      <c r="AC637" s="14">
        <v>2527.0270270270271</v>
      </c>
      <c r="AD637" s="14">
        <v>379.04085257548849</v>
      </c>
      <c r="AE637" s="14">
        <v>2374.8743718592964</v>
      </c>
      <c r="AF637" s="14">
        <v>2271.4681440443214</v>
      </c>
      <c r="AG637" s="15">
        <v>0.15465054138445292</v>
      </c>
      <c r="AH637" s="15">
        <v>0.15472509442023419</v>
      </c>
      <c r="AI637" s="15">
        <v>0.15542130309339661</v>
      </c>
      <c r="AJ637" s="41">
        <f t="shared" si="18"/>
        <v>1990.1</v>
      </c>
      <c r="AK637" s="44">
        <f t="shared" si="19"/>
        <v>4.1320293398533006E-2</v>
      </c>
      <c r="AL637" s="10"/>
      <c r="AM637" s="10"/>
    </row>
    <row r="638" spans="1:39" s="16" customFormat="1" ht="19" customHeight="1">
      <c r="A638" s="29" t="s">
        <v>699</v>
      </c>
      <c r="B638" s="29" t="s">
        <v>1370</v>
      </c>
      <c r="C638" s="29"/>
      <c r="D638" s="29"/>
      <c r="E638" s="36" t="s">
        <v>234</v>
      </c>
      <c r="F638" s="36" t="s">
        <v>249</v>
      </c>
      <c r="G638" s="31" t="s">
        <v>439</v>
      </c>
      <c r="H638" s="35">
        <v>1.046</v>
      </c>
      <c r="I638" s="35">
        <v>15.02</v>
      </c>
      <c r="J638" s="13">
        <v>126.1</v>
      </c>
      <c r="K638" s="13">
        <v>525.70000000000005</v>
      </c>
      <c r="L638" s="13">
        <v>102.6</v>
      </c>
      <c r="M638" s="35">
        <v>117.1</v>
      </c>
      <c r="N638" s="13">
        <v>638</v>
      </c>
      <c r="O638" s="13">
        <v>284.5</v>
      </c>
      <c r="P638" s="13">
        <v>16.71</v>
      </c>
      <c r="Q638" s="13">
        <v>360.2</v>
      </c>
      <c r="R638" s="13">
        <v>61.7</v>
      </c>
      <c r="S638" s="13">
        <v>394.8</v>
      </c>
      <c r="T638" s="13">
        <v>2051</v>
      </c>
      <c r="U638" s="13">
        <v>70.400000000000006</v>
      </c>
      <c r="V638" s="13">
        <v>182.9</v>
      </c>
      <c r="W638" s="13">
        <v>23.27</v>
      </c>
      <c r="X638" s="13">
        <v>133</v>
      </c>
      <c r="Y638" s="13">
        <v>15.86</v>
      </c>
      <c r="Z638" s="35">
        <v>1725</v>
      </c>
      <c r="AA638" s="13"/>
      <c r="AB638" s="13"/>
      <c r="AC638" s="14">
        <v>1922.2972972972973</v>
      </c>
      <c r="AD638" s="14">
        <v>296.80284191829486</v>
      </c>
      <c r="AE638" s="14">
        <v>1810.0502512562812</v>
      </c>
      <c r="AF638" s="14">
        <v>1709.1412742382272</v>
      </c>
      <c r="AG638" s="15">
        <v>0.15904351781672468</v>
      </c>
      <c r="AH638" s="15">
        <v>0.15911549028299965</v>
      </c>
      <c r="AI638" s="15">
        <v>0.16056899819223983</v>
      </c>
      <c r="AJ638" s="41">
        <f t="shared" si="18"/>
        <v>1392.4</v>
      </c>
      <c r="AK638" s="44">
        <f t="shared" si="19"/>
        <v>5.7094100438810337E-2</v>
      </c>
      <c r="AL638" s="10"/>
      <c r="AM638" s="10"/>
    </row>
    <row r="639" spans="1:39" s="16" customFormat="1" ht="19" customHeight="1">
      <c r="A639" s="29" t="s">
        <v>700</v>
      </c>
      <c r="B639" s="29" t="s">
        <v>1370</v>
      </c>
      <c r="C639" s="29"/>
      <c r="D639" s="29"/>
      <c r="E639" s="36" t="s">
        <v>234</v>
      </c>
      <c r="F639" s="36" t="s">
        <v>249</v>
      </c>
      <c r="G639" s="31" t="s">
        <v>439</v>
      </c>
      <c r="H639" s="35">
        <v>14.2</v>
      </c>
      <c r="I639" s="35">
        <v>98.4</v>
      </c>
      <c r="J639" s="13">
        <v>273.60000000000002</v>
      </c>
      <c r="K639" s="13">
        <v>1127</v>
      </c>
      <c r="L639" s="13">
        <v>192</v>
      </c>
      <c r="M639" s="35">
        <v>122.5</v>
      </c>
      <c r="N639" s="13">
        <v>1131</v>
      </c>
      <c r="O639" s="13">
        <v>479.9</v>
      </c>
      <c r="P639" s="13">
        <v>25.5</v>
      </c>
      <c r="Q639" s="13">
        <v>604.5</v>
      </c>
      <c r="R639" s="13">
        <v>107.9</v>
      </c>
      <c r="S639" s="13">
        <v>720.3</v>
      </c>
      <c r="T639" s="13">
        <v>3873</v>
      </c>
      <c r="U639" s="13">
        <v>135</v>
      </c>
      <c r="V639" s="13">
        <v>370.7</v>
      </c>
      <c r="W639" s="13">
        <v>49.79</v>
      </c>
      <c r="X639" s="13">
        <v>292.2</v>
      </c>
      <c r="Y639" s="13">
        <v>36.1</v>
      </c>
      <c r="Z639" s="35">
        <v>1828</v>
      </c>
      <c r="AA639" s="13"/>
      <c r="AB639" s="13"/>
      <c r="AC639" s="14">
        <v>3242.5675675675675</v>
      </c>
      <c r="AD639" s="14">
        <v>452.93072824156309</v>
      </c>
      <c r="AE639" s="14">
        <v>3037.6884422110552</v>
      </c>
      <c r="AF639" s="14">
        <v>2988.919667590028</v>
      </c>
      <c r="AG639" s="15">
        <v>0.144239574799604</v>
      </c>
      <c r="AH639" s="15">
        <v>0.14431638908247743</v>
      </c>
      <c r="AI639" s="15">
        <v>0.14352724499413799</v>
      </c>
      <c r="AJ639" s="41">
        <f t="shared" si="18"/>
        <v>2723.6</v>
      </c>
      <c r="AK639" s="44">
        <f t="shared" si="19"/>
        <v>3.1629227988639298E-2</v>
      </c>
      <c r="AL639" s="10"/>
      <c r="AM639" s="10"/>
    </row>
    <row r="640" spans="1:39" s="16" customFormat="1" ht="19" customHeight="1">
      <c r="A640" s="29" t="s">
        <v>701</v>
      </c>
      <c r="B640" s="29" t="s">
        <v>1370</v>
      </c>
      <c r="C640" s="29"/>
      <c r="D640" s="29"/>
      <c r="E640" s="36" t="s">
        <v>234</v>
      </c>
      <c r="F640" s="36" t="s">
        <v>249</v>
      </c>
      <c r="G640" s="31" t="s">
        <v>439</v>
      </c>
      <c r="H640" s="35">
        <v>0.34300000000000003</v>
      </c>
      <c r="I640" s="35">
        <v>11.78</v>
      </c>
      <c r="J640" s="13">
        <v>140.1</v>
      </c>
      <c r="K640" s="13">
        <v>557.20000000000005</v>
      </c>
      <c r="L640" s="13">
        <v>102.1</v>
      </c>
      <c r="M640" s="35">
        <v>120.6</v>
      </c>
      <c r="N640" s="13">
        <v>618.5</v>
      </c>
      <c r="O640" s="13">
        <v>263.89999999999998</v>
      </c>
      <c r="P640" s="13">
        <v>15.05</v>
      </c>
      <c r="Q640" s="13">
        <v>331.9</v>
      </c>
      <c r="R640" s="13">
        <v>56.52</v>
      </c>
      <c r="S640" s="13">
        <v>363.5</v>
      </c>
      <c r="T640" s="13">
        <v>1911</v>
      </c>
      <c r="U640" s="13">
        <v>66.19</v>
      </c>
      <c r="V640" s="13">
        <v>171.9</v>
      </c>
      <c r="W640" s="13">
        <v>22.01</v>
      </c>
      <c r="X640" s="13">
        <v>125.2</v>
      </c>
      <c r="Y640" s="13">
        <v>15.25</v>
      </c>
      <c r="Z640" s="35">
        <v>1538</v>
      </c>
      <c r="AA640" s="13"/>
      <c r="AB640" s="13"/>
      <c r="AC640" s="14">
        <v>1783.1081081081081</v>
      </c>
      <c r="AD640" s="14">
        <v>267.31793960923625</v>
      </c>
      <c r="AE640" s="14">
        <v>1667.8391959798994</v>
      </c>
      <c r="AF640" s="14">
        <v>1565.6509695290858</v>
      </c>
      <c r="AG640" s="15">
        <v>0.15492438223705718</v>
      </c>
      <c r="AH640" s="15">
        <v>0.15501087924880105</v>
      </c>
      <c r="AI640" s="15">
        <v>0.15655898790005132</v>
      </c>
      <c r="AJ640" s="41">
        <f t="shared" si="18"/>
        <v>1417.9</v>
      </c>
      <c r="AK640" s="44">
        <f t="shared" si="19"/>
        <v>6.3108320251177394E-2</v>
      </c>
      <c r="AL640" s="10"/>
      <c r="AM640" s="10"/>
    </row>
    <row r="641" spans="1:39" s="16" customFormat="1" ht="19" customHeight="1">
      <c r="A641" s="29" t="s">
        <v>702</v>
      </c>
      <c r="B641" s="29" t="s">
        <v>1370</v>
      </c>
      <c r="C641" s="29"/>
      <c r="D641" s="29"/>
      <c r="E641" s="36" t="s">
        <v>234</v>
      </c>
      <c r="F641" s="36" t="s">
        <v>249</v>
      </c>
      <c r="G641" s="31" t="s">
        <v>439</v>
      </c>
      <c r="H641" s="35">
        <v>2.3450000000000002</v>
      </c>
      <c r="I641" s="35">
        <v>26.36</v>
      </c>
      <c r="J641" s="13">
        <v>158.19999999999999</v>
      </c>
      <c r="K641" s="13">
        <v>652.6</v>
      </c>
      <c r="L641" s="13">
        <v>123.4</v>
      </c>
      <c r="M641" s="35">
        <v>119</v>
      </c>
      <c r="N641" s="13">
        <v>761</v>
      </c>
      <c r="O641" s="13">
        <v>343.5</v>
      </c>
      <c r="P641" s="13">
        <v>20.16</v>
      </c>
      <c r="Q641" s="13">
        <v>447.9</v>
      </c>
      <c r="R641" s="13">
        <v>79.3</v>
      </c>
      <c r="S641" s="13">
        <v>514.9</v>
      </c>
      <c r="T641" s="13">
        <v>2691</v>
      </c>
      <c r="U641" s="13">
        <v>93.3</v>
      </c>
      <c r="V641" s="13">
        <v>249.4</v>
      </c>
      <c r="W641" s="13">
        <v>32.47</v>
      </c>
      <c r="X641" s="13">
        <v>183.2</v>
      </c>
      <c r="Y641" s="13">
        <v>22.31</v>
      </c>
      <c r="Z641" s="35">
        <v>1724</v>
      </c>
      <c r="AA641" s="13"/>
      <c r="AB641" s="13"/>
      <c r="AC641" s="14">
        <v>2320.9459459459463</v>
      </c>
      <c r="AD641" s="14">
        <v>358.08170515097692</v>
      </c>
      <c r="AE641" s="14">
        <v>2250.7537688442208</v>
      </c>
      <c r="AF641" s="14">
        <v>2196.6759002770082</v>
      </c>
      <c r="AG641" s="15">
        <v>0.15665145459686527</v>
      </c>
      <c r="AH641" s="15">
        <v>0.15666992189074005</v>
      </c>
      <c r="AI641" s="15">
        <v>0.15713880789317361</v>
      </c>
      <c r="AJ641" s="41">
        <f t="shared" si="18"/>
        <v>1695.1999999999998</v>
      </c>
      <c r="AK641" s="44">
        <f t="shared" si="19"/>
        <v>4.4221479004087696E-2</v>
      </c>
      <c r="AL641" s="10"/>
      <c r="AM641" s="10"/>
    </row>
    <row r="642" spans="1:39" s="16" customFormat="1" ht="19" customHeight="1">
      <c r="A642" s="29" t="s">
        <v>703</v>
      </c>
      <c r="B642" s="29" t="s">
        <v>1370</v>
      </c>
      <c r="C642" s="29"/>
      <c r="D642" s="29"/>
      <c r="E642" s="36" t="s">
        <v>234</v>
      </c>
      <c r="F642" s="36" t="s">
        <v>249</v>
      </c>
      <c r="G642" s="31" t="s">
        <v>439</v>
      </c>
      <c r="H642" s="35">
        <v>1.143</v>
      </c>
      <c r="I642" s="35">
        <v>21.29</v>
      </c>
      <c r="J642" s="13">
        <v>166.1</v>
      </c>
      <c r="K642" s="13">
        <v>699</v>
      </c>
      <c r="L642" s="13">
        <v>130.1</v>
      </c>
      <c r="M642" s="35">
        <v>119.8</v>
      </c>
      <c r="N642" s="13">
        <v>792</v>
      </c>
      <c r="O642" s="13">
        <v>342.7</v>
      </c>
      <c r="P642" s="13">
        <v>19.440000000000001</v>
      </c>
      <c r="Q642" s="13">
        <v>430.3</v>
      </c>
      <c r="R642" s="13">
        <v>74.2</v>
      </c>
      <c r="S642" s="13">
        <v>478.2</v>
      </c>
      <c r="T642" s="13">
        <v>2478</v>
      </c>
      <c r="U642" s="13">
        <v>86.26</v>
      </c>
      <c r="V642" s="13">
        <v>225.6</v>
      </c>
      <c r="W642" s="13">
        <v>28.93</v>
      </c>
      <c r="X642" s="13">
        <v>164</v>
      </c>
      <c r="Y642" s="13">
        <v>20.04</v>
      </c>
      <c r="Z642" s="35">
        <v>1792</v>
      </c>
      <c r="AA642" s="13"/>
      <c r="AB642" s="13"/>
      <c r="AC642" s="14">
        <v>2315.5405405405404</v>
      </c>
      <c r="AD642" s="14">
        <v>345.29307282415635</v>
      </c>
      <c r="AE642" s="14">
        <v>2162.3115577889448</v>
      </c>
      <c r="AF642" s="14">
        <v>2055.4016620498614</v>
      </c>
      <c r="AG642" s="15">
        <v>0.15422263408519987</v>
      </c>
      <c r="AH642" s="15">
        <v>0.15431300778851248</v>
      </c>
      <c r="AI642" s="15">
        <v>0.15516271574455862</v>
      </c>
      <c r="AJ642" s="41">
        <f t="shared" si="18"/>
        <v>1787.2</v>
      </c>
      <c r="AK642" s="44">
        <f t="shared" si="19"/>
        <v>4.83454398708636E-2</v>
      </c>
      <c r="AL642" s="10"/>
      <c r="AM642" s="10"/>
    </row>
    <row r="643" spans="1:39" s="16" customFormat="1" ht="19" customHeight="1">
      <c r="A643" s="29" t="s">
        <v>704</v>
      </c>
      <c r="B643" s="29" t="s">
        <v>1370</v>
      </c>
      <c r="C643" s="29"/>
      <c r="D643" s="29"/>
      <c r="E643" s="36" t="s">
        <v>234</v>
      </c>
      <c r="F643" s="36" t="s">
        <v>249</v>
      </c>
      <c r="G643" s="31" t="s">
        <v>439</v>
      </c>
      <c r="H643" s="35">
        <v>9.49</v>
      </c>
      <c r="I643" s="35">
        <v>67.3</v>
      </c>
      <c r="J643" s="13">
        <v>233.3</v>
      </c>
      <c r="K643" s="13">
        <v>981</v>
      </c>
      <c r="L643" s="13">
        <v>161.4</v>
      </c>
      <c r="M643" s="35">
        <v>118.8</v>
      </c>
      <c r="N643" s="13">
        <v>928</v>
      </c>
      <c r="O643" s="13">
        <v>402</v>
      </c>
      <c r="P643" s="13">
        <v>21.38</v>
      </c>
      <c r="Q643" s="13">
        <v>512</v>
      </c>
      <c r="R643" s="13">
        <v>90.2</v>
      </c>
      <c r="S643" s="13">
        <v>601</v>
      </c>
      <c r="T643" s="13">
        <v>3168</v>
      </c>
      <c r="U643" s="13">
        <v>112.5</v>
      </c>
      <c r="V643" s="13">
        <v>302.60000000000002</v>
      </c>
      <c r="W643" s="13">
        <v>40</v>
      </c>
      <c r="X643" s="13">
        <v>228.5</v>
      </c>
      <c r="Y643" s="13">
        <v>27.85</v>
      </c>
      <c r="Z643" s="35">
        <v>1966</v>
      </c>
      <c r="AA643" s="13"/>
      <c r="AB643" s="13"/>
      <c r="AC643" s="14">
        <v>2716.2162162162163</v>
      </c>
      <c r="AD643" s="14">
        <v>379.75133214920072</v>
      </c>
      <c r="AE643" s="14">
        <v>2572.86432160804</v>
      </c>
      <c r="AF643" s="14">
        <v>2498.6149584487534</v>
      </c>
      <c r="AG643" s="15">
        <v>0.14359824148392233</v>
      </c>
      <c r="AH643" s="15">
        <v>0.14365101365875935</v>
      </c>
      <c r="AI643" s="15">
        <v>0.14375511376682285</v>
      </c>
      <c r="AJ643" s="41">
        <f t="shared" si="18"/>
        <v>2303.6999999999998</v>
      </c>
      <c r="AK643" s="44">
        <f t="shared" si="19"/>
        <v>3.7499999999999999E-2</v>
      </c>
      <c r="AL643" s="10"/>
      <c r="AM643" s="10"/>
    </row>
    <row r="644" spans="1:39" s="16" customFormat="1" ht="19" customHeight="1">
      <c r="A644" s="29" t="s">
        <v>705</v>
      </c>
      <c r="B644" s="29" t="s">
        <v>1370</v>
      </c>
      <c r="C644" s="29"/>
      <c r="D644" s="29"/>
      <c r="E644" s="36" t="s">
        <v>234</v>
      </c>
      <c r="F644" s="36" t="s">
        <v>249</v>
      </c>
      <c r="G644" s="31" t="s">
        <v>439</v>
      </c>
      <c r="H644" s="35">
        <v>11.12</v>
      </c>
      <c r="I644" s="35">
        <v>83.4</v>
      </c>
      <c r="J644" s="13">
        <v>222.5</v>
      </c>
      <c r="K644" s="13">
        <v>950</v>
      </c>
      <c r="L644" s="13">
        <v>161.5</v>
      </c>
      <c r="M644" s="35">
        <v>119.7</v>
      </c>
      <c r="N644" s="13">
        <v>983</v>
      </c>
      <c r="O644" s="13">
        <v>443.8</v>
      </c>
      <c r="P644" s="13">
        <v>24.48</v>
      </c>
      <c r="Q644" s="13">
        <v>568.9</v>
      </c>
      <c r="R644" s="13">
        <v>100.8</v>
      </c>
      <c r="S644" s="13">
        <v>667</v>
      </c>
      <c r="T644" s="13">
        <v>3572</v>
      </c>
      <c r="U644" s="13">
        <v>126.1</v>
      </c>
      <c r="V644" s="13">
        <v>337.8</v>
      </c>
      <c r="W644" s="13">
        <v>44.94</v>
      </c>
      <c r="X644" s="13">
        <v>262.60000000000002</v>
      </c>
      <c r="Y644" s="13">
        <v>32.1</v>
      </c>
      <c r="Z644" s="35">
        <v>1934</v>
      </c>
      <c r="AA644" s="13"/>
      <c r="AB644" s="13"/>
      <c r="AC644" s="14">
        <v>2998.6486486486488</v>
      </c>
      <c r="AD644" s="14">
        <v>434.81349911190057</v>
      </c>
      <c r="AE644" s="14">
        <v>2858.793969849246</v>
      </c>
      <c r="AF644" s="14">
        <v>2792.2437673130194</v>
      </c>
      <c r="AG644" s="15">
        <v>0.14846530386443832</v>
      </c>
      <c r="AH644" s="15">
        <v>0.1485076407227221</v>
      </c>
      <c r="AI644" s="15">
        <v>0.14849147477760302</v>
      </c>
      <c r="AJ644" s="41">
        <f t="shared" si="18"/>
        <v>2317</v>
      </c>
      <c r="AK644" s="44">
        <f t="shared" si="19"/>
        <v>3.351063829787234E-2</v>
      </c>
      <c r="AL644" s="10"/>
      <c r="AM644" s="10"/>
    </row>
    <row r="645" spans="1:39" s="16" customFormat="1" ht="19" customHeight="1">
      <c r="A645" s="29" t="s">
        <v>706</v>
      </c>
      <c r="B645" s="29" t="s">
        <v>1370</v>
      </c>
      <c r="C645" s="29"/>
      <c r="D645" s="29"/>
      <c r="E645" s="36" t="s">
        <v>234</v>
      </c>
      <c r="F645" s="36" t="s">
        <v>249</v>
      </c>
      <c r="G645" s="31" t="s">
        <v>439</v>
      </c>
      <c r="H645" s="35">
        <v>4.12</v>
      </c>
      <c r="I645" s="35">
        <v>36</v>
      </c>
      <c r="J645" s="13">
        <v>222.9</v>
      </c>
      <c r="K645" s="13">
        <v>896</v>
      </c>
      <c r="L645" s="13">
        <v>146.30000000000001</v>
      </c>
      <c r="M645" s="35">
        <v>120.9</v>
      </c>
      <c r="N645" s="13">
        <v>814</v>
      </c>
      <c r="O645" s="13">
        <v>337.8</v>
      </c>
      <c r="P645" s="13">
        <v>15.49</v>
      </c>
      <c r="Q645" s="13">
        <v>438.2</v>
      </c>
      <c r="R645" s="13">
        <v>79.7</v>
      </c>
      <c r="S645" s="13">
        <v>540</v>
      </c>
      <c r="T645" s="13">
        <v>3102</v>
      </c>
      <c r="U645" s="13">
        <v>105.9</v>
      </c>
      <c r="V645" s="13">
        <v>297.39999999999998</v>
      </c>
      <c r="W645" s="13">
        <v>39.68</v>
      </c>
      <c r="X645" s="13">
        <v>233.6</v>
      </c>
      <c r="Y645" s="13">
        <v>29.37</v>
      </c>
      <c r="Z645" s="35">
        <v>1772</v>
      </c>
      <c r="AA645" s="13"/>
      <c r="AB645" s="13"/>
      <c r="AC645" s="14">
        <v>2282.4324324324325</v>
      </c>
      <c r="AD645" s="14">
        <v>275.13321492007105</v>
      </c>
      <c r="AE645" s="14">
        <v>2202.010050251256</v>
      </c>
      <c r="AF645" s="14">
        <v>2207.7562326869806</v>
      </c>
      <c r="AG645" s="15">
        <v>0.12270565002560549</v>
      </c>
      <c r="AH645" s="15">
        <v>0.12272538680500984</v>
      </c>
      <c r="AI645" s="15">
        <v>0.12188792867714793</v>
      </c>
      <c r="AJ645" s="41">
        <f t="shared" si="18"/>
        <v>2079.1999999999998</v>
      </c>
      <c r="AK645" s="44">
        <f t="shared" si="19"/>
        <v>3.8974854932301746E-2</v>
      </c>
      <c r="AL645" s="10"/>
      <c r="AM645" s="10"/>
    </row>
    <row r="646" spans="1:39" s="16" customFormat="1" ht="19" customHeight="1">
      <c r="A646" s="29" t="s">
        <v>707</v>
      </c>
      <c r="B646" s="29" t="s">
        <v>1370</v>
      </c>
      <c r="C646" s="29"/>
      <c r="D646" s="29"/>
      <c r="E646" s="36" t="s">
        <v>234</v>
      </c>
      <c r="F646" s="36" t="s">
        <v>249</v>
      </c>
      <c r="G646" s="31" t="s">
        <v>439</v>
      </c>
      <c r="H646" s="35">
        <v>11.1</v>
      </c>
      <c r="I646" s="35">
        <v>29.15</v>
      </c>
      <c r="J646" s="13">
        <v>151.5</v>
      </c>
      <c r="K646" s="13">
        <v>585</v>
      </c>
      <c r="L646" s="13">
        <v>106.7</v>
      </c>
      <c r="M646" s="35">
        <v>117.7</v>
      </c>
      <c r="N646" s="13">
        <v>635</v>
      </c>
      <c r="O646" s="13">
        <v>288.89999999999998</v>
      </c>
      <c r="P646" s="13">
        <v>16.48</v>
      </c>
      <c r="Q646" s="13">
        <v>371.1</v>
      </c>
      <c r="R646" s="13">
        <v>65.099999999999994</v>
      </c>
      <c r="S646" s="13">
        <v>421</v>
      </c>
      <c r="T646" s="13">
        <v>2158</v>
      </c>
      <c r="U646" s="13">
        <v>77.2</v>
      </c>
      <c r="V646" s="13">
        <v>202.3</v>
      </c>
      <c r="W646" s="13">
        <v>26.38</v>
      </c>
      <c r="X646" s="13">
        <v>149.30000000000001</v>
      </c>
      <c r="Y646" s="13">
        <v>18.45</v>
      </c>
      <c r="Z646" s="35">
        <v>1793</v>
      </c>
      <c r="AA646" s="13"/>
      <c r="AB646" s="13"/>
      <c r="AC646" s="14">
        <v>1952.0270270270269</v>
      </c>
      <c r="AD646" s="14">
        <v>292.71758436944941</v>
      </c>
      <c r="AE646" s="14">
        <v>1864.824120603015</v>
      </c>
      <c r="AF646" s="14">
        <v>1803.3240997229916</v>
      </c>
      <c r="AG646" s="15">
        <v>0.15338171337973372</v>
      </c>
      <c r="AH646" s="15">
        <v>0.15342175993104912</v>
      </c>
      <c r="AI646" s="15">
        <v>0.1539691337262197</v>
      </c>
      <c r="AJ646" s="41">
        <f t="shared" ref="AJ646:AJ709" si="20">J646+K646+L646+N646</f>
        <v>1478.2</v>
      </c>
      <c r="AK646" s="44">
        <f t="shared" ref="AK646:AK683" si="21">M646/T646</f>
        <v>5.4541241890639483E-2</v>
      </c>
      <c r="AL646" s="10"/>
      <c r="AM646" s="10"/>
    </row>
    <row r="647" spans="1:39" s="16" customFormat="1" ht="19" customHeight="1">
      <c r="A647" s="29" t="s">
        <v>708</v>
      </c>
      <c r="B647" s="29" t="s">
        <v>1370</v>
      </c>
      <c r="C647" s="29"/>
      <c r="D647" s="29"/>
      <c r="E647" s="36" t="s">
        <v>234</v>
      </c>
      <c r="F647" s="36" t="s">
        <v>249</v>
      </c>
      <c r="G647" s="31" t="s">
        <v>439</v>
      </c>
      <c r="H647" s="35">
        <v>6.41</v>
      </c>
      <c r="I647" s="35">
        <v>49.43</v>
      </c>
      <c r="J647" s="13">
        <v>203.7</v>
      </c>
      <c r="K647" s="13">
        <v>816</v>
      </c>
      <c r="L647" s="13">
        <v>141.4</v>
      </c>
      <c r="M647" s="35">
        <v>117.8</v>
      </c>
      <c r="N647" s="13">
        <v>851</v>
      </c>
      <c r="O647" s="13">
        <v>365.3</v>
      </c>
      <c r="P647" s="13">
        <v>20.04</v>
      </c>
      <c r="Q647" s="13">
        <v>461.8</v>
      </c>
      <c r="R647" s="13">
        <v>79.7</v>
      </c>
      <c r="S647" s="13">
        <v>532</v>
      </c>
      <c r="T647" s="13">
        <v>2744</v>
      </c>
      <c r="U647" s="13">
        <v>98.7</v>
      </c>
      <c r="V647" s="13">
        <v>260.2</v>
      </c>
      <c r="W647" s="13">
        <v>34.130000000000003</v>
      </c>
      <c r="X647" s="13">
        <v>196.9</v>
      </c>
      <c r="Y647" s="13">
        <v>24.47</v>
      </c>
      <c r="Z647" s="35">
        <v>1834</v>
      </c>
      <c r="AA647" s="13"/>
      <c r="AB647" s="13"/>
      <c r="AC647" s="14">
        <v>2468.2432432432433</v>
      </c>
      <c r="AD647" s="14">
        <v>355.95026642984016</v>
      </c>
      <c r="AE647" s="14">
        <v>2320.6030150753768</v>
      </c>
      <c r="AF647" s="14">
        <v>2207.7562326869806</v>
      </c>
      <c r="AG647" s="15">
        <v>0.14865804714925865</v>
      </c>
      <c r="AH647" s="15">
        <v>0.14872874655824064</v>
      </c>
      <c r="AI647" s="15">
        <v>0.14967421129095629</v>
      </c>
      <c r="AJ647" s="41">
        <f t="shared" si="20"/>
        <v>2012.1000000000001</v>
      </c>
      <c r="AK647" s="44">
        <f t="shared" si="21"/>
        <v>4.2930029154518948E-2</v>
      </c>
      <c r="AL647" s="10"/>
      <c r="AM647" s="10"/>
    </row>
    <row r="648" spans="1:39" s="16" customFormat="1" ht="19" customHeight="1">
      <c r="A648" s="29" t="s">
        <v>709</v>
      </c>
      <c r="B648" s="29" t="s">
        <v>1370</v>
      </c>
      <c r="C648" s="29"/>
      <c r="D648" s="29"/>
      <c r="E648" s="36" t="s">
        <v>234</v>
      </c>
      <c r="F648" s="36" t="s">
        <v>249</v>
      </c>
      <c r="G648" s="31" t="s">
        <v>439</v>
      </c>
      <c r="H648" s="35">
        <v>0.56999999999999995</v>
      </c>
      <c r="I648" s="35">
        <v>12.47</v>
      </c>
      <c r="J648" s="13">
        <v>151.1</v>
      </c>
      <c r="K648" s="13">
        <v>554.20000000000005</v>
      </c>
      <c r="L648" s="13">
        <v>98.6</v>
      </c>
      <c r="M648" s="35">
        <v>120.2</v>
      </c>
      <c r="N648" s="13">
        <v>579.79999999999995</v>
      </c>
      <c r="O648" s="13">
        <v>251.2</v>
      </c>
      <c r="P648" s="13">
        <v>14.75</v>
      </c>
      <c r="Q648" s="13">
        <v>320.3</v>
      </c>
      <c r="R648" s="13">
        <v>55.55</v>
      </c>
      <c r="S648" s="13">
        <v>355.6</v>
      </c>
      <c r="T648" s="13">
        <v>1829</v>
      </c>
      <c r="U648" s="13">
        <v>65.260000000000005</v>
      </c>
      <c r="V648" s="13">
        <v>168.4</v>
      </c>
      <c r="W648" s="13">
        <v>22.2</v>
      </c>
      <c r="X648" s="13">
        <v>126.4</v>
      </c>
      <c r="Y648" s="13">
        <v>15.52</v>
      </c>
      <c r="Z648" s="35">
        <v>1856</v>
      </c>
      <c r="AA648" s="13"/>
      <c r="AB648" s="13"/>
      <c r="AC648" s="14">
        <v>1697.2972972972973</v>
      </c>
      <c r="AD648" s="14">
        <v>261.98934280639435</v>
      </c>
      <c r="AE648" s="14">
        <v>1609.5477386934674</v>
      </c>
      <c r="AF648" s="14">
        <v>1538.781163434903</v>
      </c>
      <c r="AG648" s="15">
        <v>0.15845274874085513</v>
      </c>
      <c r="AH648" s="15">
        <v>0.1585085650871503</v>
      </c>
      <c r="AI648" s="15">
        <v>0.15948483455754975</v>
      </c>
      <c r="AJ648" s="41">
        <f t="shared" si="20"/>
        <v>1383.7</v>
      </c>
      <c r="AK648" s="44">
        <f t="shared" si="21"/>
        <v>6.5718972115910337E-2</v>
      </c>
      <c r="AL648" s="10"/>
      <c r="AM648" s="10"/>
    </row>
    <row r="649" spans="1:39" s="16" customFormat="1" ht="19" customHeight="1">
      <c r="A649" s="29" t="s">
        <v>710</v>
      </c>
      <c r="B649" s="29" t="s">
        <v>1370</v>
      </c>
      <c r="C649" s="29"/>
      <c r="D649" s="29"/>
      <c r="E649" s="36" t="s">
        <v>234</v>
      </c>
      <c r="F649" s="36" t="s">
        <v>249</v>
      </c>
      <c r="G649" s="31" t="s">
        <v>439</v>
      </c>
      <c r="H649" s="35">
        <v>3.742</v>
      </c>
      <c r="I649" s="35">
        <v>33.81</v>
      </c>
      <c r="J649" s="13">
        <v>199.6</v>
      </c>
      <c r="K649" s="13">
        <v>745</v>
      </c>
      <c r="L649" s="13">
        <v>134.19999999999999</v>
      </c>
      <c r="M649" s="35">
        <v>120.5</v>
      </c>
      <c r="N649" s="13">
        <v>784</v>
      </c>
      <c r="O649" s="13">
        <v>331.1</v>
      </c>
      <c r="P649" s="13">
        <v>18.239999999999998</v>
      </c>
      <c r="Q649" s="13">
        <v>421.3</v>
      </c>
      <c r="R649" s="13">
        <v>73.900000000000006</v>
      </c>
      <c r="S649" s="13">
        <v>478.7</v>
      </c>
      <c r="T649" s="13">
        <v>2172</v>
      </c>
      <c r="U649" s="13">
        <v>89.9</v>
      </c>
      <c r="V649" s="13">
        <v>235.6</v>
      </c>
      <c r="W649" s="13">
        <v>31.19</v>
      </c>
      <c r="X649" s="13">
        <v>182.4</v>
      </c>
      <c r="Y649" s="13">
        <v>22.54</v>
      </c>
      <c r="Z649" s="35">
        <v>1847</v>
      </c>
      <c r="AA649" s="13"/>
      <c r="AB649" s="13"/>
      <c r="AC649" s="14">
        <v>2237.1621621621625</v>
      </c>
      <c r="AD649" s="14">
        <v>323.97868561278864</v>
      </c>
      <c r="AE649" s="14">
        <v>2117.0854271356784</v>
      </c>
      <c r="AF649" s="14">
        <v>2047.0914127423823</v>
      </c>
      <c r="AG649" s="15">
        <v>0.14881041050999716</v>
      </c>
      <c r="AH649" s="15">
        <v>0.14886702695717891</v>
      </c>
      <c r="AI649" s="15">
        <v>0.14916687233876069</v>
      </c>
      <c r="AJ649" s="41">
        <f t="shared" si="20"/>
        <v>1862.8</v>
      </c>
      <c r="AK649" s="44">
        <f t="shared" si="21"/>
        <v>5.547882136279926E-2</v>
      </c>
      <c r="AL649" s="10"/>
      <c r="AM649" s="10"/>
    </row>
    <row r="650" spans="1:39" s="16" customFormat="1" ht="19" customHeight="1">
      <c r="A650" s="29" t="s">
        <v>711</v>
      </c>
      <c r="B650" s="29" t="s">
        <v>1370</v>
      </c>
      <c r="C650" s="29"/>
      <c r="D650" s="29"/>
      <c r="E650" s="36" t="s">
        <v>234</v>
      </c>
      <c r="F650" s="36" t="s">
        <v>249</v>
      </c>
      <c r="G650" s="31" t="s">
        <v>439</v>
      </c>
      <c r="H650" s="35">
        <v>0.36399999999999999</v>
      </c>
      <c r="I650" s="35">
        <v>20.53</v>
      </c>
      <c r="J650" s="13">
        <v>150.80000000000001</v>
      </c>
      <c r="K650" s="13">
        <v>680</v>
      </c>
      <c r="L650" s="13">
        <v>132.9</v>
      </c>
      <c r="M650" s="35">
        <v>115.3</v>
      </c>
      <c r="N650" s="13">
        <v>816</v>
      </c>
      <c r="O650" s="13">
        <v>369.3</v>
      </c>
      <c r="P650" s="13">
        <v>21.63</v>
      </c>
      <c r="Q650" s="13">
        <v>462.6</v>
      </c>
      <c r="R650" s="13">
        <v>81.2</v>
      </c>
      <c r="S650" s="13">
        <v>516.20000000000005</v>
      </c>
      <c r="T650" s="13">
        <v>2265</v>
      </c>
      <c r="U650" s="13">
        <v>94.6</v>
      </c>
      <c r="V650" s="13">
        <v>242.2</v>
      </c>
      <c r="W650" s="13">
        <v>30.94</v>
      </c>
      <c r="X650" s="13">
        <v>177.2</v>
      </c>
      <c r="Y650" s="13">
        <v>21.06</v>
      </c>
      <c r="Z650" s="35">
        <v>1618</v>
      </c>
      <c r="AA650" s="13"/>
      <c r="AB650" s="13"/>
      <c r="AC650" s="14">
        <v>2495.2702702702704</v>
      </c>
      <c r="AD650" s="14">
        <v>384.19182948490231</v>
      </c>
      <c r="AE650" s="14">
        <v>2324.6231155778896</v>
      </c>
      <c r="AF650" s="14">
        <v>2249.3074792243769</v>
      </c>
      <c r="AG650" s="15">
        <v>0.15941922309441117</v>
      </c>
      <c r="AH650" s="15">
        <v>0.15951923287085162</v>
      </c>
      <c r="AI650" s="15">
        <v>0.15938720476649196</v>
      </c>
      <c r="AJ650" s="41">
        <f t="shared" si="20"/>
        <v>1779.6999999999998</v>
      </c>
      <c r="AK650" s="44">
        <f t="shared" si="21"/>
        <v>5.0905077262693159E-2</v>
      </c>
      <c r="AL650" s="10"/>
      <c r="AM650" s="10"/>
    </row>
    <row r="651" spans="1:39" s="16" customFormat="1" ht="19" customHeight="1">
      <c r="A651" s="29" t="s">
        <v>712</v>
      </c>
      <c r="B651" s="29" t="s">
        <v>1370</v>
      </c>
      <c r="C651" s="29"/>
      <c r="D651" s="29"/>
      <c r="E651" s="36" t="s">
        <v>234</v>
      </c>
      <c r="F651" s="36" t="s">
        <v>249</v>
      </c>
      <c r="G651" s="31" t="s">
        <v>439</v>
      </c>
      <c r="H651" s="35">
        <v>1.893</v>
      </c>
      <c r="I651" s="35">
        <v>27.98</v>
      </c>
      <c r="J651" s="13">
        <v>164.7</v>
      </c>
      <c r="K651" s="13">
        <v>642</v>
      </c>
      <c r="L651" s="13">
        <v>118.5</v>
      </c>
      <c r="M651" s="35">
        <v>120.7</v>
      </c>
      <c r="N651" s="13">
        <v>716</v>
      </c>
      <c r="O651" s="13">
        <v>324</v>
      </c>
      <c r="P651" s="13">
        <v>18.309999999999999</v>
      </c>
      <c r="Q651" s="13">
        <v>435.6</v>
      </c>
      <c r="R651" s="13">
        <v>77.099999999999994</v>
      </c>
      <c r="S651" s="13">
        <v>500.3</v>
      </c>
      <c r="T651" s="13">
        <v>2314</v>
      </c>
      <c r="U651" s="13">
        <v>96.3</v>
      </c>
      <c r="V651" s="13">
        <v>253.2</v>
      </c>
      <c r="W651" s="13">
        <v>33.11</v>
      </c>
      <c r="X651" s="13">
        <v>187.8</v>
      </c>
      <c r="Y651" s="13">
        <v>22.96</v>
      </c>
      <c r="Z651" s="35">
        <v>1844</v>
      </c>
      <c r="AA651" s="13"/>
      <c r="AB651" s="13"/>
      <c r="AC651" s="14">
        <v>2189.1891891891892</v>
      </c>
      <c r="AD651" s="14">
        <v>325.22202486678509</v>
      </c>
      <c r="AE651" s="14">
        <v>2188.9447236180904</v>
      </c>
      <c r="AF651" s="14">
        <v>2135.7340720221605</v>
      </c>
      <c r="AG651" s="15">
        <v>0.14856650406028865</v>
      </c>
      <c r="AH651" s="15">
        <v>0.14856650429189383</v>
      </c>
      <c r="AI651" s="15">
        <v>0.14978742718136714</v>
      </c>
      <c r="AJ651" s="41">
        <f t="shared" si="20"/>
        <v>1641.2</v>
      </c>
      <c r="AK651" s="44">
        <f t="shared" si="21"/>
        <v>5.2160760587726882E-2</v>
      </c>
      <c r="AL651" s="10"/>
      <c r="AM651" s="10"/>
    </row>
    <row r="652" spans="1:39" s="16" customFormat="1" ht="19" customHeight="1">
      <c r="A652" s="29" t="s">
        <v>713</v>
      </c>
      <c r="B652" s="29" t="s">
        <v>1370</v>
      </c>
      <c r="C652" s="29"/>
      <c r="D652" s="29"/>
      <c r="E652" s="36" t="s">
        <v>234</v>
      </c>
      <c r="F652" s="36" t="s">
        <v>249</v>
      </c>
      <c r="G652" s="31" t="s">
        <v>439</v>
      </c>
      <c r="H652" s="35">
        <v>2.319</v>
      </c>
      <c r="I652" s="35">
        <v>26.69</v>
      </c>
      <c r="J652" s="13">
        <v>148.69999999999999</v>
      </c>
      <c r="K652" s="13">
        <v>564.20000000000005</v>
      </c>
      <c r="L652" s="13">
        <v>103.8</v>
      </c>
      <c r="M652" s="35">
        <v>118.3</v>
      </c>
      <c r="N652" s="13">
        <v>628</v>
      </c>
      <c r="O652" s="13">
        <v>284.2</v>
      </c>
      <c r="P652" s="13">
        <v>17.46</v>
      </c>
      <c r="Q652" s="13">
        <v>378.5</v>
      </c>
      <c r="R652" s="13">
        <v>67.86</v>
      </c>
      <c r="S652" s="13">
        <v>441.7</v>
      </c>
      <c r="T652" s="13">
        <v>2002</v>
      </c>
      <c r="U652" s="13">
        <v>82.7</v>
      </c>
      <c r="V652" s="13">
        <v>217.1</v>
      </c>
      <c r="W652" s="13">
        <v>28.48</v>
      </c>
      <c r="X652" s="13">
        <v>163.5</v>
      </c>
      <c r="Y652" s="13">
        <v>20.09</v>
      </c>
      <c r="Z652" s="35">
        <v>1758</v>
      </c>
      <c r="AA652" s="13"/>
      <c r="AB652" s="13"/>
      <c r="AC652" s="14">
        <v>1920.2702702702702</v>
      </c>
      <c r="AD652" s="14">
        <v>310.1243339253997</v>
      </c>
      <c r="AE652" s="14">
        <v>1902.0100502512562</v>
      </c>
      <c r="AF652" s="14">
        <v>1879.7783933518006</v>
      </c>
      <c r="AG652" s="15">
        <v>0.16227189421998497</v>
      </c>
      <c r="AH652" s="15">
        <v>0.16227374599272834</v>
      </c>
      <c r="AI652" s="15">
        <v>0.16265174299041457</v>
      </c>
      <c r="AJ652" s="41">
        <f t="shared" si="20"/>
        <v>1444.7</v>
      </c>
      <c r="AK652" s="44">
        <f t="shared" si="21"/>
        <v>5.909090909090909E-2</v>
      </c>
      <c r="AL652" s="10"/>
      <c r="AM652" s="10"/>
    </row>
    <row r="653" spans="1:39" s="16" customFormat="1" ht="19" customHeight="1">
      <c r="A653" s="29" t="s">
        <v>714</v>
      </c>
      <c r="B653" s="29" t="s">
        <v>1370</v>
      </c>
      <c r="C653" s="29"/>
      <c r="D653" s="29"/>
      <c r="E653" s="36" t="s">
        <v>234</v>
      </c>
      <c r="F653" s="36" t="s">
        <v>249</v>
      </c>
      <c r="G653" s="31" t="s">
        <v>439</v>
      </c>
      <c r="H653" s="35">
        <v>1.141</v>
      </c>
      <c r="I653" s="35">
        <v>19.55</v>
      </c>
      <c r="J653" s="13">
        <v>133.80000000000001</v>
      </c>
      <c r="K653" s="13">
        <v>516.9</v>
      </c>
      <c r="L653" s="13">
        <v>96.4</v>
      </c>
      <c r="M653" s="35">
        <v>116.6</v>
      </c>
      <c r="N653" s="13">
        <v>585</v>
      </c>
      <c r="O653" s="13">
        <v>265.5</v>
      </c>
      <c r="P653" s="13">
        <v>15.91</v>
      </c>
      <c r="Q653" s="13">
        <v>343</v>
      </c>
      <c r="R653" s="13">
        <v>60.2</v>
      </c>
      <c r="S653" s="13">
        <v>381.5</v>
      </c>
      <c r="T653" s="13">
        <v>1750</v>
      </c>
      <c r="U653" s="13">
        <v>71.8</v>
      </c>
      <c r="V653" s="13">
        <v>186.7</v>
      </c>
      <c r="W653" s="13">
        <v>24.32</v>
      </c>
      <c r="X653" s="13">
        <v>139.6</v>
      </c>
      <c r="Y653" s="13">
        <v>17.03</v>
      </c>
      <c r="Z653" s="35">
        <v>1692</v>
      </c>
      <c r="AA653" s="13"/>
      <c r="AB653" s="13"/>
      <c r="AC653" s="14">
        <v>1793.918918918919</v>
      </c>
      <c r="AD653" s="14">
        <v>282.59325044404977</v>
      </c>
      <c r="AE653" s="14">
        <v>1723.6180904522612</v>
      </c>
      <c r="AF653" s="14">
        <v>1667.5900277008311</v>
      </c>
      <c r="AG653" s="15">
        <v>0.16067677451079224</v>
      </c>
      <c r="AH653" s="15">
        <v>0.16070887390022406</v>
      </c>
      <c r="AI653" s="15">
        <v>0.16140989264256711</v>
      </c>
      <c r="AJ653" s="41">
        <f t="shared" si="20"/>
        <v>1332.1</v>
      </c>
      <c r="AK653" s="44">
        <f t="shared" si="21"/>
        <v>6.6628571428571426E-2</v>
      </c>
      <c r="AL653" s="10"/>
      <c r="AM653" s="10"/>
    </row>
    <row r="654" spans="1:39" s="16" customFormat="1" ht="19" customHeight="1">
      <c r="A654" s="29" t="s">
        <v>715</v>
      </c>
      <c r="B654" s="29" t="s">
        <v>1370</v>
      </c>
      <c r="C654" s="29"/>
      <c r="D654" s="29"/>
      <c r="E654" s="36" t="s">
        <v>234</v>
      </c>
      <c r="F654" s="36" t="s">
        <v>249</v>
      </c>
      <c r="G654" s="31" t="s">
        <v>439</v>
      </c>
      <c r="H654" s="35">
        <v>2.2690000000000001</v>
      </c>
      <c r="I654" s="35">
        <v>32.72</v>
      </c>
      <c r="J654" s="13">
        <v>179.2</v>
      </c>
      <c r="K654" s="13">
        <v>728</v>
      </c>
      <c r="L654" s="13">
        <v>131.9</v>
      </c>
      <c r="M654" s="35">
        <v>121.9</v>
      </c>
      <c r="N654" s="13">
        <v>767</v>
      </c>
      <c r="O654" s="13">
        <v>332.5</v>
      </c>
      <c r="P654" s="13">
        <v>18.37</v>
      </c>
      <c r="Q654" s="13">
        <v>424.1</v>
      </c>
      <c r="R654" s="13">
        <v>74.2</v>
      </c>
      <c r="S654" s="13">
        <v>474.9</v>
      </c>
      <c r="T654" s="13">
        <v>2115</v>
      </c>
      <c r="U654" s="13">
        <v>89.1</v>
      </c>
      <c r="V654" s="13">
        <v>232.9</v>
      </c>
      <c r="W654" s="13">
        <v>29.66</v>
      </c>
      <c r="X654" s="13">
        <v>168.3</v>
      </c>
      <c r="Y654" s="13">
        <v>20.2</v>
      </c>
      <c r="Z654" s="35">
        <v>1783</v>
      </c>
      <c r="AA654" s="13"/>
      <c r="AB654" s="13"/>
      <c r="AC654" s="14">
        <v>2246.6216216216217</v>
      </c>
      <c r="AD654" s="14">
        <v>326.28774422735353</v>
      </c>
      <c r="AE654" s="14">
        <v>2131.1557788944724</v>
      </c>
      <c r="AF654" s="14">
        <v>2055.4016620498614</v>
      </c>
      <c r="AG654" s="15">
        <v>0.14906547975184287</v>
      </c>
      <c r="AH654" s="15">
        <v>0.14911735658546582</v>
      </c>
      <c r="AI654" s="15">
        <v>0.1496058483462098</v>
      </c>
      <c r="AJ654" s="41">
        <f t="shared" si="20"/>
        <v>1806.1000000000001</v>
      </c>
      <c r="AK654" s="44">
        <f t="shared" si="21"/>
        <v>5.7635933806146573E-2</v>
      </c>
      <c r="AL654" s="10"/>
      <c r="AM654" s="10"/>
    </row>
    <row r="655" spans="1:39" s="16" customFormat="1" ht="19" customHeight="1">
      <c r="A655" s="29" t="s">
        <v>716</v>
      </c>
      <c r="B655" s="29" t="s">
        <v>1370</v>
      </c>
      <c r="C655" s="29"/>
      <c r="D655" s="29"/>
      <c r="E655" s="36" t="s">
        <v>234</v>
      </c>
      <c r="F655" s="36" t="s">
        <v>249</v>
      </c>
      <c r="G655" s="31" t="s">
        <v>439</v>
      </c>
      <c r="H655" s="35">
        <v>5.01</v>
      </c>
      <c r="I655" s="35">
        <v>43.89</v>
      </c>
      <c r="J655" s="13">
        <v>189.5</v>
      </c>
      <c r="K655" s="13">
        <v>766</v>
      </c>
      <c r="L655" s="13">
        <v>136.5</v>
      </c>
      <c r="M655" s="35">
        <v>120.1</v>
      </c>
      <c r="N655" s="13">
        <v>812</v>
      </c>
      <c r="O655" s="13">
        <v>358.3</v>
      </c>
      <c r="P655" s="13">
        <v>19.41</v>
      </c>
      <c r="Q655" s="13">
        <v>450</v>
      </c>
      <c r="R655" s="13">
        <v>79.5</v>
      </c>
      <c r="S655" s="13">
        <v>506</v>
      </c>
      <c r="T655" s="13">
        <v>2299</v>
      </c>
      <c r="U655" s="13">
        <v>95.6</v>
      </c>
      <c r="V655" s="13">
        <v>250.4</v>
      </c>
      <c r="W655" s="13">
        <v>33.08</v>
      </c>
      <c r="X655" s="13">
        <v>189</v>
      </c>
      <c r="Y655" s="13">
        <v>23.56</v>
      </c>
      <c r="Z655" s="35">
        <v>1889</v>
      </c>
      <c r="AA655" s="13"/>
      <c r="AB655" s="13"/>
      <c r="AC655" s="14">
        <v>2420.9459459459463</v>
      </c>
      <c r="AD655" s="14">
        <v>344.76021314387214</v>
      </c>
      <c r="AE655" s="14">
        <v>2261.3065326633164</v>
      </c>
      <c r="AF655" s="14">
        <v>2202.2160664819944</v>
      </c>
      <c r="AG655" s="15">
        <v>0.14726254712615322</v>
      </c>
      <c r="AH655" s="15">
        <v>0.14734821376640098</v>
      </c>
      <c r="AI655" s="15">
        <v>0.14697397387803973</v>
      </c>
      <c r="AJ655" s="41">
        <f t="shared" si="20"/>
        <v>1904</v>
      </c>
      <c r="AK655" s="44">
        <f t="shared" si="21"/>
        <v>5.2240104393214436E-2</v>
      </c>
      <c r="AL655" s="10"/>
      <c r="AM655" s="10"/>
    </row>
    <row r="656" spans="1:39" s="16" customFormat="1" ht="19" customHeight="1">
      <c r="A656" s="29" t="s">
        <v>717</v>
      </c>
      <c r="B656" s="29" t="s">
        <v>1370</v>
      </c>
      <c r="C656" s="29"/>
      <c r="D656" s="29"/>
      <c r="E656" s="36" t="s">
        <v>234</v>
      </c>
      <c r="F656" s="36" t="s">
        <v>249</v>
      </c>
      <c r="G656" s="31" t="s">
        <v>439</v>
      </c>
      <c r="H656" s="35">
        <v>170.5</v>
      </c>
      <c r="I656" s="35">
        <v>1421</v>
      </c>
      <c r="J656" s="13">
        <v>534.79999999999995</v>
      </c>
      <c r="K656" s="13">
        <v>2259</v>
      </c>
      <c r="L656" s="13">
        <v>381.9</v>
      </c>
      <c r="M656" s="35">
        <v>85.3</v>
      </c>
      <c r="N656" s="13">
        <v>2147</v>
      </c>
      <c r="O656" s="13">
        <v>1130</v>
      </c>
      <c r="P656" s="13">
        <v>64.2</v>
      </c>
      <c r="Q656" s="13">
        <v>1383</v>
      </c>
      <c r="R656" s="13">
        <v>260.60000000000002</v>
      </c>
      <c r="S656" s="13">
        <v>1740</v>
      </c>
      <c r="T656" s="13">
        <v>7890</v>
      </c>
      <c r="U656" s="13">
        <v>339.9</v>
      </c>
      <c r="V656" s="13">
        <v>994</v>
      </c>
      <c r="W656" s="13">
        <v>156.19999999999999</v>
      </c>
      <c r="X656" s="13">
        <v>1094</v>
      </c>
      <c r="Y656" s="13">
        <v>146.6</v>
      </c>
      <c r="Z656" s="35">
        <v>4229</v>
      </c>
      <c r="AA656" s="13"/>
      <c r="AB656" s="13"/>
      <c r="AC656" s="14">
        <v>7635.1351351351359</v>
      </c>
      <c r="AD656" s="14">
        <v>1140.3197158081707</v>
      </c>
      <c r="AE656" s="14">
        <v>6949.7487437185928</v>
      </c>
      <c r="AF656" s="14">
        <v>7218.8365650969536</v>
      </c>
      <c r="AG656" s="15">
        <v>0.15637007812746356</v>
      </c>
      <c r="AH656" s="15">
        <v>0.15654302339805604</v>
      </c>
      <c r="AI656" s="15">
        <v>0.15216907887929165</v>
      </c>
      <c r="AJ656" s="41">
        <f t="shared" si="20"/>
        <v>5322.7000000000007</v>
      </c>
      <c r="AK656" s="44">
        <f t="shared" si="21"/>
        <v>1.0811153358681876E-2</v>
      </c>
      <c r="AL656" s="10"/>
      <c r="AM656" s="10"/>
    </row>
    <row r="657" spans="1:39" s="16" customFormat="1" ht="19" customHeight="1">
      <c r="A657" s="29" t="s">
        <v>718</v>
      </c>
      <c r="B657" s="29" t="s">
        <v>1370</v>
      </c>
      <c r="C657" s="29"/>
      <c r="D657" s="29"/>
      <c r="E657" s="36" t="s">
        <v>234</v>
      </c>
      <c r="F657" s="36" t="s">
        <v>249</v>
      </c>
      <c r="G657" s="31" t="s">
        <v>439</v>
      </c>
      <c r="H657" s="35">
        <v>7.06</v>
      </c>
      <c r="I657" s="35">
        <v>110.3</v>
      </c>
      <c r="J657" s="13">
        <v>189.2</v>
      </c>
      <c r="K657" s="13">
        <v>718</v>
      </c>
      <c r="L657" s="13">
        <v>126.8</v>
      </c>
      <c r="M657" s="35">
        <v>87.6</v>
      </c>
      <c r="N657" s="13">
        <v>728</v>
      </c>
      <c r="O657" s="13">
        <v>375.3</v>
      </c>
      <c r="P657" s="13">
        <v>20.100000000000001</v>
      </c>
      <c r="Q657" s="13">
        <v>448.5</v>
      </c>
      <c r="R657" s="13">
        <v>82.3</v>
      </c>
      <c r="S657" s="13">
        <v>538.29999999999995</v>
      </c>
      <c r="T657" s="13">
        <v>2552</v>
      </c>
      <c r="U657" s="13">
        <v>107.4</v>
      </c>
      <c r="V657" s="13">
        <v>306.3</v>
      </c>
      <c r="W657" s="13">
        <v>45.48</v>
      </c>
      <c r="X657" s="13">
        <v>297.89999999999998</v>
      </c>
      <c r="Y657" s="13">
        <v>39.75</v>
      </c>
      <c r="Z657" s="35">
        <v>3714</v>
      </c>
      <c r="AA657" s="13"/>
      <c r="AB657" s="13"/>
      <c r="AC657" s="14">
        <v>2535.8108108108108</v>
      </c>
      <c r="AD657" s="14">
        <v>357.01598579040859</v>
      </c>
      <c r="AE657" s="14">
        <v>2253.7688442211056</v>
      </c>
      <c r="AF657" s="14">
        <v>2279.7783933518003</v>
      </c>
      <c r="AG657" s="15">
        <v>0.14908029994462199</v>
      </c>
      <c r="AH657" s="15">
        <v>0.14933945173180596</v>
      </c>
      <c r="AI657" s="15">
        <v>0.14587433384521273</v>
      </c>
      <c r="AJ657" s="41">
        <f t="shared" si="20"/>
        <v>1762</v>
      </c>
      <c r="AK657" s="44">
        <f t="shared" si="21"/>
        <v>3.4326018808777427E-2</v>
      </c>
      <c r="AL657" s="10"/>
      <c r="AM657" s="10"/>
    </row>
    <row r="658" spans="1:39" s="16" customFormat="1" ht="19" customHeight="1">
      <c r="A658" s="29" t="s">
        <v>719</v>
      </c>
      <c r="B658" s="29" t="s">
        <v>1370</v>
      </c>
      <c r="C658" s="29"/>
      <c r="D658" s="29"/>
      <c r="E658" s="36" t="s">
        <v>234</v>
      </c>
      <c r="F658" s="36" t="s">
        <v>249</v>
      </c>
      <c r="G658" s="31" t="s">
        <v>439</v>
      </c>
      <c r="H658" s="35">
        <v>2.5630000000000002</v>
      </c>
      <c r="I658" s="35">
        <v>142.9</v>
      </c>
      <c r="J658" s="13">
        <v>128.1</v>
      </c>
      <c r="K658" s="13">
        <v>576.79999999999995</v>
      </c>
      <c r="L658" s="13">
        <v>108.1</v>
      </c>
      <c r="M658" s="35">
        <v>87.6</v>
      </c>
      <c r="N658" s="13">
        <v>647.79999999999995</v>
      </c>
      <c r="O658" s="13">
        <v>368.1</v>
      </c>
      <c r="P658" s="13">
        <v>16.87</v>
      </c>
      <c r="Q658" s="13">
        <v>598.29999999999995</v>
      </c>
      <c r="R658" s="13">
        <v>114.3</v>
      </c>
      <c r="S658" s="13">
        <v>726.4</v>
      </c>
      <c r="T658" s="13">
        <v>3356</v>
      </c>
      <c r="U658" s="13">
        <v>125</v>
      </c>
      <c r="V658" s="13">
        <v>273.2</v>
      </c>
      <c r="W658" s="13">
        <v>28.62</v>
      </c>
      <c r="X658" s="13">
        <v>135.19999999999999</v>
      </c>
      <c r="Y658" s="13">
        <v>14.38</v>
      </c>
      <c r="Z658" s="35">
        <v>2522</v>
      </c>
      <c r="AA658" s="13"/>
      <c r="AB658" s="13"/>
      <c r="AC658" s="14">
        <v>2487.1621621621625</v>
      </c>
      <c r="AD658" s="14">
        <v>299.64476021314391</v>
      </c>
      <c r="AE658" s="14">
        <v>3006.5326633165823</v>
      </c>
      <c r="AF658" s="14">
        <v>3166.2049861495843</v>
      </c>
      <c r="AG658" s="15">
        <v>0.10908678757452879</v>
      </c>
      <c r="AH658" s="15">
        <v>0.10957757207795124</v>
      </c>
      <c r="AI658" s="15">
        <v>0.11116232216504236</v>
      </c>
      <c r="AJ658" s="41">
        <f t="shared" si="20"/>
        <v>1460.8</v>
      </c>
      <c r="AK658" s="44">
        <f t="shared" si="21"/>
        <v>2.610250297973778E-2</v>
      </c>
      <c r="AL658" s="10"/>
      <c r="AM658" s="10"/>
    </row>
    <row r="659" spans="1:39" s="16" customFormat="1" ht="19" customHeight="1">
      <c r="A659" s="29" t="s">
        <v>720</v>
      </c>
      <c r="B659" s="29" t="s">
        <v>1370</v>
      </c>
      <c r="C659" s="29"/>
      <c r="D659" s="29"/>
      <c r="E659" s="36" t="s">
        <v>234</v>
      </c>
      <c r="F659" s="36" t="s">
        <v>249</v>
      </c>
      <c r="G659" s="31" t="s">
        <v>439</v>
      </c>
      <c r="H659" s="35">
        <v>10.17</v>
      </c>
      <c r="I659" s="35">
        <v>126.9</v>
      </c>
      <c r="J659" s="13">
        <v>202.4</v>
      </c>
      <c r="K659" s="13">
        <v>809</v>
      </c>
      <c r="L659" s="13">
        <v>140.30000000000001</v>
      </c>
      <c r="M659" s="35">
        <v>86.6</v>
      </c>
      <c r="N659" s="13">
        <v>815</v>
      </c>
      <c r="O659" s="13">
        <v>422.2</v>
      </c>
      <c r="P659" s="13">
        <v>21.31</v>
      </c>
      <c r="Q659" s="13">
        <v>510.4</v>
      </c>
      <c r="R659" s="13">
        <v>91.2</v>
      </c>
      <c r="S659" s="13">
        <v>579.6</v>
      </c>
      <c r="T659" s="13">
        <v>2612</v>
      </c>
      <c r="U659" s="13">
        <v>110</v>
      </c>
      <c r="V659" s="13">
        <v>294.2</v>
      </c>
      <c r="W659" s="13">
        <v>41.46</v>
      </c>
      <c r="X659" s="13">
        <v>256.60000000000002</v>
      </c>
      <c r="Y659" s="13">
        <v>32.68</v>
      </c>
      <c r="Z659" s="35">
        <v>3843</v>
      </c>
      <c r="AA659" s="13"/>
      <c r="AB659" s="13"/>
      <c r="AC659" s="14">
        <v>2852.7027027027029</v>
      </c>
      <c r="AD659" s="14">
        <v>378.50799289520427</v>
      </c>
      <c r="AE659" s="14">
        <v>2564.8241206030148</v>
      </c>
      <c r="AF659" s="14">
        <v>2526.3157894736842</v>
      </c>
      <c r="AG659" s="15">
        <v>0.13973460777965938</v>
      </c>
      <c r="AH659" s="15">
        <v>0.13993230996969519</v>
      </c>
      <c r="AI659" s="15">
        <v>0.13816822148574734</v>
      </c>
      <c r="AJ659" s="41">
        <f t="shared" si="20"/>
        <v>1966.7</v>
      </c>
      <c r="AK659" s="44">
        <f t="shared" si="21"/>
        <v>3.3154670750382843E-2</v>
      </c>
      <c r="AL659" s="10"/>
      <c r="AM659" s="10"/>
    </row>
    <row r="660" spans="1:39" s="16" customFormat="1" ht="19" customHeight="1">
      <c r="A660" s="29" t="s">
        <v>721</v>
      </c>
      <c r="B660" s="29" t="s">
        <v>1370</v>
      </c>
      <c r="C660" s="29"/>
      <c r="D660" s="29"/>
      <c r="E660" s="36" t="s">
        <v>234</v>
      </c>
      <c r="F660" s="36" t="s">
        <v>249</v>
      </c>
      <c r="G660" s="31" t="s">
        <v>439</v>
      </c>
      <c r="H660" s="35">
        <v>0.88700000000000001</v>
      </c>
      <c r="I660" s="35">
        <v>29.49</v>
      </c>
      <c r="J660" s="13">
        <v>120.5</v>
      </c>
      <c r="K660" s="13">
        <v>465.4</v>
      </c>
      <c r="L660" s="13">
        <v>81.400000000000006</v>
      </c>
      <c r="M660" s="35">
        <v>85.4</v>
      </c>
      <c r="N660" s="13">
        <v>474</v>
      </c>
      <c r="O660" s="13">
        <v>242.7</v>
      </c>
      <c r="P660" s="13">
        <v>14.51</v>
      </c>
      <c r="Q660" s="13">
        <v>301</v>
      </c>
      <c r="R660" s="13">
        <v>53.63</v>
      </c>
      <c r="S660" s="13">
        <v>323.60000000000002</v>
      </c>
      <c r="T660" s="13">
        <v>1408</v>
      </c>
      <c r="U660" s="13">
        <v>58.03</v>
      </c>
      <c r="V660" s="13">
        <v>151.9</v>
      </c>
      <c r="W660" s="13">
        <v>21.46</v>
      </c>
      <c r="X660" s="13">
        <v>144.19999999999999</v>
      </c>
      <c r="Y660" s="13">
        <v>19.32</v>
      </c>
      <c r="Z660" s="35">
        <v>3509</v>
      </c>
      <c r="AA660" s="13"/>
      <c r="AB660" s="13"/>
      <c r="AC660" s="14">
        <v>1639.8648648648648</v>
      </c>
      <c r="AD660" s="14">
        <v>257.72646536412077</v>
      </c>
      <c r="AE660" s="14">
        <v>1512.5628140703516</v>
      </c>
      <c r="AF660" s="14">
        <v>1485.5955678670362</v>
      </c>
      <c r="AG660" s="15">
        <v>0.16350983534770389</v>
      </c>
      <c r="AH660" s="15">
        <v>0.16364331835419854</v>
      </c>
      <c r="AI660" s="15">
        <v>0.16242521323795689</v>
      </c>
      <c r="AJ660" s="41">
        <f t="shared" si="20"/>
        <v>1141.3</v>
      </c>
      <c r="AK660" s="44">
        <f t="shared" si="21"/>
        <v>6.0653409090909098E-2</v>
      </c>
      <c r="AL660" s="10"/>
      <c r="AM660" s="10"/>
    </row>
    <row r="661" spans="1:39" s="16" customFormat="1" ht="19" customHeight="1">
      <c r="A661" s="29" t="s">
        <v>722</v>
      </c>
      <c r="B661" s="29" t="s">
        <v>1370</v>
      </c>
      <c r="C661" s="29"/>
      <c r="D661" s="29"/>
      <c r="E661" s="36" t="s">
        <v>234</v>
      </c>
      <c r="F661" s="36" t="s">
        <v>249</v>
      </c>
      <c r="G661" s="31" t="s">
        <v>439</v>
      </c>
      <c r="H661" s="35">
        <v>1.472</v>
      </c>
      <c r="I661" s="35">
        <v>38.229999999999997</v>
      </c>
      <c r="J661" s="13">
        <v>132.69999999999999</v>
      </c>
      <c r="K661" s="13">
        <v>496.5</v>
      </c>
      <c r="L661" s="13">
        <v>84.8</v>
      </c>
      <c r="M661" s="35">
        <v>87.4</v>
      </c>
      <c r="N661" s="13">
        <v>488</v>
      </c>
      <c r="O661" s="13">
        <v>252.8</v>
      </c>
      <c r="P661" s="13">
        <v>15.39</v>
      </c>
      <c r="Q661" s="13">
        <v>330.6</v>
      </c>
      <c r="R661" s="13">
        <v>58.75</v>
      </c>
      <c r="S661" s="13">
        <v>363.6</v>
      </c>
      <c r="T661" s="13">
        <v>1584</v>
      </c>
      <c r="U661" s="13">
        <v>64.760000000000005</v>
      </c>
      <c r="V661" s="13">
        <v>163.19999999999999</v>
      </c>
      <c r="W661" s="13">
        <v>21.28</v>
      </c>
      <c r="X661" s="13">
        <v>127.9</v>
      </c>
      <c r="Y661" s="13">
        <v>16.350000000000001</v>
      </c>
      <c r="Z661" s="35">
        <v>3321</v>
      </c>
      <c r="AA661" s="13"/>
      <c r="AB661" s="13"/>
      <c r="AC661" s="14">
        <v>1708.1081081081084</v>
      </c>
      <c r="AD661" s="14">
        <v>273.35701598579044</v>
      </c>
      <c r="AE661" s="14">
        <v>1661.3065326633166</v>
      </c>
      <c r="AF661" s="14">
        <v>1627.4238227146814</v>
      </c>
      <c r="AG661" s="15">
        <v>0.16225786679861137</v>
      </c>
      <c r="AH661" s="15">
        <v>0.16227352171105625</v>
      </c>
      <c r="AI661" s="15">
        <v>0.16263715407574825</v>
      </c>
      <c r="AJ661" s="41">
        <f t="shared" si="20"/>
        <v>1202</v>
      </c>
      <c r="AK661" s="44">
        <f t="shared" si="21"/>
        <v>5.5176767676767678E-2</v>
      </c>
      <c r="AL661" s="10"/>
      <c r="AM661" s="10"/>
    </row>
    <row r="662" spans="1:39" s="16" customFormat="1" ht="19" customHeight="1">
      <c r="A662" s="29" t="s">
        <v>723</v>
      </c>
      <c r="B662" s="29" t="s">
        <v>1370</v>
      </c>
      <c r="C662" s="29"/>
      <c r="D662" s="29"/>
      <c r="E662" s="36" t="s">
        <v>234</v>
      </c>
      <c r="F662" s="36" t="s">
        <v>249</v>
      </c>
      <c r="G662" s="31" t="s">
        <v>439</v>
      </c>
      <c r="H662" s="35">
        <v>2.149</v>
      </c>
      <c r="I662" s="35">
        <v>41.31</v>
      </c>
      <c r="J662" s="13">
        <v>154.30000000000001</v>
      </c>
      <c r="K662" s="13">
        <v>562.6</v>
      </c>
      <c r="L662" s="13">
        <v>94.5</v>
      </c>
      <c r="M662" s="35">
        <v>88</v>
      </c>
      <c r="N662" s="13">
        <v>533.79999999999995</v>
      </c>
      <c r="O662" s="13">
        <v>269.10000000000002</v>
      </c>
      <c r="P662" s="13">
        <v>17.11</v>
      </c>
      <c r="Q662" s="13">
        <v>352.5</v>
      </c>
      <c r="R662" s="13">
        <v>63.55</v>
      </c>
      <c r="S662" s="13">
        <v>387.1</v>
      </c>
      <c r="T662" s="13">
        <v>1718</v>
      </c>
      <c r="U662" s="13">
        <v>70.319999999999993</v>
      </c>
      <c r="V662" s="13">
        <v>191.3</v>
      </c>
      <c r="W662" s="13">
        <v>28.73</v>
      </c>
      <c r="X662" s="13">
        <v>199</v>
      </c>
      <c r="Y662" s="13">
        <v>27.17</v>
      </c>
      <c r="Z662" s="35">
        <v>3530</v>
      </c>
      <c r="AA662" s="13"/>
      <c r="AB662" s="13"/>
      <c r="AC662" s="14">
        <v>1818.2432432432436</v>
      </c>
      <c r="AD662" s="14">
        <v>303.90763765541743</v>
      </c>
      <c r="AE662" s="14">
        <v>1771.356783919598</v>
      </c>
      <c r="AF662" s="14">
        <v>1760.387811634349</v>
      </c>
      <c r="AG662" s="15">
        <v>0.16932674133926884</v>
      </c>
      <c r="AH662" s="15">
        <v>0.16934118754802019</v>
      </c>
      <c r="AI662" s="15">
        <v>0.16895491976921129</v>
      </c>
      <c r="AJ662" s="41">
        <f t="shared" si="20"/>
        <v>1345.2</v>
      </c>
      <c r="AK662" s="44">
        <f t="shared" si="21"/>
        <v>5.1222351571594875E-2</v>
      </c>
      <c r="AL662" s="10"/>
      <c r="AM662" s="10"/>
    </row>
    <row r="663" spans="1:39" s="16" customFormat="1" ht="19" customHeight="1">
      <c r="A663" s="29" t="s">
        <v>724</v>
      </c>
      <c r="B663" s="29" t="s">
        <v>1370</v>
      </c>
      <c r="C663" s="29"/>
      <c r="D663" s="29"/>
      <c r="E663" s="36" t="s">
        <v>234</v>
      </c>
      <c r="F663" s="36" t="s">
        <v>249</v>
      </c>
      <c r="G663" s="31" t="s">
        <v>439</v>
      </c>
      <c r="H663" s="35">
        <v>4.9059999999999997</v>
      </c>
      <c r="I663" s="35">
        <v>96.2</v>
      </c>
      <c r="J663" s="13">
        <v>159.5</v>
      </c>
      <c r="K663" s="13">
        <v>638</v>
      </c>
      <c r="L663" s="13">
        <v>117.3</v>
      </c>
      <c r="M663" s="35">
        <v>81.599999999999994</v>
      </c>
      <c r="N663" s="13">
        <v>689</v>
      </c>
      <c r="O663" s="13">
        <v>371.5</v>
      </c>
      <c r="P663" s="13">
        <v>23.97</v>
      </c>
      <c r="Q663" s="13">
        <v>437.6</v>
      </c>
      <c r="R663" s="13">
        <v>79.099999999999994</v>
      </c>
      <c r="S663" s="13">
        <v>488.7</v>
      </c>
      <c r="T663" s="13">
        <v>2117</v>
      </c>
      <c r="U663" s="13">
        <v>89</v>
      </c>
      <c r="V663" s="13">
        <v>237.4</v>
      </c>
      <c r="W663" s="13">
        <v>33.85</v>
      </c>
      <c r="X663" s="13">
        <v>212.7</v>
      </c>
      <c r="Y663" s="13">
        <v>27.73</v>
      </c>
      <c r="Z663" s="35">
        <v>2919</v>
      </c>
      <c r="AA663" s="13"/>
      <c r="AB663" s="13"/>
      <c r="AC663" s="14">
        <v>2510.1351351351354</v>
      </c>
      <c r="AD663" s="14">
        <v>425.75488454706931</v>
      </c>
      <c r="AE663" s="14">
        <v>2198.994974874372</v>
      </c>
      <c r="AF663" s="14">
        <v>2191.1357340720219</v>
      </c>
      <c r="AG663" s="15">
        <v>0.18082103259033108</v>
      </c>
      <c r="AH663" s="15">
        <v>0.18121701371841659</v>
      </c>
      <c r="AI663" s="15">
        <v>0.17747552811815256</v>
      </c>
      <c r="AJ663" s="41">
        <f t="shared" si="20"/>
        <v>1603.8</v>
      </c>
      <c r="AK663" s="44">
        <f t="shared" si="21"/>
        <v>3.8545111006140761E-2</v>
      </c>
      <c r="AL663" s="10"/>
      <c r="AM663" s="10"/>
    </row>
    <row r="664" spans="1:39" s="16" customFormat="1" ht="19" customHeight="1">
      <c r="A664" s="29" t="s">
        <v>725</v>
      </c>
      <c r="B664" s="29" t="s">
        <v>1370</v>
      </c>
      <c r="C664" s="29"/>
      <c r="D664" s="29"/>
      <c r="E664" s="36" t="s">
        <v>234</v>
      </c>
      <c r="F664" s="36" t="s">
        <v>249</v>
      </c>
      <c r="G664" s="31" t="s">
        <v>439</v>
      </c>
      <c r="H664" s="35">
        <v>1.93</v>
      </c>
      <c r="I664" s="35">
        <v>38</v>
      </c>
      <c r="J664" s="13">
        <v>142</v>
      </c>
      <c r="K664" s="13">
        <v>545.79999999999995</v>
      </c>
      <c r="L664" s="13">
        <v>93.5</v>
      </c>
      <c r="M664" s="35">
        <v>87.7</v>
      </c>
      <c r="N664" s="13">
        <v>537.29999999999995</v>
      </c>
      <c r="O664" s="13">
        <v>274.8</v>
      </c>
      <c r="P664" s="13">
        <v>15.19</v>
      </c>
      <c r="Q664" s="13">
        <v>344.2</v>
      </c>
      <c r="R664" s="13">
        <v>62.2</v>
      </c>
      <c r="S664" s="13">
        <v>391.5</v>
      </c>
      <c r="T664" s="13">
        <v>1837</v>
      </c>
      <c r="U664" s="13">
        <v>73.400000000000006</v>
      </c>
      <c r="V664" s="13">
        <v>192.1</v>
      </c>
      <c r="W664" s="13">
        <v>26.15</v>
      </c>
      <c r="X664" s="13">
        <v>161.69999999999999</v>
      </c>
      <c r="Y664" s="13">
        <v>21.08</v>
      </c>
      <c r="Z664" s="35">
        <v>3374</v>
      </c>
      <c r="AA664" s="13"/>
      <c r="AB664" s="13"/>
      <c r="AC664" s="14">
        <v>1856.7567567567569</v>
      </c>
      <c r="AD664" s="14">
        <v>269.80461811722915</v>
      </c>
      <c r="AE664" s="14">
        <v>1729.64824120603</v>
      </c>
      <c r="AF664" s="14">
        <v>1722.9916897506926</v>
      </c>
      <c r="AG664" s="15">
        <v>0.15045964874044529</v>
      </c>
      <c r="AH664" s="15">
        <v>0.15055423543724844</v>
      </c>
      <c r="AI664" s="15">
        <v>0.14897668621334392</v>
      </c>
      <c r="AJ664" s="41">
        <f t="shared" si="20"/>
        <v>1318.6</v>
      </c>
      <c r="AK664" s="44">
        <f t="shared" si="21"/>
        <v>4.77408818726184E-2</v>
      </c>
      <c r="AL664" s="10"/>
      <c r="AM664" s="10"/>
    </row>
    <row r="665" spans="1:39" s="16" customFormat="1" ht="19" customHeight="1">
      <c r="A665" s="29" t="s">
        <v>726</v>
      </c>
      <c r="B665" s="29" t="s">
        <v>1370</v>
      </c>
      <c r="C665" s="29"/>
      <c r="D665" s="29"/>
      <c r="E665" s="36" t="s">
        <v>234</v>
      </c>
      <c r="F665" s="36" t="s">
        <v>249</v>
      </c>
      <c r="G665" s="31" t="s">
        <v>439</v>
      </c>
      <c r="H665" s="35">
        <v>4.2770000000000001</v>
      </c>
      <c r="I665" s="35">
        <v>85.5</v>
      </c>
      <c r="J665" s="13">
        <v>173.9</v>
      </c>
      <c r="K665" s="13">
        <v>722.1</v>
      </c>
      <c r="L665" s="13">
        <v>129.69999999999999</v>
      </c>
      <c r="M665" s="35">
        <v>85.2</v>
      </c>
      <c r="N665" s="13">
        <v>753</v>
      </c>
      <c r="O665" s="13">
        <v>375.8</v>
      </c>
      <c r="P665" s="13">
        <v>19.13</v>
      </c>
      <c r="Q665" s="13">
        <v>447.9</v>
      </c>
      <c r="R665" s="13">
        <v>80.400000000000006</v>
      </c>
      <c r="S665" s="13">
        <v>512</v>
      </c>
      <c r="T665" s="13">
        <v>2405</v>
      </c>
      <c r="U665" s="13">
        <v>96.2</v>
      </c>
      <c r="V665" s="13">
        <v>252.6</v>
      </c>
      <c r="W665" s="13">
        <v>34.42</v>
      </c>
      <c r="X665" s="13">
        <v>207.8</v>
      </c>
      <c r="Y665" s="13">
        <v>25.85</v>
      </c>
      <c r="Z665" s="35">
        <v>3298</v>
      </c>
      <c r="AA665" s="13"/>
      <c r="AB665" s="13"/>
      <c r="AC665" s="14">
        <v>2539.1891891891892</v>
      </c>
      <c r="AD665" s="14">
        <v>339.78685612788632</v>
      </c>
      <c r="AE665" s="14">
        <v>2250.7537688442208</v>
      </c>
      <c r="AF665" s="14">
        <v>2227.1468144044325</v>
      </c>
      <c r="AG665" s="15">
        <v>0.14187511588546825</v>
      </c>
      <c r="AH665" s="15">
        <v>0.14213304228054188</v>
      </c>
      <c r="AI665" s="15">
        <v>0.13979562700924789</v>
      </c>
      <c r="AJ665" s="41">
        <f t="shared" si="20"/>
        <v>1778.7</v>
      </c>
      <c r="AK665" s="44">
        <f t="shared" si="21"/>
        <v>3.5426195426195427E-2</v>
      </c>
      <c r="AL665" s="10"/>
      <c r="AM665" s="10"/>
    </row>
    <row r="666" spans="1:39" s="16" customFormat="1" ht="19" customHeight="1">
      <c r="A666" s="29" t="s">
        <v>727</v>
      </c>
      <c r="B666" s="29" t="s">
        <v>1370</v>
      </c>
      <c r="C666" s="29"/>
      <c r="D666" s="29"/>
      <c r="E666" s="36" t="s">
        <v>234</v>
      </c>
      <c r="F666" s="36" t="s">
        <v>249</v>
      </c>
      <c r="G666" s="31" t="s">
        <v>439</v>
      </c>
      <c r="H666" s="35">
        <v>9.36</v>
      </c>
      <c r="I666" s="35">
        <v>123</v>
      </c>
      <c r="J666" s="13">
        <v>200.1</v>
      </c>
      <c r="K666" s="13">
        <v>887</v>
      </c>
      <c r="L666" s="13">
        <v>150.80000000000001</v>
      </c>
      <c r="M666" s="35">
        <v>89.7</v>
      </c>
      <c r="N666" s="13">
        <v>856</v>
      </c>
      <c r="O666" s="13">
        <v>421</v>
      </c>
      <c r="P666" s="13">
        <v>20.190000000000001</v>
      </c>
      <c r="Q666" s="13">
        <v>500.9</v>
      </c>
      <c r="R666" s="13">
        <v>91.1</v>
      </c>
      <c r="S666" s="13">
        <v>578.5</v>
      </c>
      <c r="T666" s="13">
        <v>2752</v>
      </c>
      <c r="U666" s="13">
        <v>108.8</v>
      </c>
      <c r="V666" s="13">
        <v>288.3</v>
      </c>
      <c r="W666" s="13">
        <v>38.96</v>
      </c>
      <c r="X666" s="13">
        <v>231.3</v>
      </c>
      <c r="Y666" s="13">
        <v>28.26</v>
      </c>
      <c r="Z666" s="35">
        <v>4081</v>
      </c>
      <c r="AA666" s="13"/>
      <c r="AB666" s="13"/>
      <c r="AC666" s="14">
        <v>2844.5945945945946</v>
      </c>
      <c r="AD666" s="14">
        <v>358.61456483126113</v>
      </c>
      <c r="AE666" s="14">
        <v>2517.0854271356779</v>
      </c>
      <c r="AF666" s="14">
        <v>2523.545706371191</v>
      </c>
      <c r="AG666" s="15">
        <v>0.13376947649909637</v>
      </c>
      <c r="AH666" s="15">
        <v>0.13401973542300846</v>
      </c>
      <c r="AI666" s="15">
        <v>0.13120305448369285</v>
      </c>
      <c r="AJ666" s="41">
        <f t="shared" si="20"/>
        <v>2093.8999999999996</v>
      </c>
      <c r="AK666" s="44">
        <f t="shared" si="21"/>
        <v>3.259447674418605E-2</v>
      </c>
      <c r="AL666" s="10"/>
      <c r="AM666" s="10"/>
    </row>
    <row r="667" spans="1:39" s="16" customFormat="1" ht="19" customHeight="1">
      <c r="A667" s="29" t="s">
        <v>728</v>
      </c>
      <c r="B667" s="29" t="s">
        <v>1370</v>
      </c>
      <c r="C667" s="29"/>
      <c r="D667" s="29"/>
      <c r="E667" s="36" t="s">
        <v>234</v>
      </c>
      <c r="F667" s="36" t="s">
        <v>249</v>
      </c>
      <c r="G667" s="31" t="s">
        <v>439</v>
      </c>
      <c r="H667" s="35">
        <v>2.68</v>
      </c>
      <c r="I667" s="35">
        <v>45</v>
      </c>
      <c r="J667" s="13">
        <v>116.4</v>
      </c>
      <c r="K667" s="13">
        <v>460.4</v>
      </c>
      <c r="L667" s="13">
        <v>82.8</v>
      </c>
      <c r="M667" s="35">
        <v>80.5</v>
      </c>
      <c r="N667" s="13">
        <v>501</v>
      </c>
      <c r="O667" s="13">
        <v>266</v>
      </c>
      <c r="P667" s="13">
        <v>18.100000000000001</v>
      </c>
      <c r="Q667" s="13">
        <v>321.7</v>
      </c>
      <c r="R667" s="13">
        <v>55.9</v>
      </c>
      <c r="S667" s="13">
        <v>339.7</v>
      </c>
      <c r="T667" s="13">
        <v>1535</v>
      </c>
      <c r="U667" s="13">
        <v>61.8</v>
      </c>
      <c r="V667" s="13">
        <v>167.5</v>
      </c>
      <c r="W667" s="13">
        <v>24.58</v>
      </c>
      <c r="X667" s="13">
        <v>168</v>
      </c>
      <c r="Y667" s="13">
        <v>22.15</v>
      </c>
      <c r="Z667" s="35">
        <v>3078</v>
      </c>
      <c r="AA667" s="13"/>
      <c r="AB667" s="13"/>
      <c r="AC667" s="14">
        <v>1797.2972972972973</v>
      </c>
      <c r="AD667" s="14">
        <v>321.49200710479579</v>
      </c>
      <c r="AE667" s="14">
        <v>1616.5829145728642</v>
      </c>
      <c r="AF667" s="14">
        <v>1548.4764542936289</v>
      </c>
      <c r="AG667" s="15">
        <v>0.18834404674596295</v>
      </c>
      <c r="AH667" s="15">
        <v>0.1886084852369537</v>
      </c>
      <c r="AI667" s="15">
        <v>0.18798449535259731</v>
      </c>
      <c r="AJ667" s="41">
        <f t="shared" si="20"/>
        <v>1160.5999999999999</v>
      </c>
      <c r="AK667" s="44">
        <f t="shared" si="21"/>
        <v>5.2442996742671007E-2</v>
      </c>
      <c r="AL667" s="10"/>
      <c r="AM667" s="10"/>
    </row>
    <row r="668" spans="1:39" s="16" customFormat="1" ht="19" customHeight="1">
      <c r="A668" s="29" t="s">
        <v>729</v>
      </c>
      <c r="B668" s="29" t="s">
        <v>1370</v>
      </c>
      <c r="C668" s="29"/>
      <c r="D668" s="29"/>
      <c r="E668" s="36" t="s">
        <v>234</v>
      </c>
      <c r="F668" s="36" t="s">
        <v>249</v>
      </c>
      <c r="G668" s="31" t="s">
        <v>439</v>
      </c>
      <c r="H668" s="35">
        <v>11.25</v>
      </c>
      <c r="I668" s="35">
        <v>131.9</v>
      </c>
      <c r="J668" s="13">
        <v>213.9</v>
      </c>
      <c r="K668" s="13">
        <v>828</v>
      </c>
      <c r="L668" s="13">
        <v>137.9</v>
      </c>
      <c r="M668" s="35">
        <v>88.2</v>
      </c>
      <c r="N668" s="13">
        <v>783</v>
      </c>
      <c r="O668" s="13">
        <v>384.6</v>
      </c>
      <c r="P668" s="13">
        <v>23.67</v>
      </c>
      <c r="Q668" s="13">
        <v>461.4</v>
      </c>
      <c r="R668" s="13">
        <v>82.5</v>
      </c>
      <c r="S668" s="13">
        <v>540.6</v>
      </c>
      <c r="T668" s="13">
        <v>2684</v>
      </c>
      <c r="U668" s="13">
        <v>108.4</v>
      </c>
      <c r="V668" s="13">
        <v>310.8</v>
      </c>
      <c r="W668" s="13">
        <v>47.32</v>
      </c>
      <c r="X668" s="13">
        <v>315.89999999999998</v>
      </c>
      <c r="Y668" s="13">
        <v>41.32</v>
      </c>
      <c r="Z668" s="35">
        <v>3706</v>
      </c>
      <c r="AA668" s="13"/>
      <c r="AB668" s="13"/>
      <c r="AC668" s="14">
        <v>2598.6486486486488</v>
      </c>
      <c r="AD668" s="14">
        <v>420.42628774422741</v>
      </c>
      <c r="AE668" s="14">
        <v>2318.5929648241204</v>
      </c>
      <c r="AF668" s="14">
        <v>2285.3185595567866</v>
      </c>
      <c r="AG668" s="15">
        <v>0.17100086625489372</v>
      </c>
      <c r="AH668" s="15">
        <v>0.17127888375099748</v>
      </c>
      <c r="AI668" s="15">
        <v>0.16886613816840321</v>
      </c>
      <c r="AJ668" s="41">
        <f t="shared" si="20"/>
        <v>1962.8000000000002</v>
      </c>
      <c r="AK668" s="44">
        <f t="shared" si="21"/>
        <v>3.2861400894187778E-2</v>
      </c>
      <c r="AL668" s="10"/>
      <c r="AM668" s="10"/>
    </row>
    <row r="669" spans="1:39" s="16" customFormat="1" ht="19" customHeight="1">
      <c r="A669" s="29" t="s">
        <v>730</v>
      </c>
      <c r="B669" s="29" t="s">
        <v>1370</v>
      </c>
      <c r="C669" s="29"/>
      <c r="D669" s="29"/>
      <c r="E669" s="36" t="s">
        <v>234</v>
      </c>
      <c r="F669" s="36" t="s">
        <v>249</v>
      </c>
      <c r="G669" s="31" t="s">
        <v>439</v>
      </c>
      <c r="H669" s="35">
        <v>3.45</v>
      </c>
      <c r="I669" s="35">
        <v>67.430000000000007</v>
      </c>
      <c r="J669" s="13">
        <v>156</v>
      </c>
      <c r="K669" s="13">
        <v>667.3</v>
      </c>
      <c r="L669" s="13">
        <v>118.3</v>
      </c>
      <c r="M669" s="35">
        <v>90.6</v>
      </c>
      <c r="N669" s="13">
        <v>696.7</v>
      </c>
      <c r="O669" s="13">
        <v>342.9</v>
      </c>
      <c r="P669" s="13">
        <v>17.77</v>
      </c>
      <c r="Q669" s="13">
        <v>420.4</v>
      </c>
      <c r="R669" s="13">
        <v>75.95</v>
      </c>
      <c r="S669" s="13">
        <v>486.1</v>
      </c>
      <c r="T669" s="13">
        <v>2388</v>
      </c>
      <c r="U669" s="13">
        <v>93.6</v>
      </c>
      <c r="V669" s="13">
        <v>241.6</v>
      </c>
      <c r="W669" s="13">
        <v>31.83</v>
      </c>
      <c r="X669" s="13">
        <v>184.6</v>
      </c>
      <c r="Y669" s="13">
        <v>21.71</v>
      </c>
      <c r="Z669" s="35">
        <v>3655</v>
      </c>
      <c r="AA669" s="13"/>
      <c r="AB669" s="13"/>
      <c r="AC669" s="14">
        <v>2316.8918918918916</v>
      </c>
      <c r="AD669" s="14">
        <v>315.63055062166967</v>
      </c>
      <c r="AE669" s="14">
        <v>2112.5628140703516</v>
      </c>
      <c r="AF669" s="14">
        <v>2103.8781163434905</v>
      </c>
      <c r="AG669" s="15">
        <v>0.14251440485295713</v>
      </c>
      <c r="AH669" s="15">
        <v>0.1426662784851524</v>
      </c>
      <c r="AI669" s="15">
        <v>0.1406808535735235</v>
      </c>
      <c r="AJ669" s="41">
        <f t="shared" si="20"/>
        <v>1638.3</v>
      </c>
      <c r="AK669" s="44">
        <f t="shared" si="21"/>
        <v>3.7939698492462308E-2</v>
      </c>
      <c r="AL669" s="10"/>
      <c r="AM669" s="10"/>
    </row>
    <row r="670" spans="1:39" s="16" customFormat="1" ht="19" customHeight="1">
      <c r="A670" s="29" t="s">
        <v>731</v>
      </c>
      <c r="B670" s="29" t="s">
        <v>1370</v>
      </c>
      <c r="C670" s="29"/>
      <c r="D670" s="29"/>
      <c r="E670" s="36" t="s">
        <v>234</v>
      </c>
      <c r="F670" s="36" t="s">
        <v>249</v>
      </c>
      <c r="G670" s="31" t="s">
        <v>439</v>
      </c>
      <c r="H670" s="35">
        <v>1.4139999999999999</v>
      </c>
      <c r="I670" s="35">
        <v>34.1</v>
      </c>
      <c r="J670" s="13">
        <v>120.9</v>
      </c>
      <c r="K670" s="13">
        <v>458.5</v>
      </c>
      <c r="L670" s="13">
        <v>79</v>
      </c>
      <c r="M670" s="35">
        <v>82.3</v>
      </c>
      <c r="N670" s="13">
        <v>465.3</v>
      </c>
      <c r="O670" s="13">
        <v>244.7</v>
      </c>
      <c r="P670" s="13">
        <v>15.88</v>
      </c>
      <c r="Q670" s="13">
        <v>292.10000000000002</v>
      </c>
      <c r="R670" s="13">
        <v>51.34</v>
      </c>
      <c r="S670" s="13">
        <v>315.89999999999998</v>
      </c>
      <c r="T670" s="13">
        <v>1481</v>
      </c>
      <c r="U670" s="13">
        <v>56.85</v>
      </c>
      <c r="V670" s="13">
        <v>146.1</v>
      </c>
      <c r="W670" s="13">
        <v>20.2</v>
      </c>
      <c r="X670" s="13">
        <v>126.4</v>
      </c>
      <c r="Y670" s="13">
        <v>16.14</v>
      </c>
      <c r="Z670" s="35">
        <v>2952</v>
      </c>
      <c r="AA670" s="13"/>
      <c r="AB670" s="13"/>
      <c r="AC670" s="14">
        <v>1653.3783783783783</v>
      </c>
      <c r="AD670" s="14">
        <v>282.06039076376555</v>
      </c>
      <c r="AE670" s="14">
        <v>1467.8391959798996</v>
      </c>
      <c r="AF670" s="14">
        <v>1422.1606648199447</v>
      </c>
      <c r="AG670" s="15">
        <v>0.18073741034971402</v>
      </c>
      <c r="AH670" s="15">
        <v>0.18105759027606239</v>
      </c>
      <c r="AI670" s="15">
        <v>0.1793815256711658</v>
      </c>
      <c r="AJ670" s="41">
        <f t="shared" si="20"/>
        <v>1123.7</v>
      </c>
      <c r="AK670" s="44">
        <f t="shared" si="21"/>
        <v>5.5570560432140446E-2</v>
      </c>
      <c r="AL670" s="10"/>
      <c r="AM670" s="10"/>
    </row>
    <row r="671" spans="1:39" s="16" customFormat="1" ht="19" customHeight="1">
      <c r="A671" s="29" t="s">
        <v>732</v>
      </c>
      <c r="B671" s="29" t="s">
        <v>1370</v>
      </c>
      <c r="C671" s="29"/>
      <c r="D671" s="29"/>
      <c r="E671" s="36" t="s">
        <v>234</v>
      </c>
      <c r="F671" s="36" t="s">
        <v>249</v>
      </c>
      <c r="G671" s="31" t="s">
        <v>439</v>
      </c>
      <c r="H671" s="35">
        <v>4.01</v>
      </c>
      <c r="I671" s="35">
        <v>49.9</v>
      </c>
      <c r="J671" s="13">
        <v>114.9</v>
      </c>
      <c r="K671" s="13">
        <v>461</v>
      </c>
      <c r="L671" s="13">
        <v>82.3</v>
      </c>
      <c r="M671" s="35">
        <v>79.5</v>
      </c>
      <c r="N671" s="13">
        <v>498</v>
      </c>
      <c r="O671" s="13">
        <v>261.5</v>
      </c>
      <c r="P671" s="13">
        <v>17.29</v>
      </c>
      <c r="Q671" s="13">
        <v>306</v>
      </c>
      <c r="R671" s="13">
        <v>52.8</v>
      </c>
      <c r="S671" s="13">
        <v>318</v>
      </c>
      <c r="T671" s="13">
        <v>1460</v>
      </c>
      <c r="U671" s="13">
        <v>57.3</v>
      </c>
      <c r="V671" s="13">
        <v>151</v>
      </c>
      <c r="W671" s="13">
        <v>20.96</v>
      </c>
      <c r="X671" s="13">
        <v>135.9</v>
      </c>
      <c r="Y671" s="13">
        <v>17.260000000000002</v>
      </c>
      <c r="Z671" s="35">
        <v>2760</v>
      </c>
      <c r="AA671" s="13"/>
      <c r="AB671" s="13"/>
      <c r="AC671" s="14">
        <v>1766.8918918918919</v>
      </c>
      <c r="AD671" s="14">
        <v>307.10479573712257</v>
      </c>
      <c r="AE671" s="14">
        <v>1537.6884422110552</v>
      </c>
      <c r="AF671" s="14">
        <v>1462.6038781163434</v>
      </c>
      <c r="AG671" s="15">
        <v>0.18586614013757272</v>
      </c>
      <c r="AH671" s="15">
        <v>0.18631483425109158</v>
      </c>
      <c r="AI671" s="15">
        <v>0.18511333565359744</v>
      </c>
      <c r="AJ671" s="41">
        <f t="shared" si="20"/>
        <v>1156.1999999999998</v>
      </c>
      <c r="AK671" s="44">
        <f t="shared" si="21"/>
        <v>5.4452054794520546E-2</v>
      </c>
      <c r="AL671" s="10"/>
      <c r="AM671" s="10"/>
    </row>
    <row r="672" spans="1:39" s="16" customFormat="1" ht="19" customHeight="1">
      <c r="A672" s="29" t="s">
        <v>733</v>
      </c>
      <c r="B672" s="29" t="s">
        <v>1370</v>
      </c>
      <c r="C672" s="29"/>
      <c r="D672" s="29"/>
      <c r="E672" s="36" t="s">
        <v>234</v>
      </c>
      <c r="F672" s="36" t="s">
        <v>249</v>
      </c>
      <c r="G672" s="31" t="s">
        <v>439</v>
      </c>
      <c r="H672" s="35">
        <v>14.36</v>
      </c>
      <c r="I672" s="35">
        <v>162.69999999999999</v>
      </c>
      <c r="J672" s="13">
        <v>194.5</v>
      </c>
      <c r="K672" s="13">
        <v>730</v>
      </c>
      <c r="L672" s="13">
        <v>130.69999999999999</v>
      </c>
      <c r="M672" s="35">
        <v>81.400000000000006</v>
      </c>
      <c r="N672" s="13">
        <v>768</v>
      </c>
      <c r="O672" s="13">
        <v>400.1</v>
      </c>
      <c r="P672" s="13">
        <v>26.63</v>
      </c>
      <c r="Q672" s="13">
        <v>502.2</v>
      </c>
      <c r="R672" s="13">
        <v>89.2</v>
      </c>
      <c r="S672" s="13">
        <v>570</v>
      </c>
      <c r="T672" s="13">
        <v>2740</v>
      </c>
      <c r="U672" s="13">
        <v>104</v>
      </c>
      <c r="V672" s="13">
        <v>278</v>
      </c>
      <c r="W672" s="13">
        <v>40.049999999999997</v>
      </c>
      <c r="X672" s="13">
        <v>259.8</v>
      </c>
      <c r="Y672" s="13">
        <v>33.65</v>
      </c>
      <c r="Z672" s="35">
        <v>3028</v>
      </c>
      <c r="AA672" s="13"/>
      <c r="AB672" s="13"/>
      <c r="AC672" s="14">
        <v>2703.3783783783788</v>
      </c>
      <c r="AD672" s="14">
        <v>473.00177619893429</v>
      </c>
      <c r="AE672" s="14">
        <v>2523.6180904522612</v>
      </c>
      <c r="AF672" s="14">
        <v>2470.9141274238227</v>
      </c>
      <c r="AG672" s="15">
        <v>0.18098415754420899</v>
      </c>
      <c r="AH672" s="15">
        <v>0.18109127965166247</v>
      </c>
      <c r="AI672" s="15">
        <v>0.18029028715659035</v>
      </c>
      <c r="AJ672" s="41">
        <f t="shared" si="20"/>
        <v>1823.2</v>
      </c>
      <c r="AK672" s="44">
        <f t="shared" si="21"/>
        <v>2.9708029197080293E-2</v>
      </c>
      <c r="AL672" s="10"/>
      <c r="AM672" s="10"/>
    </row>
    <row r="673" spans="1:39" s="16" customFormat="1" ht="19" customHeight="1">
      <c r="A673" s="29" t="s">
        <v>734</v>
      </c>
      <c r="B673" s="29" t="s">
        <v>1370</v>
      </c>
      <c r="C673" s="29"/>
      <c r="D673" s="29"/>
      <c r="E673" s="36" t="s">
        <v>234</v>
      </c>
      <c r="F673" s="36" t="s">
        <v>249</v>
      </c>
      <c r="G673" s="31" t="s">
        <v>439</v>
      </c>
      <c r="H673" s="35">
        <v>2.3450000000000002</v>
      </c>
      <c r="I673" s="35">
        <v>43.71</v>
      </c>
      <c r="J673" s="13">
        <v>153.1</v>
      </c>
      <c r="K673" s="13">
        <v>548.1</v>
      </c>
      <c r="L673" s="13">
        <v>97.6</v>
      </c>
      <c r="M673" s="35">
        <v>87</v>
      </c>
      <c r="N673" s="13">
        <v>560.5</v>
      </c>
      <c r="O673" s="13">
        <v>274.8</v>
      </c>
      <c r="P673" s="13">
        <v>15.48</v>
      </c>
      <c r="Q673" s="13">
        <v>320.8</v>
      </c>
      <c r="R673" s="13">
        <v>55.44</v>
      </c>
      <c r="S673" s="13">
        <v>365.1</v>
      </c>
      <c r="T673" s="13">
        <v>1880</v>
      </c>
      <c r="U673" s="13">
        <v>70.44</v>
      </c>
      <c r="V673" s="13">
        <v>206.5</v>
      </c>
      <c r="W673" s="13">
        <v>31.74</v>
      </c>
      <c r="X673" s="13">
        <v>222.2</v>
      </c>
      <c r="Y673" s="13">
        <v>29.9</v>
      </c>
      <c r="Z673" s="35">
        <v>3521</v>
      </c>
      <c r="AA673" s="13"/>
      <c r="AB673" s="13"/>
      <c r="AC673" s="14">
        <v>1856.7567567567569</v>
      </c>
      <c r="AD673" s="14">
        <v>274.95559502664304</v>
      </c>
      <c r="AE673" s="14">
        <v>1612.0603015075376</v>
      </c>
      <c r="AF673" s="14">
        <v>1535.7340720221605</v>
      </c>
      <c r="AG673" s="15">
        <v>0.15852989097339348</v>
      </c>
      <c r="AH673" s="15">
        <v>0.15892580261294884</v>
      </c>
      <c r="AI673" s="15">
        <v>0.15775648214684052</v>
      </c>
      <c r="AJ673" s="41">
        <f t="shared" si="20"/>
        <v>1359.3000000000002</v>
      </c>
      <c r="AK673" s="44">
        <f t="shared" si="21"/>
        <v>4.6276595744680848E-2</v>
      </c>
      <c r="AL673" s="10"/>
      <c r="AM673" s="10"/>
    </row>
    <row r="674" spans="1:39" s="16" customFormat="1" ht="19" customHeight="1">
      <c r="A674" s="29" t="s">
        <v>735</v>
      </c>
      <c r="B674" s="29" t="s">
        <v>1370</v>
      </c>
      <c r="C674" s="29"/>
      <c r="D674" s="29"/>
      <c r="E674" s="36" t="s">
        <v>234</v>
      </c>
      <c r="F674" s="36" t="s">
        <v>249</v>
      </c>
      <c r="G674" s="31" t="s">
        <v>439</v>
      </c>
      <c r="H674" s="35">
        <v>8.49</v>
      </c>
      <c r="I674" s="35">
        <v>108.6</v>
      </c>
      <c r="J674" s="13">
        <v>193.6</v>
      </c>
      <c r="K674" s="13">
        <v>717</v>
      </c>
      <c r="L674" s="13">
        <v>130.80000000000001</v>
      </c>
      <c r="M674" s="35">
        <v>86.6</v>
      </c>
      <c r="N674" s="13">
        <v>767</v>
      </c>
      <c r="O674" s="13">
        <v>381.8</v>
      </c>
      <c r="P674" s="13">
        <v>20.88</v>
      </c>
      <c r="Q674" s="13">
        <v>485.1</v>
      </c>
      <c r="R674" s="13">
        <v>84.9</v>
      </c>
      <c r="S674" s="13">
        <v>554.29999999999995</v>
      </c>
      <c r="T674" s="13">
        <v>2707</v>
      </c>
      <c r="U674" s="13">
        <v>103.1</v>
      </c>
      <c r="V674" s="13">
        <v>272.2</v>
      </c>
      <c r="W674" s="13">
        <v>37.97</v>
      </c>
      <c r="X674" s="13">
        <v>247.1</v>
      </c>
      <c r="Y674" s="13">
        <v>32.35</v>
      </c>
      <c r="Z674" s="35">
        <v>3250</v>
      </c>
      <c r="AA674" s="13"/>
      <c r="AB674" s="13"/>
      <c r="AC674" s="14">
        <v>2579.72972972973</v>
      </c>
      <c r="AD674" s="14">
        <v>370.87033747779753</v>
      </c>
      <c r="AE674" s="14">
        <v>2437.6884422110552</v>
      </c>
      <c r="AF674" s="14">
        <v>2351.8005540166205</v>
      </c>
      <c r="AG674" s="15">
        <v>0.14783313838652654</v>
      </c>
      <c r="AH674" s="15">
        <v>0.14789241338412235</v>
      </c>
      <c r="AI674" s="15">
        <v>0.14826516705881865</v>
      </c>
      <c r="AJ674" s="41">
        <f t="shared" si="20"/>
        <v>1808.4</v>
      </c>
      <c r="AK674" s="44">
        <f t="shared" si="21"/>
        <v>3.1991134096786111E-2</v>
      </c>
      <c r="AL674" s="10"/>
      <c r="AM674" s="10"/>
    </row>
    <row r="675" spans="1:39" s="16" customFormat="1" ht="19" customHeight="1">
      <c r="A675" s="29" t="s">
        <v>736</v>
      </c>
      <c r="B675" s="29" t="s">
        <v>1370</v>
      </c>
      <c r="C675" s="29"/>
      <c r="D675" s="29"/>
      <c r="E675" s="36" t="s">
        <v>234</v>
      </c>
      <c r="F675" s="36" t="s">
        <v>249</v>
      </c>
      <c r="G675" s="31" t="s">
        <v>439</v>
      </c>
      <c r="H675" s="35">
        <v>16.71</v>
      </c>
      <c r="I675" s="35">
        <v>230.9</v>
      </c>
      <c r="J675" s="13">
        <v>230.9</v>
      </c>
      <c r="K675" s="13">
        <v>977</v>
      </c>
      <c r="L675" s="13">
        <v>175.2</v>
      </c>
      <c r="M675" s="35">
        <v>83.3</v>
      </c>
      <c r="N675" s="13">
        <v>1054</v>
      </c>
      <c r="O675" s="13">
        <v>544.1</v>
      </c>
      <c r="P675" s="13">
        <v>30.85</v>
      </c>
      <c r="Q675" s="13">
        <v>654.4</v>
      </c>
      <c r="R675" s="13">
        <v>114.7</v>
      </c>
      <c r="S675" s="13">
        <v>739.2</v>
      </c>
      <c r="T675" s="13">
        <v>3571</v>
      </c>
      <c r="U675" s="13">
        <v>136.19999999999999</v>
      </c>
      <c r="V675" s="13">
        <v>366</v>
      </c>
      <c r="W675" s="13">
        <v>52.17</v>
      </c>
      <c r="X675" s="13">
        <v>335.1</v>
      </c>
      <c r="Y675" s="13">
        <v>42.62</v>
      </c>
      <c r="Z675" s="35">
        <v>3159</v>
      </c>
      <c r="AA675" s="13"/>
      <c r="AB675" s="13"/>
      <c r="AC675" s="14">
        <v>3676.3513513513517</v>
      </c>
      <c r="AD675" s="14">
        <v>547.95737122557728</v>
      </c>
      <c r="AE675" s="14">
        <v>3288.4422110552759</v>
      </c>
      <c r="AF675" s="14">
        <v>3177.2853185595568</v>
      </c>
      <c r="AG675" s="15">
        <v>0.15735064257560996</v>
      </c>
      <c r="AH675" s="15">
        <v>0.15759526365820112</v>
      </c>
      <c r="AI675" s="15">
        <v>0.15647682598667814</v>
      </c>
      <c r="AJ675" s="41">
        <f t="shared" si="20"/>
        <v>2437.1000000000004</v>
      </c>
      <c r="AK675" s="44">
        <f t="shared" si="21"/>
        <v>2.3326799215905906E-2</v>
      </c>
      <c r="AL675" s="10"/>
      <c r="AM675" s="10"/>
    </row>
    <row r="676" spans="1:39" s="16" customFormat="1" ht="19" customHeight="1">
      <c r="A676" s="29" t="s">
        <v>737</v>
      </c>
      <c r="B676" s="29" t="s">
        <v>1370</v>
      </c>
      <c r="C676" s="29"/>
      <c r="D676" s="29"/>
      <c r="E676" s="36" t="s">
        <v>234</v>
      </c>
      <c r="F676" s="36" t="s">
        <v>249</v>
      </c>
      <c r="G676" s="31" t="s">
        <v>439</v>
      </c>
      <c r="H676" s="35">
        <v>6.07</v>
      </c>
      <c r="I676" s="35">
        <v>84</v>
      </c>
      <c r="J676" s="13">
        <v>180.3</v>
      </c>
      <c r="K676" s="13">
        <v>638</v>
      </c>
      <c r="L676" s="13">
        <v>114.1</v>
      </c>
      <c r="M676" s="35">
        <v>86.3</v>
      </c>
      <c r="N676" s="13">
        <v>644</v>
      </c>
      <c r="O676" s="13">
        <v>319.89999999999998</v>
      </c>
      <c r="P676" s="13">
        <v>19.309999999999999</v>
      </c>
      <c r="Q676" s="13">
        <v>381.2</v>
      </c>
      <c r="R676" s="13">
        <v>66</v>
      </c>
      <c r="S676" s="13">
        <v>438</v>
      </c>
      <c r="T676" s="13">
        <v>2257</v>
      </c>
      <c r="U676" s="13">
        <v>84.4</v>
      </c>
      <c r="V676" s="13">
        <v>244.6</v>
      </c>
      <c r="W676" s="13">
        <v>38.6</v>
      </c>
      <c r="X676" s="13">
        <v>268.39999999999998</v>
      </c>
      <c r="Y676" s="13">
        <v>36.299999999999997</v>
      </c>
      <c r="Z676" s="35">
        <v>3447</v>
      </c>
      <c r="AA676" s="13"/>
      <c r="AB676" s="13"/>
      <c r="AC676" s="14">
        <v>2161.4864864864862</v>
      </c>
      <c r="AD676" s="14">
        <v>342.98401420959146</v>
      </c>
      <c r="AE676" s="14">
        <v>1915.577889447236</v>
      </c>
      <c r="AF676" s="14">
        <v>1828.2548476454294</v>
      </c>
      <c r="AG676" s="15">
        <v>0.1682504775907748</v>
      </c>
      <c r="AH676" s="15">
        <v>0.16855735542517847</v>
      </c>
      <c r="AI676" s="15">
        <v>0.16778763459952223</v>
      </c>
      <c r="AJ676" s="41">
        <f t="shared" si="20"/>
        <v>1576.4</v>
      </c>
      <c r="AK676" s="44">
        <f t="shared" si="21"/>
        <v>3.8236597252990695E-2</v>
      </c>
      <c r="AL676" s="10"/>
      <c r="AM676" s="10"/>
    </row>
    <row r="677" spans="1:39" s="16" customFormat="1" ht="19" customHeight="1">
      <c r="A677" s="29" t="s">
        <v>738</v>
      </c>
      <c r="B677" s="29" t="s">
        <v>1370</v>
      </c>
      <c r="C677" s="29"/>
      <c r="D677" s="29"/>
      <c r="E677" s="36" t="s">
        <v>234</v>
      </c>
      <c r="F677" s="36" t="s">
        <v>249</v>
      </c>
      <c r="G677" s="31" t="s">
        <v>439</v>
      </c>
      <c r="H677" s="35">
        <v>4.7</v>
      </c>
      <c r="I677" s="35">
        <v>80.8</v>
      </c>
      <c r="J677" s="13">
        <v>159.4</v>
      </c>
      <c r="K677" s="13">
        <v>601.29999999999995</v>
      </c>
      <c r="L677" s="13">
        <v>116</v>
      </c>
      <c r="M677" s="35">
        <v>83.1</v>
      </c>
      <c r="N677" s="13">
        <v>684</v>
      </c>
      <c r="O677" s="13">
        <v>361.3</v>
      </c>
      <c r="P677" s="13">
        <v>22.9</v>
      </c>
      <c r="Q677" s="13">
        <v>425.7</v>
      </c>
      <c r="R677" s="13">
        <v>73.900000000000006</v>
      </c>
      <c r="S677" s="13">
        <v>472.8</v>
      </c>
      <c r="T677" s="13">
        <v>2335</v>
      </c>
      <c r="U677" s="13">
        <v>86.6</v>
      </c>
      <c r="V677" s="13">
        <v>237.7</v>
      </c>
      <c r="W677" s="13">
        <v>34.74</v>
      </c>
      <c r="X677" s="13">
        <v>230</v>
      </c>
      <c r="Y677" s="13">
        <v>29.97</v>
      </c>
      <c r="Z677" s="35">
        <v>3810</v>
      </c>
      <c r="AA677" s="13"/>
      <c r="AB677" s="13"/>
      <c r="AC677" s="14">
        <v>2441.2162162162163</v>
      </c>
      <c r="AD677" s="14">
        <v>406.74955595026643</v>
      </c>
      <c r="AE677" s="14">
        <v>2139.1959798994972</v>
      </c>
      <c r="AF677" s="14">
        <v>2047.0914127423823</v>
      </c>
      <c r="AG677" s="15">
        <v>0.17760390922685895</v>
      </c>
      <c r="AH677" s="15">
        <v>0.17799126003277702</v>
      </c>
      <c r="AI677" s="15">
        <v>0.17668940633629515</v>
      </c>
      <c r="AJ677" s="41">
        <f t="shared" si="20"/>
        <v>1560.6999999999998</v>
      </c>
      <c r="AK677" s="44">
        <f t="shared" si="21"/>
        <v>3.5588865096359744E-2</v>
      </c>
      <c r="AL677" s="10"/>
      <c r="AM677" s="10"/>
    </row>
    <row r="678" spans="1:39" s="16" customFormat="1" ht="19" customHeight="1">
      <c r="A678" s="29" t="s">
        <v>739</v>
      </c>
      <c r="B678" s="29" t="s">
        <v>1370</v>
      </c>
      <c r="C678" s="29"/>
      <c r="D678" s="29"/>
      <c r="E678" s="36" t="s">
        <v>234</v>
      </c>
      <c r="F678" s="36" t="s">
        <v>249</v>
      </c>
      <c r="G678" s="31" t="s">
        <v>439</v>
      </c>
      <c r="H678" s="35">
        <v>6.3</v>
      </c>
      <c r="I678" s="35">
        <v>86.2</v>
      </c>
      <c r="J678" s="13">
        <v>175.3</v>
      </c>
      <c r="K678" s="13">
        <v>640.5</v>
      </c>
      <c r="L678" s="13">
        <v>117.5</v>
      </c>
      <c r="M678" s="35">
        <v>86.2</v>
      </c>
      <c r="N678" s="13">
        <v>680.4</v>
      </c>
      <c r="O678" s="13">
        <v>340</v>
      </c>
      <c r="P678" s="13">
        <v>18.55</v>
      </c>
      <c r="Q678" s="13">
        <v>413</v>
      </c>
      <c r="R678" s="13">
        <v>72.099999999999994</v>
      </c>
      <c r="S678" s="13">
        <v>467.9</v>
      </c>
      <c r="T678" s="13">
        <v>2343</v>
      </c>
      <c r="U678" s="13">
        <v>86.5</v>
      </c>
      <c r="V678" s="13">
        <v>230.6</v>
      </c>
      <c r="W678" s="13">
        <v>33.03</v>
      </c>
      <c r="X678" s="13">
        <v>206.5</v>
      </c>
      <c r="Y678" s="13">
        <v>26.76</v>
      </c>
      <c r="Z678" s="35">
        <v>3270</v>
      </c>
      <c r="AA678" s="13"/>
      <c r="AB678" s="13"/>
      <c r="AC678" s="14">
        <v>2297.2972972972975</v>
      </c>
      <c r="AD678" s="14">
        <v>329.48490230905867</v>
      </c>
      <c r="AE678" s="14">
        <v>2075.3768844221104</v>
      </c>
      <c r="AF678" s="14">
        <v>1997.2299168975067</v>
      </c>
      <c r="AG678" s="15">
        <v>0.15070178504793136</v>
      </c>
      <c r="AH678" s="15">
        <v>0.1508962443079277</v>
      </c>
      <c r="AI678" s="15">
        <v>0.15027314098741143</v>
      </c>
      <c r="AJ678" s="41">
        <f t="shared" si="20"/>
        <v>1613.6999999999998</v>
      </c>
      <c r="AK678" s="44">
        <f t="shared" si="21"/>
        <v>3.6790439607341019E-2</v>
      </c>
      <c r="AL678" s="10"/>
      <c r="AM678" s="10"/>
    </row>
    <row r="679" spans="1:39" s="16" customFormat="1" ht="19" customHeight="1">
      <c r="A679" s="29" t="s">
        <v>740</v>
      </c>
      <c r="B679" s="29" t="s">
        <v>1370</v>
      </c>
      <c r="C679" s="29"/>
      <c r="D679" s="29"/>
      <c r="E679" s="36" t="s">
        <v>234</v>
      </c>
      <c r="F679" s="36" t="s">
        <v>249</v>
      </c>
      <c r="G679" s="31" t="s">
        <v>439</v>
      </c>
      <c r="H679" s="35">
        <v>1.716</v>
      </c>
      <c r="I679" s="35">
        <v>39.21</v>
      </c>
      <c r="J679" s="13">
        <v>145.30000000000001</v>
      </c>
      <c r="K679" s="13">
        <v>544.79999999999995</v>
      </c>
      <c r="L679" s="13">
        <v>101.9</v>
      </c>
      <c r="M679" s="35">
        <v>88.6</v>
      </c>
      <c r="N679" s="13">
        <v>588.6</v>
      </c>
      <c r="O679" s="13">
        <v>284.3</v>
      </c>
      <c r="P679" s="13">
        <v>14.68</v>
      </c>
      <c r="Q679" s="13">
        <v>345.7</v>
      </c>
      <c r="R679" s="13">
        <v>58.95</v>
      </c>
      <c r="S679" s="13">
        <v>381.8</v>
      </c>
      <c r="T679" s="13">
        <v>1987</v>
      </c>
      <c r="U679" s="13">
        <v>70.84</v>
      </c>
      <c r="V679" s="13">
        <v>186.9</v>
      </c>
      <c r="W679" s="13">
        <v>25.31</v>
      </c>
      <c r="X679" s="13">
        <v>154.19999999999999</v>
      </c>
      <c r="Y679" s="13">
        <v>19.2</v>
      </c>
      <c r="Z679" s="35">
        <v>3287</v>
      </c>
      <c r="AA679" s="13"/>
      <c r="AB679" s="13"/>
      <c r="AC679" s="14">
        <v>1920.9459459459461</v>
      </c>
      <c r="AD679" s="14">
        <v>260.74600355239789</v>
      </c>
      <c r="AE679" s="14">
        <v>1737.185929648241</v>
      </c>
      <c r="AF679" s="14">
        <v>1632.9639889196676</v>
      </c>
      <c r="AG679" s="15">
        <v>0.14255691835059672</v>
      </c>
      <c r="AH679" s="15">
        <v>0.14273712238089711</v>
      </c>
      <c r="AI679" s="15">
        <v>0.14328982832458118</v>
      </c>
      <c r="AJ679" s="41">
        <f t="shared" si="20"/>
        <v>1380.6</v>
      </c>
      <c r="AK679" s="44">
        <f t="shared" si="21"/>
        <v>4.4589833920483136E-2</v>
      </c>
      <c r="AL679" s="10"/>
      <c r="AM679" s="10"/>
    </row>
    <row r="680" spans="1:39" s="16" customFormat="1" ht="19" customHeight="1">
      <c r="A680" s="29" t="s">
        <v>741</v>
      </c>
      <c r="B680" s="29" t="s">
        <v>1370</v>
      </c>
      <c r="C680" s="29"/>
      <c r="D680" s="29"/>
      <c r="E680" s="36" t="s">
        <v>234</v>
      </c>
      <c r="F680" s="36" t="s">
        <v>249</v>
      </c>
      <c r="G680" s="31" t="s">
        <v>439</v>
      </c>
      <c r="H680" s="35">
        <v>21.3</v>
      </c>
      <c r="I680" s="35">
        <v>222</v>
      </c>
      <c r="J680" s="13">
        <v>215</v>
      </c>
      <c r="K680" s="13">
        <v>811</v>
      </c>
      <c r="L680" s="13">
        <v>145</v>
      </c>
      <c r="M680" s="35">
        <v>86.2</v>
      </c>
      <c r="N680" s="13">
        <v>810</v>
      </c>
      <c r="O680" s="13">
        <v>414</v>
      </c>
      <c r="P680" s="13">
        <v>25.8</v>
      </c>
      <c r="Q680" s="13">
        <v>514</v>
      </c>
      <c r="R680" s="13">
        <v>93.1</v>
      </c>
      <c r="S680" s="13">
        <v>623</v>
      </c>
      <c r="T680" s="13">
        <v>3130</v>
      </c>
      <c r="U680" s="13">
        <v>118</v>
      </c>
      <c r="V680" s="13">
        <v>344</v>
      </c>
      <c r="W680" s="13">
        <v>52.9</v>
      </c>
      <c r="X680" s="13">
        <v>366</v>
      </c>
      <c r="Y680" s="13">
        <v>49.3</v>
      </c>
      <c r="Z680" s="35">
        <v>3407</v>
      </c>
      <c r="AA680" s="13"/>
      <c r="AB680" s="13"/>
      <c r="AC680" s="14">
        <v>2797.2972972972975</v>
      </c>
      <c r="AD680" s="14">
        <v>458.25932504440505</v>
      </c>
      <c r="AE680" s="14">
        <v>2582.9145728643216</v>
      </c>
      <c r="AF680" s="14">
        <v>2578.9473684210525</v>
      </c>
      <c r="AG680" s="15">
        <v>0.17034991784836129</v>
      </c>
      <c r="AH680" s="15">
        <v>0.1704853152363153</v>
      </c>
      <c r="AI680" s="15">
        <v>0.16832090903988342</v>
      </c>
      <c r="AJ680" s="41">
        <f t="shared" si="20"/>
        <v>1981</v>
      </c>
      <c r="AK680" s="44">
        <f t="shared" si="21"/>
        <v>2.7539936102236422E-2</v>
      </c>
      <c r="AL680" s="10"/>
      <c r="AM680" s="10"/>
    </row>
    <row r="681" spans="1:39" s="16" customFormat="1" ht="19" customHeight="1">
      <c r="A681" s="29" t="s">
        <v>742</v>
      </c>
      <c r="B681" s="29" t="s">
        <v>1370</v>
      </c>
      <c r="C681" s="29"/>
      <c r="D681" s="29"/>
      <c r="E681" s="36" t="s">
        <v>234</v>
      </c>
      <c r="F681" s="36" t="s">
        <v>249</v>
      </c>
      <c r="G681" s="31" t="s">
        <v>439</v>
      </c>
      <c r="H681" s="35">
        <v>1.2689999999999999</v>
      </c>
      <c r="I681" s="35">
        <v>47.9</v>
      </c>
      <c r="J681" s="13">
        <v>120.3</v>
      </c>
      <c r="K681" s="13">
        <v>515</v>
      </c>
      <c r="L681" s="13">
        <v>102.3</v>
      </c>
      <c r="M681" s="35">
        <v>87.3</v>
      </c>
      <c r="N681" s="13">
        <v>612.6</v>
      </c>
      <c r="O681" s="13">
        <v>305.3</v>
      </c>
      <c r="P681" s="13">
        <v>16.29</v>
      </c>
      <c r="Q681" s="13">
        <v>366.8</v>
      </c>
      <c r="R681" s="13">
        <v>64.3</v>
      </c>
      <c r="S681" s="13">
        <v>411.4</v>
      </c>
      <c r="T681" s="13">
        <v>2131</v>
      </c>
      <c r="U681" s="13">
        <v>76.400000000000006</v>
      </c>
      <c r="V681" s="13">
        <v>194.7</v>
      </c>
      <c r="W681" s="13">
        <v>25.31</v>
      </c>
      <c r="X681" s="13">
        <v>139.19999999999999</v>
      </c>
      <c r="Y681" s="13">
        <v>16.510000000000002</v>
      </c>
      <c r="Z681" s="35">
        <v>3519</v>
      </c>
      <c r="AA681" s="13"/>
      <c r="AB681" s="13"/>
      <c r="AC681" s="14">
        <v>2062.8378378378379</v>
      </c>
      <c r="AD681" s="14">
        <v>289.34280639431614</v>
      </c>
      <c r="AE681" s="14">
        <v>1843.21608040201</v>
      </c>
      <c r="AF681" s="14">
        <v>1781.1634349030471</v>
      </c>
      <c r="AG681" s="15">
        <v>0.14815095359702574</v>
      </c>
      <c r="AH681" s="15">
        <v>0.14838568972116264</v>
      </c>
      <c r="AI681" s="15">
        <v>0.14729953420682459</v>
      </c>
      <c r="AJ681" s="41">
        <f t="shared" si="20"/>
        <v>1350.1999999999998</v>
      </c>
      <c r="AK681" s="44">
        <f t="shared" si="21"/>
        <v>4.0966682308775225E-2</v>
      </c>
      <c r="AL681" s="10"/>
      <c r="AM681" s="10"/>
    </row>
    <row r="682" spans="1:39" s="16" customFormat="1" ht="19" customHeight="1">
      <c r="A682" s="29" t="s">
        <v>743</v>
      </c>
      <c r="B682" s="29" t="s">
        <v>1370</v>
      </c>
      <c r="C682" s="29"/>
      <c r="D682" s="29"/>
      <c r="E682" s="36" t="s">
        <v>234</v>
      </c>
      <c r="F682" s="36" t="s">
        <v>249</v>
      </c>
      <c r="G682" s="31" t="s">
        <v>439</v>
      </c>
      <c r="H682" s="35">
        <v>33.130000000000003</v>
      </c>
      <c r="I682" s="35">
        <v>316.8</v>
      </c>
      <c r="J682" s="13">
        <v>312.3</v>
      </c>
      <c r="K682" s="13">
        <v>1229</v>
      </c>
      <c r="L682" s="13">
        <v>208</v>
      </c>
      <c r="M682" s="35">
        <v>88.6</v>
      </c>
      <c r="N682" s="13">
        <v>1198</v>
      </c>
      <c r="O682" s="13">
        <v>596.5</v>
      </c>
      <c r="P682" s="13">
        <v>32.35</v>
      </c>
      <c r="Q682" s="13">
        <v>756.2</v>
      </c>
      <c r="R682" s="13">
        <v>134.4</v>
      </c>
      <c r="S682" s="13">
        <v>896.6</v>
      </c>
      <c r="T682" s="13">
        <v>4521</v>
      </c>
      <c r="U682" s="13">
        <v>167.7</v>
      </c>
      <c r="V682" s="13">
        <v>469.2</v>
      </c>
      <c r="W682" s="13">
        <v>71.03</v>
      </c>
      <c r="X682" s="13">
        <v>479.1</v>
      </c>
      <c r="Y682" s="13">
        <v>64.3</v>
      </c>
      <c r="Z682" s="35">
        <v>3424</v>
      </c>
      <c r="AA682" s="13"/>
      <c r="AB682" s="13"/>
      <c r="AC682" s="14">
        <v>4030.4054054054054</v>
      </c>
      <c r="AD682" s="14">
        <v>574.60035523978695</v>
      </c>
      <c r="AE682" s="14">
        <v>3800</v>
      </c>
      <c r="AF682" s="14">
        <v>3722.9916897506928</v>
      </c>
      <c r="AG682" s="15">
        <v>0.14676132983948309</v>
      </c>
      <c r="AH682" s="15">
        <v>0.14682490399435308</v>
      </c>
      <c r="AI682" s="15">
        <v>0.14638706827608874</v>
      </c>
      <c r="AJ682" s="41">
        <f t="shared" si="20"/>
        <v>2947.3</v>
      </c>
      <c r="AK682" s="44">
        <f t="shared" si="21"/>
        <v>1.9597434195974341E-2</v>
      </c>
      <c r="AL682" s="10"/>
      <c r="AM682" s="10"/>
    </row>
    <row r="683" spans="1:39" s="16" customFormat="1" ht="19" customHeight="1">
      <c r="A683" s="29" t="s">
        <v>744</v>
      </c>
      <c r="B683" s="29" t="s">
        <v>1370</v>
      </c>
      <c r="C683" s="29"/>
      <c r="D683" s="29"/>
      <c r="E683" s="36" t="s">
        <v>234</v>
      </c>
      <c r="F683" s="36" t="s">
        <v>249</v>
      </c>
      <c r="G683" s="31" t="s">
        <v>439</v>
      </c>
      <c r="H683" s="35">
        <v>10.11</v>
      </c>
      <c r="I683" s="35">
        <v>112.9</v>
      </c>
      <c r="J683" s="13">
        <v>190.5</v>
      </c>
      <c r="K683" s="13">
        <v>684</v>
      </c>
      <c r="L683" s="13">
        <v>123.6</v>
      </c>
      <c r="M683" s="35">
        <v>87.6</v>
      </c>
      <c r="N683" s="13">
        <v>709</v>
      </c>
      <c r="O683" s="13">
        <v>359</v>
      </c>
      <c r="P683" s="13">
        <v>20.14</v>
      </c>
      <c r="Q683" s="13">
        <v>439</v>
      </c>
      <c r="R683" s="13">
        <v>77.599999999999994</v>
      </c>
      <c r="S683" s="13">
        <v>507</v>
      </c>
      <c r="T683" s="13">
        <v>2562</v>
      </c>
      <c r="U683" s="13">
        <v>93.2</v>
      </c>
      <c r="V683" s="13">
        <v>253</v>
      </c>
      <c r="W683" s="13">
        <v>36.200000000000003</v>
      </c>
      <c r="X683" s="13">
        <v>232</v>
      </c>
      <c r="Y683" s="13">
        <v>30</v>
      </c>
      <c r="Z683" s="35">
        <v>3393</v>
      </c>
      <c r="AA683" s="13"/>
      <c r="AB683" s="13"/>
      <c r="AC683" s="14">
        <v>2425.6756756756758</v>
      </c>
      <c r="AD683" s="14">
        <v>357.72646536412083</v>
      </c>
      <c r="AE683" s="14">
        <v>2206.0301507537688</v>
      </c>
      <c r="AF683" s="14">
        <v>2149.5844875346261</v>
      </c>
      <c r="AG683" s="15">
        <v>0.15446856029709904</v>
      </c>
      <c r="AH683" s="15">
        <v>0.15464254302768024</v>
      </c>
      <c r="AI683" s="15">
        <v>0.1535363020955019</v>
      </c>
      <c r="AJ683" s="41">
        <f t="shared" si="20"/>
        <v>1707.1</v>
      </c>
      <c r="AK683" s="44">
        <f t="shared" si="21"/>
        <v>3.4192037470725994E-2</v>
      </c>
      <c r="AL683" s="10"/>
      <c r="AM683" s="10"/>
    </row>
    <row r="684" spans="1:39" s="16" customFormat="1" ht="19" customHeight="1">
      <c r="A684" s="9" t="s">
        <v>745</v>
      </c>
      <c r="B684" s="10" t="s">
        <v>140</v>
      </c>
      <c r="C684" s="10"/>
      <c r="D684" s="10"/>
      <c r="E684" s="20" t="s">
        <v>141</v>
      </c>
      <c r="F684" s="20" t="s">
        <v>249</v>
      </c>
      <c r="G684" s="12" t="s">
        <v>1372</v>
      </c>
      <c r="H684" s="13"/>
      <c r="I684" s="13"/>
      <c r="J684" s="13">
        <v>156</v>
      </c>
      <c r="K684" s="13">
        <v>208</v>
      </c>
      <c r="L684" s="13">
        <v>34</v>
      </c>
      <c r="M684" s="13"/>
      <c r="N684" s="13">
        <v>145</v>
      </c>
      <c r="O684" s="13">
        <v>31</v>
      </c>
      <c r="P684" s="13">
        <v>17</v>
      </c>
      <c r="Q684" s="13">
        <v>41</v>
      </c>
      <c r="R684" s="13"/>
      <c r="S684" s="13">
        <v>42</v>
      </c>
      <c r="T684" s="13">
        <v>419</v>
      </c>
      <c r="U684" s="13">
        <v>10</v>
      </c>
      <c r="V684" s="13">
        <v>29</v>
      </c>
      <c r="W684" s="13"/>
      <c r="X684" s="13">
        <v>21</v>
      </c>
      <c r="Y684" s="13">
        <v>2</v>
      </c>
      <c r="Z684" s="13"/>
      <c r="AA684" s="13">
        <v>27</v>
      </c>
      <c r="AB684" s="13"/>
      <c r="AC684" s="14">
        <v>209.45945945945948</v>
      </c>
      <c r="AD684" s="14">
        <v>301.95381882770874</v>
      </c>
      <c r="AE684" s="14">
        <v>206.03015075376882</v>
      </c>
      <c r="AF684" s="14"/>
      <c r="AG684" s="15">
        <v>1.4534843298379796</v>
      </c>
      <c r="AH684" s="15">
        <v>1.4535338401171896</v>
      </c>
      <c r="AI684" s="15"/>
      <c r="AJ684" s="41">
        <f t="shared" si="20"/>
        <v>543</v>
      </c>
      <c r="AK684" s="44"/>
      <c r="AL684" s="10"/>
      <c r="AM684" s="10"/>
    </row>
    <row r="685" spans="1:39" s="16" customFormat="1" ht="19" customHeight="1">
      <c r="A685" s="9" t="s">
        <v>746</v>
      </c>
      <c r="B685" s="10" t="s">
        <v>140</v>
      </c>
      <c r="C685" s="10"/>
      <c r="D685" s="10"/>
      <c r="E685" s="20" t="s">
        <v>141</v>
      </c>
      <c r="F685" s="20" t="s">
        <v>249</v>
      </c>
      <c r="G685" s="12" t="s">
        <v>1372</v>
      </c>
      <c r="H685" s="13"/>
      <c r="I685" s="13"/>
      <c r="J685" s="13">
        <v>94</v>
      </c>
      <c r="K685" s="13">
        <v>131</v>
      </c>
      <c r="L685" s="13">
        <v>21</v>
      </c>
      <c r="M685" s="13"/>
      <c r="N685" s="13">
        <v>89</v>
      </c>
      <c r="O685" s="13">
        <v>19</v>
      </c>
      <c r="P685" s="13">
        <v>11</v>
      </c>
      <c r="Q685" s="13">
        <v>25</v>
      </c>
      <c r="R685" s="13"/>
      <c r="S685" s="13">
        <v>27</v>
      </c>
      <c r="T685" s="13">
        <v>258</v>
      </c>
      <c r="U685" s="13">
        <v>6</v>
      </c>
      <c r="V685" s="13">
        <v>18</v>
      </c>
      <c r="W685" s="13"/>
      <c r="X685" s="13">
        <v>12</v>
      </c>
      <c r="Y685" s="13">
        <v>2</v>
      </c>
      <c r="Z685" s="13"/>
      <c r="AA685" s="13">
        <v>18</v>
      </c>
      <c r="AB685" s="13"/>
      <c r="AC685" s="14">
        <v>128.37837837837839</v>
      </c>
      <c r="AD685" s="14">
        <v>195.38188277087036</v>
      </c>
      <c r="AE685" s="14">
        <v>125.62814070351759</v>
      </c>
      <c r="AF685" s="14"/>
      <c r="AG685" s="15">
        <v>1.5384005377269545</v>
      </c>
      <c r="AH685" s="15">
        <v>1.5384907214879437</v>
      </c>
      <c r="AI685" s="15"/>
      <c r="AJ685" s="41">
        <f t="shared" si="20"/>
        <v>335</v>
      </c>
      <c r="AK685" s="44"/>
      <c r="AL685" s="10"/>
      <c r="AM685" s="10"/>
    </row>
    <row r="686" spans="1:39" s="16" customFormat="1" ht="19" customHeight="1">
      <c r="A686" s="9" t="s">
        <v>747</v>
      </c>
      <c r="B686" s="10" t="s">
        <v>140</v>
      </c>
      <c r="C686" s="10"/>
      <c r="D686" s="10"/>
      <c r="E686" s="20" t="s">
        <v>141</v>
      </c>
      <c r="F686" s="20" t="s">
        <v>249</v>
      </c>
      <c r="G686" s="12" t="s">
        <v>1372</v>
      </c>
      <c r="H686" s="13"/>
      <c r="I686" s="13"/>
      <c r="J686" s="13">
        <v>160</v>
      </c>
      <c r="K686" s="13">
        <v>230</v>
      </c>
      <c r="L686" s="13">
        <v>36</v>
      </c>
      <c r="M686" s="13"/>
      <c r="N686" s="13">
        <v>162</v>
      </c>
      <c r="O686" s="13">
        <v>36</v>
      </c>
      <c r="P686" s="13">
        <v>19</v>
      </c>
      <c r="Q686" s="13">
        <v>47</v>
      </c>
      <c r="R686" s="13"/>
      <c r="S686" s="13">
        <v>51</v>
      </c>
      <c r="T686" s="13">
        <v>415</v>
      </c>
      <c r="U686" s="13">
        <v>11</v>
      </c>
      <c r="V686" s="13">
        <v>33</v>
      </c>
      <c r="W686" s="13"/>
      <c r="X686" s="13">
        <v>23</v>
      </c>
      <c r="Y686" s="13">
        <v>3</v>
      </c>
      <c r="Z686" s="13"/>
      <c r="AA686" s="13">
        <v>24</v>
      </c>
      <c r="AB686" s="13"/>
      <c r="AC686" s="14">
        <v>243.24324324324326</v>
      </c>
      <c r="AD686" s="14">
        <v>337.47779751332149</v>
      </c>
      <c r="AE686" s="14">
        <v>236.18090452261305</v>
      </c>
      <c r="AF686" s="14"/>
      <c r="AG686" s="15">
        <v>1.4078464720059978</v>
      </c>
      <c r="AH686" s="15">
        <v>1.4079992473484009</v>
      </c>
      <c r="AI686" s="15"/>
      <c r="AJ686" s="41">
        <f t="shared" si="20"/>
        <v>588</v>
      </c>
      <c r="AK686" s="44"/>
      <c r="AL686" s="10"/>
      <c r="AM686" s="10"/>
    </row>
    <row r="687" spans="1:39" s="16" customFormat="1" ht="19" customHeight="1">
      <c r="A687" s="9" t="s">
        <v>748</v>
      </c>
      <c r="B687" s="10" t="s">
        <v>140</v>
      </c>
      <c r="C687" s="10"/>
      <c r="D687" s="10"/>
      <c r="E687" s="20" t="s">
        <v>141</v>
      </c>
      <c r="F687" s="20" t="s">
        <v>249</v>
      </c>
      <c r="G687" s="12" t="s">
        <v>1372</v>
      </c>
      <c r="H687" s="13"/>
      <c r="I687" s="13"/>
      <c r="J687" s="13">
        <v>137</v>
      </c>
      <c r="K687" s="13">
        <v>183</v>
      </c>
      <c r="L687" s="13">
        <v>32</v>
      </c>
      <c r="M687" s="13"/>
      <c r="N687" s="13">
        <v>143</v>
      </c>
      <c r="O687" s="13">
        <v>32</v>
      </c>
      <c r="P687" s="13">
        <v>17</v>
      </c>
      <c r="Q687" s="13">
        <v>43</v>
      </c>
      <c r="R687" s="13"/>
      <c r="S687" s="13">
        <v>43</v>
      </c>
      <c r="T687" s="13">
        <v>388</v>
      </c>
      <c r="U687" s="13">
        <v>11</v>
      </c>
      <c r="V687" s="13">
        <v>29</v>
      </c>
      <c r="W687" s="13"/>
      <c r="X687" s="13">
        <v>23</v>
      </c>
      <c r="Y687" s="13">
        <v>3</v>
      </c>
      <c r="Z687" s="13"/>
      <c r="AA687" s="13">
        <v>27</v>
      </c>
      <c r="AB687" s="13"/>
      <c r="AC687" s="14">
        <v>216.21621621621622</v>
      </c>
      <c r="AD687" s="14">
        <v>301.95381882770874</v>
      </c>
      <c r="AE687" s="14">
        <v>216.08040201005025</v>
      </c>
      <c r="AF687" s="14"/>
      <c r="AG687" s="15">
        <v>1.3969751605582279</v>
      </c>
      <c r="AH687" s="15">
        <v>1.3969752295004763</v>
      </c>
      <c r="AI687" s="15"/>
      <c r="AJ687" s="41">
        <f t="shared" si="20"/>
        <v>495</v>
      </c>
      <c r="AK687" s="44"/>
      <c r="AL687" s="10"/>
      <c r="AM687" s="10"/>
    </row>
    <row r="688" spans="1:39" s="16" customFormat="1" ht="19" customHeight="1">
      <c r="A688" s="9" t="s">
        <v>749</v>
      </c>
      <c r="B688" s="10" t="s">
        <v>140</v>
      </c>
      <c r="C688" s="10"/>
      <c r="D688" s="10"/>
      <c r="E688" s="20" t="s">
        <v>141</v>
      </c>
      <c r="F688" s="20" t="s">
        <v>249</v>
      </c>
      <c r="G688" s="12" t="s">
        <v>1372</v>
      </c>
      <c r="H688" s="13"/>
      <c r="I688" s="13"/>
      <c r="J688" s="13">
        <v>124</v>
      </c>
      <c r="K688" s="13">
        <v>165</v>
      </c>
      <c r="L688" s="13">
        <v>30</v>
      </c>
      <c r="M688" s="13"/>
      <c r="N688" s="13">
        <v>132</v>
      </c>
      <c r="O688" s="13">
        <v>30</v>
      </c>
      <c r="P688" s="13">
        <v>15</v>
      </c>
      <c r="Q688" s="13">
        <v>38</v>
      </c>
      <c r="R688" s="13"/>
      <c r="S688" s="13">
        <v>39</v>
      </c>
      <c r="T688" s="13">
        <v>340</v>
      </c>
      <c r="U688" s="13">
        <v>9</v>
      </c>
      <c r="V688" s="13">
        <v>26</v>
      </c>
      <c r="W688" s="13"/>
      <c r="X688" s="13">
        <v>16</v>
      </c>
      <c r="Y688" s="13">
        <v>2</v>
      </c>
      <c r="Z688" s="13"/>
      <c r="AA688" s="13">
        <v>23</v>
      </c>
      <c r="AB688" s="13"/>
      <c r="AC688" s="14">
        <v>202.70270270270271</v>
      </c>
      <c r="AD688" s="14">
        <v>266.42984014209594</v>
      </c>
      <c r="AE688" s="14">
        <v>190.95477386934672</v>
      </c>
      <c r="AF688" s="14"/>
      <c r="AG688" s="15">
        <v>1.3536124981654323</v>
      </c>
      <c r="AH688" s="15">
        <v>1.3542156687766909</v>
      </c>
      <c r="AI688" s="15"/>
      <c r="AJ688" s="41">
        <f t="shared" si="20"/>
        <v>451</v>
      </c>
      <c r="AK688" s="44"/>
      <c r="AL688" s="10"/>
      <c r="AM688" s="10"/>
    </row>
    <row r="689" spans="1:39" s="16" customFormat="1" ht="19" customHeight="1">
      <c r="A689" s="9" t="s">
        <v>750</v>
      </c>
      <c r="B689" s="10" t="s">
        <v>140</v>
      </c>
      <c r="C689" s="10"/>
      <c r="D689" s="10"/>
      <c r="E689" s="20" t="s">
        <v>141</v>
      </c>
      <c r="F689" s="20" t="s">
        <v>249</v>
      </c>
      <c r="G689" s="12" t="s">
        <v>1372</v>
      </c>
      <c r="H689" s="13"/>
      <c r="I689" s="13"/>
      <c r="J689" s="13">
        <v>144</v>
      </c>
      <c r="K689" s="13">
        <v>212</v>
      </c>
      <c r="L689" s="13">
        <v>34</v>
      </c>
      <c r="M689" s="13"/>
      <c r="N689" s="13">
        <v>143</v>
      </c>
      <c r="O689" s="13">
        <v>33</v>
      </c>
      <c r="P689" s="13">
        <v>17</v>
      </c>
      <c r="Q689" s="13">
        <v>41</v>
      </c>
      <c r="R689" s="13"/>
      <c r="S689" s="13">
        <v>42</v>
      </c>
      <c r="T689" s="13">
        <v>391</v>
      </c>
      <c r="U689" s="13">
        <v>10</v>
      </c>
      <c r="V689" s="13">
        <v>28</v>
      </c>
      <c r="W689" s="13"/>
      <c r="X689" s="13">
        <v>21</v>
      </c>
      <c r="Y689" s="13">
        <v>3</v>
      </c>
      <c r="Z689" s="13"/>
      <c r="AA689" s="13">
        <v>32</v>
      </c>
      <c r="AB689" s="13"/>
      <c r="AC689" s="14">
        <v>222.972972972973</v>
      </c>
      <c r="AD689" s="14">
        <v>301.95381882770874</v>
      </c>
      <c r="AE689" s="14">
        <v>206.03015075376882</v>
      </c>
      <c r="AF689" s="14"/>
      <c r="AG689" s="15">
        <v>1.4076998610389677</v>
      </c>
      <c r="AH689" s="15">
        <v>1.4087989657575029</v>
      </c>
      <c r="AI689" s="15"/>
      <c r="AJ689" s="41">
        <f t="shared" si="20"/>
        <v>533</v>
      </c>
      <c r="AK689" s="44"/>
      <c r="AL689" s="10"/>
      <c r="AM689" s="10"/>
    </row>
    <row r="690" spans="1:39" s="16" customFormat="1" ht="19" customHeight="1">
      <c r="A690" s="9" t="s">
        <v>751</v>
      </c>
      <c r="B690" s="10" t="s">
        <v>140</v>
      </c>
      <c r="C690" s="10"/>
      <c r="D690" s="10"/>
      <c r="E690" s="20" t="s">
        <v>141</v>
      </c>
      <c r="F690" s="20" t="s">
        <v>249</v>
      </c>
      <c r="G690" s="12" t="s">
        <v>1372</v>
      </c>
      <c r="H690" s="13"/>
      <c r="I690" s="13"/>
      <c r="J690" s="13">
        <v>143</v>
      </c>
      <c r="K690" s="13">
        <v>212</v>
      </c>
      <c r="L690" s="13">
        <v>36</v>
      </c>
      <c r="M690" s="13"/>
      <c r="N690" s="13">
        <v>156</v>
      </c>
      <c r="O690" s="13">
        <v>36</v>
      </c>
      <c r="P690" s="13">
        <v>18</v>
      </c>
      <c r="Q690" s="13">
        <v>42</v>
      </c>
      <c r="R690" s="13"/>
      <c r="S690" s="13">
        <v>43</v>
      </c>
      <c r="T690" s="13">
        <v>349</v>
      </c>
      <c r="U690" s="13">
        <v>10</v>
      </c>
      <c r="V690" s="13">
        <v>27</v>
      </c>
      <c r="W690" s="13"/>
      <c r="X690" s="13">
        <v>19</v>
      </c>
      <c r="Y690" s="13">
        <v>2</v>
      </c>
      <c r="Z690" s="13"/>
      <c r="AA690" s="13">
        <v>24</v>
      </c>
      <c r="AB690" s="13"/>
      <c r="AC690" s="14">
        <v>243.24324324324326</v>
      </c>
      <c r="AD690" s="14">
        <v>319.71580817051512</v>
      </c>
      <c r="AE690" s="14">
        <v>211.05527638190955</v>
      </c>
      <c r="AF690" s="14"/>
      <c r="AG690" s="15">
        <v>1.4075141976439478</v>
      </c>
      <c r="AH690" s="15">
        <v>1.4110604213781046</v>
      </c>
      <c r="AI690" s="15"/>
      <c r="AJ690" s="41">
        <f t="shared" si="20"/>
        <v>547</v>
      </c>
      <c r="AK690" s="44"/>
      <c r="AL690" s="10"/>
      <c r="AM690" s="10"/>
    </row>
    <row r="691" spans="1:39" s="16" customFormat="1" ht="19" customHeight="1">
      <c r="A691" s="9" t="s">
        <v>752</v>
      </c>
      <c r="B691" s="10" t="s">
        <v>140</v>
      </c>
      <c r="C691" s="10"/>
      <c r="D691" s="10"/>
      <c r="E691" s="20" t="s">
        <v>141</v>
      </c>
      <c r="F691" s="20" t="s">
        <v>249</v>
      </c>
      <c r="G691" s="12" t="s">
        <v>1372</v>
      </c>
      <c r="H691" s="13"/>
      <c r="I691" s="13"/>
      <c r="J691" s="13">
        <v>110</v>
      </c>
      <c r="K691" s="13">
        <v>170</v>
      </c>
      <c r="L691" s="13">
        <v>28</v>
      </c>
      <c r="M691" s="13"/>
      <c r="N691" s="13">
        <v>125</v>
      </c>
      <c r="O691" s="13">
        <v>28</v>
      </c>
      <c r="P691" s="13">
        <v>14</v>
      </c>
      <c r="Q691" s="13">
        <v>36</v>
      </c>
      <c r="R691" s="13"/>
      <c r="S691" s="13">
        <v>38</v>
      </c>
      <c r="T691" s="13">
        <v>346</v>
      </c>
      <c r="U691" s="13">
        <v>9</v>
      </c>
      <c r="V691" s="13">
        <v>24</v>
      </c>
      <c r="W691" s="13"/>
      <c r="X691" s="13">
        <v>15</v>
      </c>
      <c r="Y691" s="13">
        <v>2</v>
      </c>
      <c r="Z691" s="13"/>
      <c r="AA691" s="13">
        <v>32</v>
      </c>
      <c r="AB691" s="13"/>
      <c r="AC691" s="14">
        <v>189.18918918918919</v>
      </c>
      <c r="AD691" s="14">
        <v>248.66785079928954</v>
      </c>
      <c r="AE691" s="14">
        <v>180.90452261306532</v>
      </c>
      <c r="AF691" s="14"/>
      <c r="AG691" s="15">
        <v>1.3438101911450782</v>
      </c>
      <c r="AH691" s="15">
        <v>1.3441470111272686</v>
      </c>
      <c r="AI691" s="15"/>
      <c r="AJ691" s="41">
        <f t="shared" si="20"/>
        <v>433</v>
      </c>
      <c r="AK691" s="44"/>
      <c r="AL691" s="10"/>
      <c r="AM691" s="10"/>
    </row>
    <row r="692" spans="1:39" s="16" customFormat="1" ht="19" customHeight="1">
      <c r="A692" s="9" t="s">
        <v>753</v>
      </c>
      <c r="B692" s="10" t="s">
        <v>140</v>
      </c>
      <c r="C692" s="10"/>
      <c r="D692" s="10"/>
      <c r="E692" s="20" t="s">
        <v>141</v>
      </c>
      <c r="F692" s="20" t="s">
        <v>249</v>
      </c>
      <c r="G692" s="12" t="s">
        <v>1372</v>
      </c>
      <c r="H692" s="13"/>
      <c r="I692" s="13"/>
      <c r="J692" s="13">
        <v>105</v>
      </c>
      <c r="K692" s="13">
        <v>141</v>
      </c>
      <c r="L692" s="13">
        <v>25</v>
      </c>
      <c r="M692" s="13"/>
      <c r="N692" s="13">
        <v>114</v>
      </c>
      <c r="O692" s="13">
        <v>27</v>
      </c>
      <c r="P692" s="13">
        <v>13</v>
      </c>
      <c r="Q692" s="13">
        <v>36</v>
      </c>
      <c r="R692" s="13"/>
      <c r="S692" s="13">
        <v>37</v>
      </c>
      <c r="T692" s="13">
        <v>302</v>
      </c>
      <c r="U692" s="13">
        <v>9</v>
      </c>
      <c r="V692" s="13">
        <v>23</v>
      </c>
      <c r="W692" s="13"/>
      <c r="X692" s="13">
        <v>14</v>
      </c>
      <c r="Y692" s="13">
        <v>2</v>
      </c>
      <c r="Z692" s="13"/>
      <c r="AA692" s="13">
        <v>18</v>
      </c>
      <c r="AB692" s="13"/>
      <c r="AC692" s="14">
        <v>182.43243243243245</v>
      </c>
      <c r="AD692" s="14">
        <v>230.90586145648314</v>
      </c>
      <c r="AE692" s="14">
        <v>180.90452261306532</v>
      </c>
      <c r="AF692" s="14"/>
      <c r="AG692" s="15">
        <v>1.2710287695759912</v>
      </c>
      <c r="AH692" s="15">
        <v>1.2710400080525659</v>
      </c>
      <c r="AI692" s="15"/>
      <c r="AJ692" s="41">
        <f t="shared" si="20"/>
        <v>385</v>
      </c>
      <c r="AK692" s="44"/>
      <c r="AL692" s="10"/>
      <c r="AM692" s="10"/>
    </row>
    <row r="693" spans="1:39" s="16" customFormat="1" ht="19" customHeight="1">
      <c r="A693" s="9" t="s">
        <v>754</v>
      </c>
      <c r="B693" s="10" t="s">
        <v>140</v>
      </c>
      <c r="C693" s="10"/>
      <c r="D693" s="10"/>
      <c r="E693" s="20" t="s">
        <v>141</v>
      </c>
      <c r="F693" s="20" t="s">
        <v>249</v>
      </c>
      <c r="G693" s="12" t="s">
        <v>1372</v>
      </c>
      <c r="H693" s="13"/>
      <c r="I693" s="13"/>
      <c r="J693" s="13">
        <v>96</v>
      </c>
      <c r="K693" s="13">
        <v>129</v>
      </c>
      <c r="L693" s="13">
        <v>25</v>
      </c>
      <c r="M693" s="13"/>
      <c r="N693" s="13">
        <v>108</v>
      </c>
      <c r="O693" s="13">
        <v>24</v>
      </c>
      <c r="P693" s="13">
        <v>12</v>
      </c>
      <c r="Q693" s="13">
        <v>33</v>
      </c>
      <c r="R693" s="13"/>
      <c r="S693" s="13">
        <v>31</v>
      </c>
      <c r="T693" s="13">
        <v>306</v>
      </c>
      <c r="U693" s="13">
        <v>8</v>
      </c>
      <c r="V693" s="13">
        <v>22</v>
      </c>
      <c r="W693" s="13"/>
      <c r="X693" s="13">
        <v>14</v>
      </c>
      <c r="Y693" s="13">
        <v>2</v>
      </c>
      <c r="Z693" s="13"/>
      <c r="AA693" s="13">
        <v>30</v>
      </c>
      <c r="AB693" s="13"/>
      <c r="AC693" s="14">
        <v>162.16216216216216</v>
      </c>
      <c r="AD693" s="14">
        <v>213.14387211367674</v>
      </c>
      <c r="AE693" s="14">
        <v>165.8291457286432</v>
      </c>
      <c r="AF693" s="14"/>
      <c r="AG693" s="15">
        <v>1.2996921990666681</v>
      </c>
      <c r="AH693" s="15">
        <v>1.2997734343109177</v>
      </c>
      <c r="AI693" s="15"/>
      <c r="AJ693" s="41">
        <f t="shared" si="20"/>
        <v>358</v>
      </c>
      <c r="AK693" s="44"/>
      <c r="AL693" s="10"/>
      <c r="AM693" s="10"/>
    </row>
    <row r="694" spans="1:39" s="16" customFormat="1" ht="19" customHeight="1">
      <c r="A694" s="9" t="s">
        <v>755</v>
      </c>
      <c r="B694" s="10" t="s">
        <v>140</v>
      </c>
      <c r="C694" s="10"/>
      <c r="D694" s="10"/>
      <c r="E694" s="20" t="s">
        <v>141</v>
      </c>
      <c r="F694" s="20" t="s">
        <v>249</v>
      </c>
      <c r="G694" s="12" t="s">
        <v>1372</v>
      </c>
      <c r="H694" s="13"/>
      <c r="I694" s="13"/>
      <c r="J694" s="13">
        <v>89</v>
      </c>
      <c r="K694" s="13">
        <v>132</v>
      </c>
      <c r="L694" s="13">
        <v>23</v>
      </c>
      <c r="M694" s="13"/>
      <c r="N694" s="13">
        <v>103</v>
      </c>
      <c r="O694" s="13">
        <v>22</v>
      </c>
      <c r="P694" s="13">
        <v>12</v>
      </c>
      <c r="Q694" s="13">
        <v>29</v>
      </c>
      <c r="R694" s="13"/>
      <c r="S694" s="13">
        <v>31</v>
      </c>
      <c r="T694" s="13">
        <v>274</v>
      </c>
      <c r="U694" s="13">
        <v>7</v>
      </c>
      <c r="V694" s="13">
        <v>20</v>
      </c>
      <c r="W694" s="13"/>
      <c r="X694" s="13">
        <v>12</v>
      </c>
      <c r="Y694" s="13">
        <v>2</v>
      </c>
      <c r="Z694" s="13"/>
      <c r="AA694" s="13">
        <v>22</v>
      </c>
      <c r="AB694" s="13"/>
      <c r="AC694" s="14">
        <v>148.64864864864865</v>
      </c>
      <c r="AD694" s="14">
        <v>213.14387211367674</v>
      </c>
      <c r="AE694" s="14">
        <v>145.7286432160804</v>
      </c>
      <c r="AF694" s="14"/>
      <c r="AG694" s="15">
        <v>1.4480999588216856</v>
      </c>
      <c r="AH694" s="15">
        <v>1.4481712046274837</v>
      </c>
      <c r="AI694" s="15"/>
      <c r="AJ694" s="41">
        <f t="shared" si="20"/>
        <v>347</v>
      </c>
      <c r="AK694" s="44"/>
      <c r="AL694" s="10"/>
      <c r="AM694" s="10"/>
    </row>
    <row r="695" spans="1:39" s="16" customFormat="1" ht="19" customHeight="1">
      <c r="A695" s="9" t="s">
        <v>756</v>
      </c>
      <c r="B695" s="10" t="s">
        <v>140</v>
      </c>
      <c r="C695" s="10"/>
      <c r="D695" s="10"/>
      <c r="E695" s="20" t="s">
        <v>141</v>
      </c>
      <c r="F695" s="20" t="s">
        <v>249</v>
      </c>
      <c r="G695" s="12" t="s">
        <v>1372</v>
      </c>
      <c r="H695" s="13"/>
      <c r="I695" s="13"/>
      <c r="J695" s="13">
        <v>154</v>
      </c>
      <c r="K695" s="13">
        <v>207</v>
      </c>
      <c r="L695" s="13">
        <v>36</v>
      </c>
      <c r="M695" s="13"/>
      <c r="N695" s="13">
        <v>157</v>
      </c>
      <c r="O695" s="13">
        <v>36</v>
      </c>
      <c r="P695" s="13">
        <v>17</v>
      </c>
      <c r="Q695" s="13">
        <v>46</v>
      </c>
      <c r="R695" s="13"/>
      <c r="S695" s="13">
        <v>48</v>
      </c>
      <c r="T695" s="13">
        <v>445</v>
      </c>
      <c r="U695" s="13">
        <v>12</v>
      </c>
      <c r="V695" s="13">
        <v>33</v>
      </c>
      <c r="W695" s="13"/>
      <c r="X695" s="13">
        <v>24</v>
      </c>
      <c r="Y695" s="13">
        <v>3</v>
      </c>
      <c r="Z695" s="13"/>
      <c r="AA695" s="13">
        <v>28</v>
      </c>
      <c r="AB695" s="13"/>
      <c r="AC695" s="14">
        <v>243.24324324324326</v>
      </c>
      <c r="AD695" s="14">
        <v>301.95381882770874</v>
      </c>
      <c r="AE695" s="14">
        <v>231.15577889447235</v>
      </c>
      <c r="AF695" s="14"/>
      <c r="AG695" s="15">
        <v>1.2729951148173029</v>
      </c>
      <c r="AH695" s="15">
        <v>1.2734085344591621</v>
      </c>
      <c r="AI695" s="15"/>
      <c r="AJ695" s="41">
        <f t="shared" si="20"/>
        <v>554</v>
      </c>
      <c r="AK695" s="44"/>
      <c r="AL695" s="10"/>
      <c r="AM695" s="10"/>
    </row>
    <row r="696" spans="1:39" s="16" customFormat="1" ht="19" customHeight="1">
      <c r="A696" s="9" t="s">
        <v>757</v>
      </c>
      <c r="B696" s="10" t="s">
        <v>140</v>
      </c>
      <c r="C696" s="10"/>
      <c r="D696" s="10"/>
      <c r="E696" s="20" t="s">
        <v>141</v>
      </c>
      <c r="F696" s="20" t="s">
        <v>249</v>
      </c>
      <c r="G696" s="12" t="s">
        <v>1372</v>
      </c>
      <c r="H696" s="13"/>
      <c r="I696" s="13"/>
      <c r="J696" s="13">
        <v>141</v>
      </c>
      <c r="K696" s="13">
        <v>203</v>
      </c>
      <c r="L696" s="13">
        <v>34</v>
      </c>
      <c r="M696" s="13"/>
      <c r="N696" s="13">
        <v>147</v>
      </c>
      <c r="O696" s="13">
        <v>32</v>
      </c>
      <c r="P696" s="13">
        <v>16</v>
      </c>
      <c r="Q696" s="13">
        <v>42</v>
      </c>
      <c r="R696" s="13"/>
      <c r="S696" s="13">
        <v>43</v>
      </c>
      <c r="T696" s="13">
        <v>390</v>
      </c>
      <c r="U696" s="13">
        <v>10</v>
      </c>
      <c r="V696" s="13">
        <v>28</v>
      </c>
      <c r="W696" s="13"/>
      <c r="X696" s="13">
        <v>19</v>
      </c>
      <c r="Y696" s="13">
        <v>2</v>
      </c>
      <c r="Z696" s="13"/>
      <c r="AA696" s="13">
        <v>25</v>
      </c>
      <c r="AB696" s="13"/>
      <c r="AC696" s="14">
        <v>216.21621621621622</v>
      </c>
      <c r="AD696" s="14">
        <v>284.19182948490231</v>
      </c>
      <c r="AE696" s="14">
        <v>211.05527638190955</v>
      </c>
      <c r="AF696" s="14"/>
      <c r="AG696" s="15">
        <v>1.3302634713905503</v>
      </c>
      <c r="AH696" s="15">
        <v>1.3303605234938731</v>
      </c>
      <c r="AI696" s="15"/>
      <c r="AJ696" s="41">
        <f t="shared" si="20"/>
        <v>525</v>
      </c>
      <c r="AK696" s="44"/>
      <c r="AL696" s="10"/>
      <c r="AM696" s="10"/>
    </row>
    <row r="697" spans="1:39" s="16" customFormat="1" ht="19" customHeight="1">
      <c r="A697" s="9" t="s">
        <v>758</v>
      </c>
      <c r="B697" s="10" t="s">
        <v>140</v>
      </c>
      <c r="C697" s="10"/>
      <c r="D697" s="10"/>
      <c r="E697" s="20" t="s">
        <v>141</v>
      </c>
      <c r="F697" s="20" t="s">
        <v>249</v>
      </c>
      <c r="G697" s="12" t="s">
        <v>1372</v>
      </c>
      <c r="H697" s="13"/>
      <c r="I697" s="13"/>
      <c r="J697" s="13">
        <v>124</v>
      </c>
      <c r="K697" s="13">
        <v>184</v>
      </c>
      <c r="L697" s="13">
        <v>30</v>
      </c>
      <c r="M697" s="13"/>
      <c r="N697" s="13">
        <v>145</v>
      </c>
      <c r="O697" s="13">
        <v>31</v>
      </c>
      <c r="P697" s="13">
        <v>15</v>
      </c>
      <c r="Q697" s="13">
        <v>40</v>
      </c>
      <c r="R697" s="13"/>
      <c r="S697" s="13">
        <v>40</v>
      </c>
      <c r="T697" s="13">
        <v>332</v>
      </c>
      <c r="U697" s="13">
        <v>9</v>
      </c>
      <c r="V697" s="13">
        <v>26</v>
      </c>
      <c r="W697" s="13"/>
      <c r="X697" s="13">
        <v>16</v>
      </c>
      <c r="Y697" s="13">
        <v>2</v>
      </c>
      <c r="Z697" s="13"/>
      <c r="AA697" s="13">
        <v>27</v>
      </c>
      <c r="AB697" s="13"/>
      <c r="AC697" s="14">
        <v>209.45945945945948</v>
      </c>
      <c r="AD697" s="14">
        <v>266.42984014209594</v>
      </c>
      <c r="AE697" s="14">
        <v>201.00502512562812</v>
      </c>
      <c r="AF697" s="14"/>
      <c r="AG697" s="15">
        <v>1.2981870546554737</v>
      </c>
      <c r="AH697" s="15">
        <v>1.2984625177551774</v>
      </c>
      <c r="AI697" s="15"/>
      <c r="AJ697" s="41">
        <f t="shared" si="20"/>
        <v>483</v>
      </c>
      <c r="AK697" s="44"/>
      <c r="AL697" s="10"/>
      <c r="AM697" s="10"/>
    </row>
    <row r="698" spans="1:39" s="16" customFormat="1" ht="19" customHeight="1">
      <c r="A698" s="9" t="s">
        <v>759</v>
      </c>
      <c r="B698" s="10" t="s">
        <v>140</v>
      </c>
      <c r="C698" s="10"/>
      <c r="D698" s="10"/>
      <c r="E698" s="20" t="s">
        <v>141</v>
      </c>
      <c r="F698" s="20" t="s">
        <v>249</v>
      </c>
      <c r="G698" s="12" t="s">
        <v>1372</v>
      </c>
      <c r="H698" s="13"/>
      <c r="I698" s="13"/>
      <c r="J698" s="13">
        <v>122</v>
      </c>
      <c r="K698" s="13">
        <v>152</v>
      </c>
      <c r="L698" s="13">
        <v>28</v>
      </c>
      <c r="M698" s="13"/>
      <c r="N698" s="13">
        <v>132</v>
      </c>
      <c r="O698" s="13">
        <v>31</v>
      </c>
      <c r="P698" s="13">
        <v>15</v>
      </c>
      <c r="Q698" s="13">
        <v>43</v>
      </c>
      <c r="R698" s="13"/>
      <c r="S698" s="13">
        <v>44</v>
      </c>
      <c r="T698" s="13">
        <v>361</v>
      </c>
      <c r="U698" s="13">
        <v>9</v>
      </c>
      <c r="V698" s="13">
        <v>27</v>
      </c>
      <c r="W698" s="13"/>
      <c r="X698" s="13">
        <v>17</v>
      </c>
      <c r="Y698" s="13">
        <v>2</v>
      </c>
      <c r="Z698" s="13"/>
      <c r="AA698" s="13">
        <v>18</v>
      </c>
      <c r="AB698" s="13"/>
      <c r="AC698" s="14">
        <v>209.45945945945948</v>
      </c>
      <c r="AD698" s="14">
        <v>266.42984014209594</v>
      </c>
      <c r="AE698" s="14">
        <v>216.08040201005025</v>
      </c>
      <c r="AF698" s="14"/>
      <c r="AG698" s="15">
        <v>1.2521968645759209</v>
      </c>
      <c r="AH698" s="15">
        <v>1.252348458089511</v>
      </c>
      <c r="AI698" s="15"/>
      <c r="AJ698" s="41">
        <f t="shared" si="20"/>
        <v>434</v>
      </c>
      <c r="AK698" s="44"/>
      <c r="AL698" s="10"/>
      <c r="AM698" s="10"/>
    </row>
    <row r="699" spans="1:39" s="16" customFormat="1" ht="19" customHeight="1">
      <c r="A699" s="9" t="s">
        <v>760</v>
      </c>
      <c r="B699" s="10" t="s">
        <v>140</v>
      </c>
      <c r="C699" s="10"/>
      <c r="D699" s="10"/>
      <c r="E699" s="20" t="s">
        <v>141</v>
      </c>
      <c r="F699" s="20" t="s">
        <v>249</v>
      </c>
      <c r="G699" s="12" t="s">
        <v>1372</v>
      </c>
      <c r="H699" s="13"/>
      <c r="I699" s="13"/>
      <c r="J699" s="13">
        <v>127</v>
      </c>
      <c r="K699" s="13">
        <v>181</v>
      </c>
      <c r="L699" s="13">
        <v>31</v>
      </c>
      <c r="M699" s="13"/>
      <c r="N699" s="13">
        <v>133</v>
      </c>
      <c r="O699" s="13">
        <v>30</v>
      </c>
      <c r="P699" s="13">
        <v>15</v>
      </c>
      <c r="Q699" s="13">
        <v>39</v>
      </c>
      <c r="R699" s="13"/>
      <c r="S699" s="13">
        <v>41</v>
      </c>
      <c r="T699" s="13">
        <v>342</v>
      </c>
      <c r="U699" s="13">
        <v>9</v>
      </c>
      <c r="V699" s="13">
        <v>28</v>
      </c>
      <c r="W699" s="13"/>
      <c r="X699" s="13">
        <v>17</v>
      </c>
      <c r="Y699" s="13">
        <v>2</v>
      </c>
      <c r="Z699" s="13"/>
      <c r="AA699" s="13">
        <v>25</v>
      </c>
      <c r="AB699" s="13"/>
      <c r="AC699" s="14">
        <v>202.70270270270271</v>
      </c>
      <c r="AD699" s="14">
        <v>266.42984014209594</v>
      </c>
      <c r="AE699" s="14">
        <v>195.97989949748742</v>
      </c>
      <c r="AF699" s="14"/>
      <c r="AG699" s="15">
        <v>1.3365511244873123</v>
      </c>
      <c r="AH699" s="15">
        <v>1.3367411861121423</v>
      </c>
      <c r="AI699" s="15"/>
      <c r="AJ699" s="41">
        <f t="shared" si="20"/>
        <v>472</v>
      </c>
      <c r="AK699" s="44"/>
      <c r="AL699" s="10"/>
      <c r="AM699" s="10"/>
    </row>
    <row r="700" spans="1:39" s="16" customFormat="1" ht="19" customHeight="1">
      <c r="A700" s="9" t="s">
        <v>761</v>
      </c>
      <c r="B700" s="10" t="s">
        <v>140</v>
      </c>
      <c r="C700" s="10"/>
      <c r="D700" s="10"/>
      <c r="E700" s="20" t="s">
        <v>141</v>
      </c>
      <c r="F700" s="20" t="s">
        <v>249</v>
      </c>
      <c r="G700" s="12" t="s">
        <v>1372</v>
      </c>
      <c r="H700" s="13"/>
      <c r="I700" s="13"/>
      <c r="J700" s="13">
        <v>104</v>
      </c>
      <c r="K700" s="13">
        <v>125</v>
      </c>
      <c r="L700" s="13">
        <v>25</v>
      </c>
      <c r="M700" s="13"/>
      <c r="N700" s="13">
        <v>118</v>
      </c>
      <c r="O700" s="13">
        <v>29</v>
      </c>
      <c r="P700" s="13">
        <v>14</v>
      </c>
      <c r="Q700" s="13">
        <v>39</v>
      </c>
      <c r="R700" s="13"/>
      <c r="S700" s="13">
        <v>41</v>
      </c>
      <c r="T700" s="13">
        <v>341</v>
      </c>
      <c r="U700" s="13">
        <v>9</v>
      </c>
      <c r="V700" s="13">
        <v>26</v>
      </c>
      <c r="W700" s="13"/>
      <c r="X700" s="13">
        <v>16</v>
      </c>
      <c r="Y700" s="13">
        <v>2</v>
      </c>
      <c r="Z700" s="13"/>
      <c r="AA700" s="13">
        <v>14</v>
      </c>
      <c r="AB700" s="13"/>
      <c r="AC700" s="14">
        <v>195.94594594594597</v>
      </c>
      <c r="AD700" s="14">
        <v>248.66785079928954</v>
      </c>
      <c r="AE700" s="14">
        <v>195.97989949748742</v>
      </c>
      <c r="AF700" s="14"/>
      <c r="AG700" s="15">
        <v>1.2689535721633329</v>
      </c>
      <c r="AH700" s="15">
        <v>1.2689535769252116</v>
      </c>
      <c r="AI700" s="15"/>
      <c r="AJ700" s="41">
        <f t="shared" si="20"/>
        <v>372</v>
      </c>
      <c r="AK700" s="44"/>
      <c r="AL700" s="10"/>
      <c r="AM700" s="10"/>
    </row>
    <row r="701" spans="1:39" s="16" customFormat="1" ht="19" customHeight="1">
      <c r="A701" s="9" t="s">
        <v>762</v>
      </c>
      <c r="B701" s="10" t="s">
        <v>140</v>
      </c>
      <c r="C701" s="10"/>
      <c r="D701" s="10"/>
      <c r="E701" s="20" t="s">
        <v>141</v>
      </c>
      <c r="F701" s="20" t="s">
        <v>249</v>
      </c>
      <c r="G701" s="12" t="s">
        <v>1372</v>
      </c>
      <c r="H701" s="13"/>
      <c r="I701" s="13"/>
      <c r="J701" s="13">
        <v>119</v>
      </c>
      <c r="K701" s="13">
        <v>181</v>
      </c>
      <c r="L701" s="13">
        <v>30</v>
      </c>
      <c r="M701" s="13"/>
      <c r="N701" s="13">
        <v>117</v>
      </c>
      <c r="O701" s="13">
        <v>27</v>
      </c>
      <c r="P701" s="13">
        <v>13</v>
      </c>
      <c r="Q701" s="13">
        <v>32</v>
      </c>
      <c r="R701" s="13"/>
      <c r="S701" s="13">
        <v>34</v>
      </c>
      <c r="T701" s="13">
        <v>288</v>
      </c>
      <c r="U701" s="13">
        <v>8</v>
      </c>
      <c r="V701" s="13">
        <v>22</v>
      </c>
      <c r="W701" s="13"/>
      <c r="X701" s="13">
        <v>15</v>
      </c>
      <c r="Y701" s="13">
        <v>2</v>
      </c>
      <c r="Z701" s="13"/>
      <c r="AA701" s="13">
        <v>24</v>
      </c>
      <c r="AB701" s="13"/>
      <c r="AC701" s="14">
        <v>182.43243243243245</v>
      </c>
      <c r="AD701" s="14">
        <v>230.90586145648314</v>
      </c>
      <c r="AE701" s="14">
        <v>160.8040201005025</v>
      </c>
      <c r="AF701" s="14"/>
      <c r="AG701" s="15">
        <v>1.3454623467437612</v>
      </c>
      <c r="AH701" s="15">
        <v>1.34814151328006</v>
      </c>
      <c r="AI701" s="15"/>
      <c r="AJ701" s="41">
        <f t="shared" si="20"/>
        <v>447</v>
      </c>
      <c r="AK701" s="44"/>
      <c r="AL701" s="10"/>
      <c r="AM701" s="10"/>
    </row>
    <row r="702" spans="1:39" s="16" customFormat="1" ht="19" customHeight="1">
      <c r="A702" s="9" t="s">
        <v>763</v>
      </c>
      <c r="B702" s="10" t="s">
        <v>140</v>
      </c>
      <c r="C702" s="10"/>
      <c r="D702" s="10"/>
      <c r="E702" s="20" t="s">
        <v>141</v>
      </c>
      <c r="F702" s="20" t="s">
        <v>249</v>
      </c>
      <c r="G702" s="12" t="s">
        <v>1372</v>
      </c>
      <c r="H702" s="13"/>
      <c r="I702" s="13"/>
      <c r="J702" s="13">
        <v>115</v>
      </c>
      <c r="K702" s="13">
        <v>166</v>
      </c>
      <c r="L702" s="13">
        <v>26</v>
      </c>
      <c r="M702" s="13"/>
      <c r="N702" s="13">
        <v>110</v>
      </c>
      <c r="O702" s="13">
        <v>22</v>
      </c>
      <c r="P702" s="13">
        <v>11</v>
      </c>
      <c r="Q702" s="13">
        <v>30</v>
      </c>
      <c r="R702" s="13"/>
      <c r="S702" s="13">
        <v>33</v>
      </c>
      <c r="T702" s="13">
        <v>253</v>
      </c>
      <c r="U702" s="13">
        <v>7</v>
      </c>
      <c r="V702" s="13">
        <v>20</v>
      </c>
      <c r="W702" s="13"/>
      <c r="X702" s="13">
        <v>14</v>
      </c>
      <c r="Y702" s="13">
        <v>2</v>
      </c>
      <c r="Z702" s="13"/>
      <c r="AA702" s="13">
        <v>21</v>
      </c>
      <c r="AB702" s="13"/>
      <c r="AC702" s="14">
        <v>148.64864864864865</v>
      </c>
      <c r="AD702" s="14">
        <v>195.38188277087036</v>
      </c>
      <c r="AE702" s="14">
        <v>150.7537688442211</v>
      </c>
      <c r="AF702" s="14"/>
      <c r="AG702" s="15">
        <v>1.305145659189765</v>
      </c>
      <c r="AH702" s="15">
        <v>1.3051779209664229</v>
      </c>
      <c r="AI702" s="15"/>
      <c r="AJ702" s="41">
        <f t="shared" si="20"/>
        <v>417</v>
      </c>
      <c r="AK702" s="44"/>
      <c r="AL702" s="10"/>
      <c r="AM702" s="10"/>
    </row>
    <row r="703" spans="1:39" s="16" customFormat="1" ht="19" customHeight="1">
      <c r="A703" s="9" t="s">
        <v>764</v>
      </c>
      <c r="B703" s="10" t="s">
        <v>140</v>
      </c>
      <c r="C703" s="10"/>
      <c r="D703" s="10"/>
      <c r="E703" s="20" t="s">
        <v>141</v>
      </c>
      <c r="F703" s="20" t="s">
        <v>249</v>
      </c>
      <c r="G703" s="12" t="s">
        <v>1372</v>
      </c>
      <c r="H703" s="13"/>
      <c r="I703" s="13"/>
      <c r="J703" s="13">
        <v>216</v>
      </c>
      <c r="K703" s="13">
        <v>261</v>
      </c>
      <c r="L703" s="13">
        <v>53</v>
      </c>
      <c r="M703" s="13"/>
      <c r="N703" s="13">
        <v>235</v>
      </c>
      <c r="O703" s="13">
        <v>53</v>
      </c>
      <c r="P703" s="13">
        <v>21</v>
      </c>
      <c r="Q703" s="13">
        <v>72</v>
      </c>
      <c r="R703" s="13"/>
      <c r="S703" s="13">
        <v>76</v>
      </c>
      <c r="T703" s="13">
        <v>712</v>
      </c>
      <c r="U703" s="13">
        <v>18</v>
      </c>
      <c r="V703" s="13">
        <v>52</v>
      </c>
      <c r="W703" s="13"/>
      <c r="X703" s="13">
        <v>37</v>
      </c>
      <c r="Y703" s="13">
        <v>4</v>
      </c>
      <c r="Z703" s="13"/>
      <c r="AA703" s="13">
        <v>48</v>
      </c>
      <c r="AB703" s="13"/>
      <c r="AC703" s="14">
        <v>358.10810810810813</v>
      </c>
      <c r="AD703" s="14">
        <v>373.00177619893429</v>
      </c>
      <c r="AE703" s="14">
        <v>361.80904522613065</v>
      </c>
      <c r="AF703" s="14"/>
      <c r="AG703" s="15">
        <v>1.0362352792162444</v>
      </c>
      <c r="AH703" s="15">
        <v>1.0362489721136958</v>
      </c>
      <c r="AI703" s="15"/>
      <c r="AJ703" s="41">
        <f t="shared" si="20"/>
        <v>765</v>
      </c>
      <c r="AK703" s="44"/>
      <c r="AL703" s="10"/>
      <c r="AM703" s="10"/>
    </row>
    <row r="704" spans="1:39" s="16" customFormat="1" ht="19" customHeight="1">
      <c r="A704" s="9" t="s">
        <v>765</v>
      </c>
      <c r="B704" s="10" t="s">
        <v>140</v>
      </c>
      <c r="C704" s="10"/>
      <c r="D704" s="10"/>
      <c r="E704" s="20" t="s">
        <v>141</v>
      </c>
      <c r="F704" s="20" t="s">
        <v>249</v>
      </c>
      <c r="G704" s="12" t="s">
        <v>1372</v>
      </c>
      <c r="H704" s="13"/>
      <c r="I704" s="13"/>
      <c r="J704" s="13">
        <v>198</v>
      </c>
      <c r="K704" s="13">
        <v>233</v>
      </c>
      <c r="L704" s="13">
        <v>47</v>
      </c>
      <c r="M704" s="13"/>
      <c r="N704" s="13">
        <v>210</v>
      </c>
      <c r="O704" s="13">
        <v>47</v>
      </c>
      <c r="P704" s="13">
        <v>19</v>
      </c>
      <c r="Q704" s="13">
        <v>65</v>
      </c>
      <c r="R704" s="13"/>
      <c r="S704" s="13">
        <v>70</v>
      </c>
      <c r="T704" s="13">
        <v>661</v>
      </c>
      <c r="U704" s="13">
        <v>17</v>
      </c>
      <c r="V704" s="13">
        <v>49</v>
      </c>
      <c r="W704" s="13"/>
      <c r="X704" s="13">
        <v>34</v>
      </c>
      <c r="Y704" s="13">
        <v>4</v>
      </c>
      <c r="Z704" s="13"/>
      <c r="AA704" s="13">
        <v>44</v>
      </c>
      <c r="AB704" s="13"/>
      <c r="AC704" s="14">
        <v>317.56756756756761</v>
      </c>
      <c r="AD704" s="14">
        <v>337.47779751332149</v>
      </c>
      <c r="AE704" s="14">
        <v>326.6331658291457</v>
      </c>
      <c r="AF704" s="14"/>
      <c r="AG704" s="15">
        <v>1.0477411155180882</v>
      </c>
      <c r="AH704" s="15">
        <v>1.0478448776799851</v>
      </c>
      <c r="AI704" s="15"/>
      <c r="AJ704" s="41">
        <f t="shared" si="20"/>
        <v>688</v>
      </c>
      <c r="AK704" s="44"/>
      <c r="AL704" s="10"/>
      <c r="AM704" s="10"/>
    </row>
    <row r="705" spans="1:39" s="16" customFormat="1" ht="19" customHeight="1">
      <c r="A705" s="9" t="s">
        <v>766</v>
      </c>
      <c r="B705" s="10" t="s">
        <v>140</v>
      </c>
      <c r="C705" s="10"/>
      <c r="D705" s="10"/>
      <c r="E705" s="20" t="s">
        <v>141</v>
      </c>
      <c r="F705" s="20" t="s">
        <v>249</v>
      </c>
      <c r="G705" s="12" t="s">
        <v>1372</v>
      </c>
      <c r="H705" s="13"/>
      <c r="I705" s="13"/>
      <c r="J705" s="13">
        <v>144</v>
      </c>
      <c r="K705" s="13">
        <v>198</v>
      </c>
      <c r="L705" s="13">
        <v>34</v>
      </c>
      <c r="M705" s="13"/>
      <c r="N705" s="13">
        <v>155</v>
      </c>
      <c r="O705" s="13">
        <v>36</v>
      </c>
      <c r="P705" s="13">
        <v>14</v>
      </c>
      <c r="Q705" s="13">
        <v>46</v>
      </c>
      <c r="R705" s="13"/>
      <c r="S705" s="13">
        <v>46</v>
      </c>
      <c r="T705" s="13">
        <v>422</v>
      </c>
      <c r="U705" s="13">
        <v>10</v>
      </c>
      <c r="V705" s="13">
        <v>29</v>
      </c>
      <c r="W705" s="13"/>
      <c r="X705" s="13">
        <v>19</v>
      </c>
      <c r="Y705" s="13">
        <v>2</v>
      </c>
      <c r="Z705" s="13"/>
      <c r="AA705" s="13">
        <v>32</v>
      </c>
      <c r="AB705" s="13"/>
      <c r="AC705" s="14">
        <v>243.24324324324326</v>
      </c>
      <c r="AD705" s="14">
        <v>248.66785079928954</v>
      </c>
      <c r="AE705" s="14">
        <v>231.15577889447235</v>
      </c>
      <c r="AF705" s="14"/>
      <c r="AG705" s="15">
        <v>1.0483489180848375</v>
      </c>
      <c r="AH705" s="15">
        <v>1.0486893813193099</v>
      </c>
      <c r="AI705" s="15"/>
      <c r="AJ705" s="41">
        <f t="shared" si="20"/>
        <v>531</v>
      </c>
      <c r="AK705" s="44"/>
      <c r="AL705" s="10"/>
      <c r="AM705" s="10"/>
    </row>
    <row r="706" spans="1:39" s="16" customFormat="1" ht="19" customHeight="1">
      <c r="A706" s="9" t="s">
        <v>767</v>
      </c>
      <c r="B706" s="10" t="s">
        <v>140</v>
      </c>
      <c r="C706" s="10"/>
      <c r="D706" s="10"/>
      <c r="E706" s="20" t="s">
        <v>141</v>
      </c>
      <c r="F706" s="20" t="s">
        <v>249</v>
      </c>
      <c r="G706" s="12" t="s">
        <v>1372</v>
      </c>
      <c r="H706" s="13"/>
      <c r="I706" s="13"/>
      <c r="J706" s="13">
        <v>166</v>
      </c>
      <c r="K706" s="13">
        <v>255</v>
      </c>
      <c r="L706" s="13">
        <v>42</v>
      </c>
      <c r="M706" s="13"/>
      <c r="N706" s="13">
        <v>199</v>
      </c>
      <c r="O706" s="13">
        <v>44</v>
      </c>
      <c r="P706" s="13">
        <v>17</v>
      </c>
      <c r="Q706" s="13">
        <v>60</v>
      </c>
      <c r="R706" s="13"/>
      <c r="S706" s="13">
        <v>59</v>
      </c>
      <c r="T706" s="13">
        <v>549</v>
      </c>
      <c r="U706" s="13">
        <v>14</v>
      </c>
      <c r="V706" s="13">
        <v>40</v>
      </c>
      <c r="W706" s="13"/>
      <c r="X706" s="13">
        <v>30</v>
      </c>
      <c r="Y706" s="13">
        <v>4</v>
      </c>
      <c r="Z706" s="13"/>
      <c r="AA706" s="13">
        <v>39</v>
      </c>
      <c r="AB706" s="13"/>
      <c r="AC706" s="14">
        <v>297.29729729729729</v>
      </c>
      <c r="AD706" s="14">
        <v>301.95381882770874</v>
      </c>
      <c r="AE706" s="14">
        <v>301.5075376884422</v>
      </c>
      <c r="AF706" s="14"/>
      <c r="AG706" s="15">
        <v>1.0085216457375457</v>
      </c>
      <c r="AH706" s="15">
        <v>1.008546575292236</v>
      </c>
      <c r="AI706" s="15"/>
      <c r="AJ706" s="41">
        <f t="shared" si="20"/>
        <v>662</v>
      </c>
      <c r="AK706" s="44"/>
      <c r="AL706" s="10"/>
      <c r="AM706" s="10"/>
    </row>
    <row r="707" spans="1:39" s="16" customFormat="1" ht="19" customHeight="1">
      <c r="A707" s="9" t="s">
        <v>768</v>
      </c>
      <c r="B707" s="10" t="s">
        <v>140</v>
      </c>
      <c r="C707" s="10"/>
      <c r="D707" s="10"/>
      <c r="E707" s="20" t="s">
        <v>141</v>
      </c>
      <c r="F707" s="20" t="s">
        <v>249</v>
      </c>
      <c r="G707" s="12" t="s">
        <v>1372</v>
      </c>
      <c r="H707" s="13"/>
      <c r="I707" s="13"/>
      <c r="J707" s="13">
        <v>179</v>
      </c>
      <c r="K707" s="13">
        <v>231</v>
      </c>
      <c r="L707" s="13">
        <v>40</v>
      </c>
      <c r="M707" s="13"/>
      <c r="N707" s="13">
        <v>187</v>
      </c>
      <c r="O707" s="13">
        <v>43</v>
      </c>
      <c r="P707" s="13">
        <v>17</v>
      </c>
      <c r="Q707" s="13">
        <v>61</v>
      </c>
      <c r="R707" s="13"/>
      <c r="S707" s="13">
        <v>57</v>
      </c>
      <c r="T707" s="13">
        <v>533</v>
      </c>
      <c r="U707" s="13">
        <v>13</v>
      </c>
      <c r="V707" s="13">
        <v>36</v>
      </c>
      <c r="W707" s="13"/>
      <c r="X707" s="13">
        <v>23</v>
      </c>
      <c r="Y707" s="13">
        <v>3</v>
      </c>
      <c r="Z707" s="13"/>
      <c r="AA707" s="13">
        <v>29</v>
      </c>
      <c r="AB707" s="13"/>
      <c r="AC707" s="14">
        <v>290.54054054054058</v>
      </c>
      <c r="AD707" s="14">
        <v>301.95381882770874</v>
      </c>
      <c r="AE707" s="14">
        <v>306.5326633165829</v>
      </c>
      <c r="AF707" s="14"/>
      <c r="AG707" s="15">
        <v>1.0114465592395425</v>
      </c>
      <c r="AH707" s="15">
        <v>1.0118095568459533</v>
      </c>
      <c r="AI707" s="15"/>
      <c r="AJ707" s="41">
        <f t="shared" si="20"/>
        <v>637</v>
      </c>
      <c r="AK707" s="44"/>
      <c r="AL707" s="10"/>
      <c r="AM707" s="10"/>
    </row>
    <row r="708" spans="1:39" s="16" customFormat="1" ht="19" customHeight="1">
      <c r="A708" s="9" t="s">
        <v>769</v>
      </c>
      <c r="B708" s="10" t="s">
        <v>140</v>
      </c>
      <c r="C708" s="10"/>
      <c r="D708" s="10"/>
      <c r="E708" s="20" t="s">
        <v>141</v>
      </c>
      <c r="F708" s="20" t="s">
        <v>249</v>
      </c>
      <c r="G708" s="12" t="s">
        <v>1372</v>
      </c>
      <c r="H708" s="13"/>
      <c r="I708" s="13"/>
      <c r="J708" s="13">
        <v>133</v>
      </c>
      <c r="K708" s="13">
        <v>183</v>
      </c>
      <c r="L708" s="13">
        <v>34</v>
      </c>
      <c r="M708" s="13"/>
      <c r="N708" s="13">
        <v>161</v>
      </c>
      <c r="O708" s="13">
        <v>37</v>
      </c>
      <c r="P708" s="13">
        <v>15</v>
      </c>
      <c r="Q708" s="13">
        <v>50</v>
      </c>
      <c r="R708" s="13"/>
      <c r="S708" s="13">
        <v>52</v>
      </c>
      <c r="T708" s="13">
        <v>479</v>
      </c>
      <c r="U708" s="13">
        <v>12</v>
      </c>
      <c r="V708" s="13">
        <v>34</v>
      </c>
      <c r="W708" s="13"/>
      <c r="X708" s="13">
        <v>23</v>
      </c>
      <c r="Y708" s="13">
        <v>3</v>
      </c>
      <c r="Z708" s="13"/>
      <c r="AA708" s="13">
        <v>29</v>
      </c>
      <c r="AB708" s="13"/>
      <c r="AC708" s="14">
        <v>250</v>
      </c>
      <c r="AD708" s="14">
        <v>266.42984014209594</v>
      </c>
      <c r="AE708" s="14">
        <v>251.25628140703517</v>
      </c>
      <c r="AF708" s="14"/>
      <c r="AG708" s="15">
        <v>1.0630483847273602</v>
      </c>
      <c r="AH708" s="15">
        <v>1.0630517234419186</v>
      </c>
      <c r="AI708" s="15"/>
      <c r="AJ708" s="41">
        <f t="shared" si="20"/>
        <v>511</v>
      </c>
      <c r="AK708" s="44"/>
      <c r="AL708" s="10"/>
      <c r="AM708" s="10"/>
    </row>
    <row r="709" spans="1:39" s="16" customFormat="1" ht="19" customHeight="1">
      <c r="A709" s="9" t="s">
        <v>770</v>
      </c>
      <c r="B709" s="10" t="s">
        <v>140</v>
      </c>
      <c r="C709" s="10"/>
      <c r="D709" s="10"/>
      <c r="E709" s="20" t="s">
        <v>141</v>
      </c>
      <c r="F709" s="20" t="s">
        <v>249</v>
      </c>
      <c r="G709" s="12" t="s">
        <v>1372</v>
      </c>
      <c r="H709" s="13"/>
      <c r="I709" s="13"/>
      <c r="J709" s="13">
        <v>117</v>
      </c>
      <c r="K709" s="13">
        <v>174</v>
      </c>
      <c r="L709" s="13">
        <v>28</v>
      </c>
      <c r="M709" s="13"/>
      <c r="N709" s="13">
        <v>121</v>
      </c>
      <c r="O709" s="13">
        <v>26</v>
      </c>
      <c r="P709" s="13">
        <v>13</v>
      </c>
      <c r="Q709" s="13">
        <v>32</v>
      </c>
      <c r="R709" s="13"/>
      <c r="S709" s="13">
        <v>34</v>
      </c>
      <c r="T709" s="13">
        <v>306</v>
      </c>
      <c r="U709" s="13">
        <v>8</v>
      </c>
      <c r="V709" s="13">
        <v>23</v>
      </c>
      <c r="W709" s="13"/>
      <c r="X709" s="13">
        <v>16</v>
      </c>
      <c r="Y709" s="13">
        <v>2</v>
      </c>
      <c r="Z709" s="13"/>
      <c r="AA709" s="13">
        <v>25</v>
      </c>
      <c r="AB709" s="13"/>
      <c r="AC709" s="14">
        <v>175.67567567567568</v>
      </c>
      <c r="AD709" s="14">
        <v>230.90586145648314</v>
      </c>
      <c r="AE709" s="14">
        <v>160.8040201005025</v>
      </c>
      <c r="AF709" s="14"/>
      <c r="AG709" s="15">
        <v>1.3724802081970418</v>
      </c>
      <c r="AH709" s="15">
        <v>1.3738227068375579</v>
      </c>
      <c r="AI709" s="15"/>
      <c r="AJ709" s="41">
        <f t="shared" si="20"/>
        <v>440</v>
      </c>
      <c r="AK709" s="44"/>
      <c r="AL709" s="10"/>
      <c r="AM709" s="10"/>
    </row>
    <row r="710" spans="1:39" s="16" customFormat="1" ht="19" customHeight="1">
      <c r="A710" s="9" t="s">
        <v>771</v>
      </c>
      <c r="B710" s="10" t="s">
        <v>140</v>
      </c>
      <c r="C710" s="10"/>
      <c r="D710" s="10"/>
      <c r="E710" s="20" t="s">
        <v>141</v>
      </c>
      <c r="F710" s="20" t="s">
        <v>249</v>
      </c>
      <c r="G710" s="12" t="s">
        <v>1372</v>
      </c>
      <c r="H710" s="13"/>
      <c r="I710" s="13"/>
      <c r="J710" s="13">
        <v>143</v>
      </c>
      <c r="K710" s="13">
        <v>221</v>
      </c>
      <c r="L710" s="13">
        <v>36</v>
      </c>
      <c r="M710" s="13"/>
      <c r="N710" s="13">
        <v>152</v>
      </c>
      <c r="O710" s="13">
        <v>33</v>
      </c>
      <c r="P710" s="13">
        <v>17</v>
      </c>
      <c r="Q710" s="13">
        <v>41</v>
      </c>
      <c r="R710" s="13"/>
      <c r="S710" s="13">
        <v>45</v>
      </c>
      <c r="T710" s="13">
        <v>412</v>
      </c>
      <c r="U710" s="13">
        <v>11</v>
      </c>
      <c r="V710" s="13">
        <v>30</v>
      </c>
      <c r="W710" s="13"/>
      <c r="X710" s="13">
        <v>22</v>
      </c>
      <c r="Y710" s="13">
        <v>3</v>
      </c>
      <c r="Z710" s="13"/>
      <c r="AA710" s="13">
        <v>24</v>
      </c>
      <c r="AB710" s="13"/>
      <c r="AC710" s="14">
        <v>222.972972972973</v>
      </c>
      <c r="AD710" s="14">
        <v>301.95381882770874</v>
      </c>
      <c r="AE710" s="14">
        <v>206.03015075376882</v>
      </c>
      <c r="AF710" s="14"/>
      <c r="AG710" s="15">
        <v>1.4076998610389677</v>
      </c>
      <c r="AH710" s="15">
        <v>1.4087989657575029</v>
      </c>
      <c r="AI710" s="15"/>
      <c r="AJ710" s="41">
        <f t="shared" ref="AJ710:AJ773" si="22">J710+K710+L710+N710</f>
        <v>552</v>
      </c>
      <c r="AK710" s="44"/>
      <c r="AL710" s="10"/>
      <c r="AM710" s="10"/>
    </row>
    <row r="711" spans="1:39" s="16" customFormat="1" ht="19" customHeight="1">
      <c r="A711" s="9" t="s">
        <v>772</v>
      </c>
      <c r="B711" s="10" t="s">
        <v>140</v>
      </c>
      <c r="C711" s="10"/>
      <c r="D711" s="10"/>
      <c r="E711" s="20" t="s">
        <v>141</v>
      </c>
      <c r="F711" s="20" t="s">
        <v>249</v>
      </c>
      <c r="G711" s="12" t="s">
        <v>1372</v>
      </c>
      <c r="H711" s="13"/>
      <c r="I711" s="13"/>
      <c r="J711" s="13">
        <v>159</v>
      </c>
      <c r="K711" s="13">
        <v>217</v>
      </c>
      <c r="L711" s="13">
        <v>38</v>
      </c>
      <c r="M711" s="13"/>
      <c r="N711" s="13">
        <v>162</v>
      </c>
      <c r="O711" s="13">
        <v>37</v>
      </c>
      <c r="P711" s="13">
        <v>17</v>
      </c>
      <c r="Q711" s="13">
        <v>47</v>
      </c>
      <c r="R711" s="13"/>
      <c r="S711" s="13">
        <v>47</v>
      </c>
      <c r="T711" s="13">
        <v>442</v>
      </c>
      <c r="U711" s="13">
        <v>11</v>
      </c>
      <c r="V711" s="13">
        <v>31</v>
      </c>
      <c r="W711" s="13"/>
      <c r="X711" s="13">
        <v>21</v>
      </c>
      <c r="Y711" s="13">
        <v>2</v>
      </c>
      <c r="Z711" s="13"/>
      <c r="AA711" s="13">
        <v>29</v>
      </c>
      <c r="AB711" s="13"/>
      <c r="AC711" s="14">
        <v>250</v>
      </c>
      <c r="AD711" s="14">
        <v>301.95381882770874</v>
      </c>
      <c r="AE711" s="14">
        <v>236.18090452261305</v>
      </c>
      <c r="AF711" s="14"/>
      <c r="AG711" s="15">
        <v>1.2421459420509362</v>
      </c>
      <c r="AH711" s="15">
        <v>1.2426480178873582</v>
      </c>
      <c r="AI711" s="15"/>
      <c r="AJ711" s="41">
        <f t="shared" si="22"/>
        <v>576</v>
      </c>
      <c r="AK711" s="44"/>
      <c r="AL711" s="10"/>
      <c r="AM711" s="10"/>
    </row>
    <row r="712" spans="1:39" s="16" customFormat="1" ht="19" customHeight="1">
      <c r="A712" s="9" t="s">
        <v>773</v>
      </c>
      <c r="B712" s="10" t="s">
        <v>140</v>
      </c>
      <c r="C712" s="10"/>
      <c r="D712" s="10"/>
      <c r="E712" s="20" t="s">
        <v>141</v>
      </c>
      <c r="F712" s="20" t="s">
        <v>249</v>
      </c>
      <c r="G712" s="12" t="s">
        <v>1372</v>
      </c>
      <c r="H712" s="13"/>
      <c r="I712" s="13"/>
      <c r="J712" s="13">
        <v>127</v>
      </c>
      <c r="K712" s="13">
        <v>190</v>
      </c>
      <c r="L712" s="13">
        <v>33</v>
      </c>
      <c r="M712" s="13"/>
      <c r="N712" s="13">
        <v>142</v>
      </c>
      <c r="O712" s="13">
        <v>32</v>
      </c>
      <c r="P712" s="13">
        <v>17</v>
      </c>
      <c r="Q712" s="13">
        <v>43</v>
      </c>
      <c r="R712" s="13"/>
      <c r="S712" s="13">
        <v>44</v>
      </c>
      <c r="T712" s="13">
        <v>375</v>
      </c>
      <c r="U712" s="13">
        <v>10</v>
      </c>
      <c r="V712" s="13">
        <v>28</v>
      </c>
      <c r="W712" s="13"/>
      <c r="X712" s="13">
        <v>19</v>
      </c>
      <c r="Y712" s="13">
        <v>2</v>
      </c>
      <c r="Z712" s="13"/>
      <c r="AA712" s="13">
        <v>24</v>
      </c>
      <c r="AB712" s="13"/>
      <c r="AC712" s="14">
        <v>216.21621621621622</v>
      </c>
      <c r="AD712" s="14">
        <v>301.95381882770874</v>
      </c>
      <c r="AE712" s="14">
        <v>216.08040201005025</v>
      </c>
      <c r="AF712" s="14"/>
      <c r="AG712" s="15">
        <v>1.3969751605582279</v>
      </c>
      <c r="AH712" s="15">
        <v>1.3969752295004763</v>
      </c>
      <c r="AI712" s="15"/>
      <c r="AJ712" s="41">
        <f t="shared" si="22"/>
        <v>492</v>
      </c>
      <c r="AK712" s="44"/>
      <c r="AL712" s="10"/>
      <c r="AM712" s="10"/>
    </row>
    <row r="713" spans="1:39" s="16" customFormat="1" ht="19" customHeight="1">
      <c r="A713" s="9" t="s">
        <v>774</v>
      </c>
      <c r="B713" s="10" t="s">
        <v>140</v>
      </c>
      <c r="C713" s="10"/>
      <c r="D713" s="10"/>
      <c r="E713" s="20" t="s">
        <v>141</v>
      </c>
      <c r="F713" s="20" t="s">
        <v>249</v>
      </c>
      <c r="G713" s="12" t="s">
        <v>1372</v>
      </c>
      <c r="H713" s="13"/>
      <c r="I713" s="13"/>
      <c r="J713" s="13">
        <v>126</v>
      </c>
      <c r="K713" s="13">
        <v>167</v>
      </c>
      <c r="L713" s="13">
        <v>29</v>
      </c>
      <c r="M713" s="13"/>
      <c r="N713" s="13">
        <v>132</v>
      </c>
      <c r="O713" s="13">
        <v>30</v>
      </c>
      <c r="P713" s="13">
        <v>15</v>
      </c>
      <c r="Q713" s="13">
        <v>38</v>
      </c>
      <c r="R713" s="13"/>
      <c r="S713" s="13">
        <v>37</v>
      </c>
      <c r="T713" s="13">
        <v>281</v>
      </c>
      <c r="U713" s="13">
        <v>8</v>
      </c>
      <c r="V713" s="13">
        <v>23</v>
      </c>
      <c r="W713" s="13"/>
      <c r="X713" s="13">
        <v>14</v>
      </c>
      <c r="Y713" s="13">
        <v>2</v>
      </c>
      <c r="Z713" s="13"/>
      <c r="AA713" s="13">
        <v>35</v>
      </c>
      <c r="AB713" s="13"/>
      <c r="AC713" s="14">
        <v>202.70270270270271</v>
      </c>
      <c r="AD713" s="14">
        <v>266.42984014209594</v>
      </c>
      <c r="AE713" s="14">
        <v>190.95477386934672</v>
      </c>
      <c r="AF713" s="14"/>
      <c r="AG713" s="15">
        <v>1.3536124981654323</v>
      </c>
      <c r="AH713" s="15">
        <v>1.3542156687766909</v>
      </c>
      <c r="AI713" s="15"/>
      <c r="AJ713" s="41">
        <f t="shared" si="22"/>
        <v>454</v>
      </c>
      <c r="AK713" s="44"/>
      <c r="AL713" s="10"/>
      <c r="AM713" s="10"/>
    </row>
    <row r="714" spans="1:39" s="16" customFormat="1" ht="19" customHeight="1">
      <c r="A714" s="9" t="s">
        <v>775</v>
      </c>
      <c r="B714" s="10" t="s">
        <v>140</v>
      </c>
      <c r="C714" s="10"/>
      <c r="D714" s="10"/>
      <c r="E714" s="20" t="s">
        <v>141</v>
      </c>
      <c r="F714" s="20" t="s">
        <v>249</v>
      </c>
      <c r="G714" s="12" t="s">
        <v>1372</v>
      </c>
      <c r="H714" s="13"/>
      <c r="I714" s="13"/>
      <c r="J714" s="13">
        <v>107</v>
      </c>
      <c r="K714" s="13">
        <v>164</v>
      </c>
      <c r="L714" s="13">
        <v>28</v>
      </c>
      <c r="M714" s="13"/>
      <c r="N714" s="13">
        <v>117</v>
      </c>
      <c r="O714" s="13">
        <v>28</v>
      </c>
      <c r="P714" s="13">
        <v>15</v>
      </c>
      <c r="Q714" s="13">
        <v>35</v>
      </c>
      <c r="R714" s="13"/>
      <c r="S714" s="13">
        <v>35</v>
      </c>
      <c r="T714" s="13">
        <v>298</v>
      </c>
      <c r="U714" s="13">
        <v>8</v>
      </c>
      <c r="V714" s="13">
        <v>22</v>
      </c>
      <c r="W714" s="13"/>
      <c r="X714" s="13">
        <v>15</v>
      </c>
      <c r="Y714" s="13">
        <v>2</v>
      </c>
      <c r="Z714" s="13"/>
      <c r="AA714" s="13">
        <v>32</v>
      </c>
      <c r="AB714" s="13"/>
      <c r="AC714" s="14">
        <v>189.18918918918919</v>
      </c>
      <c r="AD714" s="14">
        <v>266.42984014209594</v>
      </c>
      <c r="AE714" s="14">
        <v>175.87939698492463</v>
      </c>
      <c r="AF714" s="14"/>
      <c r="AG714" s="15">
        <v>1.4596152626236998</v>
      </c>
      <c r="AH714" s="15">
        <v>1.4605862984162097</v>
      </c>
      <c r="AI714" s="15"/>
      <c r="AJ714" s="41">
        <f t="shared" si="22"/>
        <v>416</v>
      </c>
      <c r="AK714" s="44"/>
      <c r="AL714" s="10"/>
      <c r="AM714" s="10"/>
    </row>
    <row r="715" spans="1:39" s="16" customFormat="1" ht="19" customHeight="1">
      <c r="A715" s="9" t="s">
        <v>776</v>
      </c>
      <c r="B715" s="10" t="s">
        <v>140</v>
      </c>
      <c r="C715" s="10"/>
      <c r="D715" s="10"/>
      <c r="E715" s="20" t="s">
        <v>141</v>
      </c>
      <c r="F715" s="20" t="s">
        <v>249</v>
      </c>
      <c r="G715" s="12" t="s">
        <v>1372</v>
      </c>
      <c r="H715" s="13"/>
      <c r="I715" s="13"/>
      <c r="J715" s="13">
        <v>115</v>
      </c>
      <c r="K715" s="13">
        <v>171</v>
      </c>
      <c r="L715" s="13">
        <v>28</v>
      </c>
      <c r="M715" s="13"/>
      <c r="N715" s="13">
        <v>126</v>
      </c>
      <c r="O715" s="13">
        <v>27</v>
      </c>
      <c r="P715" s="13">
        <v>15</v>
      </c>
      <c r="Q715" s="13">
        <v>37</v>
      </c>
      <c r="R715" s="13"/>
      <c r="S715" s="13">
        <v>36</v>
      </c>
      <c r="T715" s="13">
        <v>293</v>
      </c>
      <c r="U715" s="13">
        <v>8</v>
      </c>
      <c r="V715" s="13">
        <v>23</v>
      </c>
      <c r="W715" s="13"/>
      <c r="X715" s="13">
        <v>15</v>
      </c>
      <c r="Y715" s="13">
        <v>2</v>
      </c>
      <c r="Z715" s="13"/>
      <c r="AA715" s="13">
        <v>36</v>
      </c>
      <c r="AB715" s="13"/>
      <c r="AC715" s="14">
        <v>182.43243243243245</v>
      </c>
      <c r="AD715" s="14">
        <v>266.42984014209594</v>
      </c>
      <c r="AE715" s="14">
        <v>185.92964824120602</v>
      </c>
      <c r="AF715" s="14"/>
      <c r="AG715" s="15">
        <v>1.4465649648566705</v>
      </c>
      <c r="AH715" s="15">
        <v>1.4466301625660885</v>
      </c>
      <c r="AI715" s="15"/>
      <c r="AJ715" s="41">
        <f t="shared" si="22"/>
        <v>440</v>
      </c>
      <c r="AK715" s="44"/>
      <c r="AL715" s="10"/>
      <c r="AM715" s="10"/>
    </row>
    <row r="716" spans="1:39" s="16" customFormat="1" ht="19" customHeight="1">
      <c r="A716" s="9" t="s">
        <v>777</v>
      </c>
      <c r="B716" s="10" t="s">
        <v>140</v>
      </c>
      <c r="C716" s="10"/>
      <c r="D716" s="10"/>
      <c r="E716" s="20" t="s">
        <v>141</v>
      </c>
      <c r="F716" s="20" t="s">
        <v>249</v>
      </c>
      <c r="G716" s="12" t="s">
        <v>1372</v>
      </c>
      <c r="H716" s="13"/>
      <c r="I716" s="13"/>
      <c r="J716" s="13">
        <v>108</v>
      </c>
      <c r="K716" s="13">
        <v>164</v>
      </c>
      <c r="L716" s="13">
        <v>28</v>
      </c>
      <c r="M716" s="13"/>
      <c r="N716" s="13">
        <v>118</v>
      </c>
      <c r="O716" s="13">
        <v>27</v>
      </c>
      <c r="P716" s="13">
        <v>15</v>
      </c>
      <c r="Q716" s="13">
        <v>35</v>
      </c>
      <c r="R716" s="13"/>
      <c r="S716" s="13">
        <v>36</v>
      </c>
      <c r="T716" s="13">
        <v>272</v>
      </c>
      <c r="U716" s="13">
        <v>8</v>
      </c>
      <c r="V716" s="13">
        <v>22</v>
      </c>
      <c r="W716" s="13"/>
      <c r="X716" s="13">
        <v>15</v>
      </c>
      <c r="Y716" s="13">
        <v>2</v>
      </c>
      <c r="Z716" s="13"/>
      <c r="AA716" s="13">
        <v>37</v>
      </c>
      <c r="AB716" s="13"/>
      <c r="AC716" s="14">
        <v>182.43243243243245</v>
      </c>
      <c r="AD716" s="14">
        <v>266.42984014209594</v>
      </c>
      <c r="AE716" s="14">
        <v>175.87939698492463</v>
      </c>
      <c r="AF716" s="14"/>
      <c r="AG716" s="15">
        <v>1.4871395151833617</v>
      </c>
      <c r="AH716" s="15">
        <v>1.4873882825572533</v>
      </c>
      <c r="AI716" s="15"/>
      <c r="AJ716" s="41">
        <f t="shared" si="22"/>
        <v>418</v>
      </c>
      <c r="AK716" s="44"/>
      <c r="AL716" s="10"/>
      <c r="AM716" s="10"/>
    </row>
    <row r="717" spans="1:39" s="16" customFormat="1" ht="19" customHeight="1">
      <c r="A717" s="9" t="s">
        <v>778</v>
      </c>
      <c r="B717" s="10" t="s">
        <v>140</v>
      </c>
      <c r="C717" s="10"/>
      <c r="D717" s="10"/>
      <c r="E717" s="20" t="s">
        <v>141</v>
      </c>
      <c r="F717" s="20" t="s">
        <v>249</v>
      </c>
      <c r="G717" s="12" t="s">
        <v>1372</v>
      </c>
      <c r="H717" s="13"/>
      <c r="I717" s="13"/>
      <c r="J717" s="13">
        <v>97</v>
      </c>
      <c r="K717" s="13">
        <v>143</v>
      </c>
      <c r="L717" s="13">
        <v>26</v>
      </c>
      <c r="M717" s="13"/>
      <c r="N717" s="13">
        <v>116</v>
      </c>
      <c r="O717" s="13">
        <v>26</v>
      </c>
      <c r="P717" s="13">
        <v>16</v>
      </c>
      <c r="Q717" s="13">
        <v>33</v>
      </c>
      <c r="R717" s="13"/>
      <c r="S717" s="13">
        <v>35</v>
      </c>
      <c r="T717" s="13">
        <v>233</v>
      </c>
      <c r="U717" s="13">
        <v>8</v>
      </c>
      <c r="V717" s="13">
        <v>20</v>
      </c>
      <c r="W717" s="13"/>
      <c r="X717" s="13">
        <v>13</v>
      </c>
      <c r="Y717" s="13">
        <v>2</v>
      </c>
      <c r="Z717" s="13"/>
      <c r="AA717" s="13">
        <v>26</v>
      </c>
      <c r="AB717" s="13"/>
      <c r="AC717" s="14">
        <v>175.67567567567568</v>
      </c>
      <c r="AD717" s="14">
        <v>284.19182948490231</v>
      </c>
      <c r="AE717" s="14">
        <v>165.8291457286432</v>
      </c>
      <c r="AF717" s="14"/>
      <c r="AG717" s="15">
        <v>1.664350320538744</v>
      </c>
      <c r="AH717" s="15">
        <v>1.6650425632088395</v>
      </c>
      <c r="AI717" s="15"/>
      <c r="AJ717" s="41">
        <f t="shared" si="22"/>
        <v>382</v>
      </c>
      <c r="AK717" s="44"/>
      <c r="AL717" s="10"/>
      <c r="AM717" s="10"/>
    </row>
    <row r="718" spans="1:39" s="16" customFormat="1" ht="19" customHeight="1">
      <c r="A718" s="9" t="s">
        <v>779</v>
      </c>
      <c r="B718" s="10" t="s">
        <v>140</v>
      </c>
      <c r="C718" s="10"/>
      <c r="D718" s="10"/>
      <c r="E718" s="20" t="s">
        <v>141</v>
      </c>
      <c r="F718" s="20" t="s">
        <v>249</v>
      </c>
      <c r="G718" s="12" t="s">
        <v>1372</v>
      </c>
      <c r="H718" s="13"/>
      <c r="I718" s="13"/>
      <c r="J718" s="13">
        <v>100</v>
      </c>
      <c r="K718" s="13">
        <v>166</v>
      </c>
      <c r="L718" s="13">
        <v>28</v>
      </c>
      <c r="M718" s="13"/>
      <c r="N718" s="13">
        <v>131</v>
      </c>
      <c r="O718" s="13">
        <v>29</v>
      </c>
      <c r="P718" s="13">
        <v>16</v>
      </c>
      <c r="Q718" s="13">
        <v>36</v>
      </c>
      <c r="R718" s="13"/>
      <c r="S718" s="13">
        <v>41</v>
      </c>
      <c r="T718" s="13">
        <v>341</v>
      </c>
      <c r="U718" s="13">
        <v>10</v>
      </c>
      <c r="V718" s="13">
        <v>31</v>
      </c>
      <c r="W718" s="13"/>
      <c r="X718" s="13">
        <v>29</v>
      </c>
      <c r="Y718" s="13">
        <v>4</v>
      </c>
      <c r="Z718" s="13"/>
      <c r="AA718" s="13">
        <v>27</v>
      </c>
      <c r="AB718" s="13"/>
      <c r="AC718" s="14">
        <v>195.94594594594597</v>
      </c>
      <c r="AD718" s="14">
        <v>284.19182948490231</v>
      </c>
      <c r="AE718" s="14">
        <v>180.90452261306532</v>
      </c>
      <c r="AF718" s="14"/>
      <c r="AG718" s="15">
        <v>1.5082471865914664</v>
      </c>
      <c r="AH718" s="15">
        <v>1.5094500091349399</v>
      </c>
      <c r="AI718" s="15"/>
      <c r="AJ718" s="41">
        <f t="shared" si="22"/>
        <v>425</v>
      </c>
      <c r="AK718" s="44"/>
      <c r="AL718" s="10"/>
      <c r="AM718" s="10"/>
    </row>
    <row r="719" spans="1:39" s="16" customFormat="1" ht="19" customHeight="1">
      <c r="A719" s="9" t="s">
        <v>780</v>
      </c>
      <c r="B719" s="10" t="s">
        <v>140</v>
      </c>
      <c r="C719" s="10"/>
      <c r="D719" s="10"/>
      <c r="E719" s="20" t="s">
        <v>141</v>
      </c>
      <c r="F719" s="20" t="s">
        <v>249</v>
      </c>
      <c r="G719" s="12" t="s">
        <v>1372</v>
      </c>
      <c r="H719" s="13"/>
      <c r="I719" s="13"/>
      <c r="J719" s="13">
        <v>93</v>
      </c>
      <c r="K719" s="13">
        <v>135</v>
      </c>
      <c r="L719" s="13">
        <v>24</v>
      </c>
      <c r="M719" s="13"/>
      <c r="N719" s="13">
        <v>115</v>
      </c>
      <c r="O719" s="13">
        <v>28</v>
      </c>
      <c r="P719" s="13">
        <v>14</v>
      </c>
      <c r="Q719" s="13">
        <v>38</v>
      </c>
      <c r="R719" s="13"/>
      <c r="S719" s="13">
        <v>39</v>
      </c>
      <c r="T719" s="13">
        <v>383</v>
      </c>
      <c r="U719" s="13">
        <v>8</v>
      </c>
      <c r="V719" s="13">
        <v>25</v>
      </c>
      <c r="W719" s="13"/>
      <c r="X719" s="13">
        <v>17</v>
      </c>
      <c r="Y719" s="13">
        <v>2</v>
      </c>
      <c r="Z719" s="13"/>
      <c r="AA719" s="13">
        <v>28</v>
      </c>
      <c r="AB719" s="13"/>
      <c r="AC719" s="14">
        <v>189.18918918918919</v>
      </c>
      <c r="AD719" s="14">
        <v>248.66785079928954</v>
      </c>
      <c r="AE719" s="14">
        <v>190.95477386934672</v>
      </c>
      <c r="AF719" s="14"/>
      <c r="AG719" s="15">
        <v>1.3082825190676448</v>
      </c>
      <c r="AH719" s="15">
        <v>1.3082966301223944</v>
      </c>
      <c r="AI719" s="15"/>
      <c r="AJ719" s="41">
        <f t="shared" si="22"/>
        <v>367</v>
      </c>
      <c r="AK719" s="44"/>
      <c r="AL719" s="10"/>
      <c r="AM719" s="10"/>
    </row>
    <row r="720" spans="1:39" s="16" customFormat="1" ht="19" customHeight="1">
      <c r="A720" s="9" t="s">
        <v>781</v>
      </c>
      <c r="B720" s="10" t="s">
        <v>140</v>
      </c>
      <c r="C720" s="10"/>
      <c r="D720" s="10"/>
      <c r="E720" s="20" t="s">
        <v>141</v>
      </c>
      <c r="F720" s="20" t="s">
        <v>249</v>
      </c>
      <c r="G720" s="12" t="s">
        <v>1372</v>
      </c>
      <c r="H720" s="13"/>
      <c r="I720" s="13"/>
      <c r="J720" s="13">
        <v>104</v>
      </c>
      <c r="K720" s="13">
        <v>152</v>
      </c>
      <c r="L720" s="13">
        <v>26</v>
      </c>
      <c r="M720" s="13"/>
      <c r="N720" s="13">
        <v>119</v>
      </c>
      <c r="O720" s="13">
        <v>28</v>
      </c>
      <c r="P720" s="13">
        <v>14</v>
      </c>
      <c r="Q720" s="13">
        <v>35</v>
      </c>
      <c r="R720" s="13"/>
      <c r="S720" s="13">
        <v>35</v>
      </c>
      <c r="T720" s="13">
        <v>325</v>
      </c>
      <c r="U720" s="13">
        <v>8</v>
      </c>
      <c r="V720" s="13">
        <v>22</v>
      </c>
      <c r="W720" s="13"/>
      <c r="X720" s="13">
        <v>15</v>
      </c>
      <c r="Y720" s="13">
        <v>2</v>
      </c>
      <c r="Z720" s="13"/>
      <c r="AA720" s="13">
        <v>34</v>
      </c>
      <c r="AB720" s="13"/>
      <c r="AC720" s="14">
        <v>189.18918918918919</v>
      </c>
      <c r="AD720" s="14">
        <v>248.66785079928954</v>
      </c>
      <c r="AE720" s="14">
        <v>175.87939698492463</v>
      </c>
      <c r="AF720" s="14"/>
      <c r="AG720" s="15">
        <v>1.3623075784487864</v>
      </c>
      <c r="AH720" s="15">
        <v>1.3632138785217958</v>
      </c>
      <c r="AI720" s="15"/>
      <c r="AJ720" s="41">
        <f t="shared" si="22"/>
        <v>401</v>
      </c>
      <c r="AK720" s="44"/>
      <c r="AL720" s="10"/>
      <c r="AM720" s="10"/>
    </row>
    <row r="721" spans="1:39" s="16" customFormat="1" ht="19" customHeight="1">
      <c r="A721" s="9" t="s">
        <v>782</v>
      </c>
      <c r="B721" s="10" t="s">
        <v>140</v>
      </c>
      <c r="C721" s="10"/>
      <c r="D721" s="10"/>
      <c r="E721" s="20" t="s">
        <v>141</v>
      </c>
      <c r="F721" s="20" t="s">
        <v>249</v>
      </c>
      <c r="G721" s="12" t="s">
        <v>1372</v>
      </c>
      <c r="H721" s="13"/>
      <c r="I721" s="13"/>
      <c r="J721" s="13">
        <v>126</v>
      </c>
      <c r="K721" s="13">
        <v>177</v>
      </c>
      <c r="L721" s="13">
        <v>35</v>
      </c>
      <c r="M721" s="13"/>
      <c r="N721" s="13">
        <v>153</v>
      </c>
      <c r="O721" s="13">
        <v>34</v>
      </c>
      <c r="P721" s="13">
        <v>17</v>
      </c>
      <c r="Q721" s="13">
        <v>45</v>
      </c>
      <c r="R721" s="13"/>
      <c r="S721" s="13">
        <v>46</v>
      </c>
      <c r="T721" s="13">
        <v>348</v>
      </c>
      <c r="U721" s="13">
        <v>10</v>
      </c>
      <c r="V721" s="13">
        <v>29</v>
      </c>
      <c r="W721" s="13"/>
      <c r="X721" s="13">
        <v>20</v>
      </c>
      <c r="Y721" s="13">
        <v>2</v>
      </c>
      <c r="Z721" s="13"/>
      <c r="AA721" s="13">
        <v>33</v>
      </c>
      <c r="AB721" s="13"/>
      <c r="AC721" s="14">
        <v>229.72972972972974</v>
      </c>
      <c r="AD721" s="14">
        <v>301.95381882770874</v>
      </c>
      <c r="AE721" s="14">
        <v>226.13065326633165</v>
      </c>
      <c r="AF721" s="14"/>
      <c r="AG721" s="15">
        <v>1.3247644677660775</v>
      </c>
      <c r="AH721" s="15">
        <v>1.3248057580076793</v>
      </c>
      <c r="AI721" s="15"/>
      <c r="AJ721" s="41">
        <f t="shared" si="22"/>
        <v>491</v>
      </c>
      <c r="AK721" s="44"/>
      <c r="AL721" s="10"/>
      <c r="AM721" s="10"/>
    </row>
    <row r="722" spans="1:39" s="16" customFormat="1" ht="19" customHeight="1">
      <c r="A722" s="9" t="s">
        <v>783</v>
      </c>
      <c r="B722" s="10" t="s">
        <v>140</v>
      </c>
      <c r="C722" s="10"/>
      <c r="D722" s="10"/>
      <c r="E722" s="20" t="s">
        <v>141</v>
      </c>
      <c r="F722" s="20" t="s">
        <v>249</v>
      </c>
      <c r="G722" s="12" t="s">
        <v>1372</v>
      </c>
      <c r="H722" s="13"/>
      <c r="I722" s="13"/>
      <c r="J722" s="13">
        <v>126</v>
      </c>
      <c r="K722" s="13">
        <v>172</v>
      </c>
      <c r="L722" s="13">
        <v>30</v>
      </c>
      <c r="M722" s="13"/>
      <c r="N722" s="13">
        <v>148</v>
      </c>
      <c r="O722" s="13">
        <v>35</v>
      </c>
      <c r="P722" s="13">
        <v>18</v>
      </c>
      <c r="Q722" s="13">
        <v>50</v>
      </c>
      <c r="R722" s="13"/>
      <c r="S722" s="13">
        <v>51</v>
      </c>
      <c r="T722" s="13">
        <v>381</v>
      </c>
      <c r="U722" s="13">
        <v>11</v>
      </c>
      <c r="V722" s="13">
        <v>31</v>
      </c>
      <c r="W722" s="13"/>
      <c r="X722" s="13">
        <v>21</v>
      </c>
      <c r="Y722" s="13">
        <v>3</v>
      </c>
      <c r="Z722" s="13"/>
      <c r="AA722" s="13">
        <v>31</v>
      </c>
      <c r="AB722" s="13"/>
      <c r="AC722" s="14">
        <v>236.48648648648648</v>
      </c>
      <c r="AD722" s="14">
        <v>319.71580817051512</v>
      </c>
      <c r="AE722" s="14">
        <v>251.25628140703517</v>
      </c>
      <c r="AF722" s="14"/>
      <c r="AG722" s="15">
        <v>1.3110017378681533</v>
      </c>
      <c r="AH722" s="15">
        <v>1.3116032429975564</v>
      </c>
      <c r="AI722" s="15"/>
      <c r="AJ722" s="41">
        <f t="shared" si="22"/>
        <v>476</v>
      </c>
      <c r="AK722" s="44"/>
      <c r="AL722" s="10"/>
      <c r="AM722" s="10"/>
    </row>
    <row r="723" spans="1:39" s="16" customFormat="1" ht="19" customHeight="1">
      <c r="A723" s="9" t="s">
        <v>784</v>
      </c>
      <c r="B723" s="10" t="s">
        <v>140</v>
      </c>
      <c r="C723" s="10"/>
      <c r="D723" s="10"/>
      <c r="E723" s="20" t="s">
        <v>141</v>
      </c>
      <c r="F723" s="20" t="s">
        <v>249</v>
      </c>
      <c r="G723" s="12" t="s">
        <v>1372</v>
      </c>
      <c r="H723" s="13"/>
      <c r="I723" s="13"/>
      <c r="J723" s="13">
        <v>136</v>
      </c>
      <c r="K723" s="13">
        <v>184</v>
      </c>
      <c r="L723" s="13">
        <v>33</v>
      </c>
      <c r="M723" s="13"/>
      <c r="N723" s="13">
        <v>164</v>
      </c>
      <c r="O723" s="13">
        <v>37</v>
      </c>
      <c r="P723" s="13">
        <v>18</v>
      </c>
      <c r="Q723" s="13">
        <v>48</v>
      </c>
      <c r="R723" s="13"/>
      <c r="S723" s="13">
        <v>49</v>
      </c>
      <c r="T723" s="13">
        <v>415</v>
      </c>
      <c r="U723" s="13">
        <v>11</v>
      </c>
      <c r="V723" s="13">
        <v>30</v>
      </c>
      <c r="W723" s="13"/>
      <c r="X723" s="13">
        <v>20</v>
      </c>
      <c r="Y723" s="13">
        <v>2</v>
      </c>
      <c r="Z723" s="13"/>
      <c r="AA723" s="13">
        <v>27</v>
      </c>
      <c r="AB723" s="13"/>
      <c r="AC723" s="14">
        <v>250</v>
      </c>
      <c r="AD723" s="14">
        <v>319.71580817051512</v>
      </c>
      <c r="AE723" s="14">
        <v>241.20603015075375</v>
      </c>
      <c r="AF723" s="14"/>
      <c r="AG723" s="15">
        <v>1.3017584823720207</v>
      </c>
      <c r="AH723" s="15">
        <v>1.3019671463094797</v>
      </c>
      <c r="AI723" s="15"/>
      <c r="AJ723" s="41">
        <f t="shared" si="22"/>
        <v>517</v>
      </c>
      <c r="AK723" s="44"/>
      <c r="AL723" s="10"/>
      <c r="AM723" s="10"/>
    </row>
    <row r="724" spans="1:39" s="16" customFormat="1" ht="19" customHeight="1">
      <c r="A724" s="9" t="s">
        <v>785</v>
      </c>
      <c r="B724" s="10" t="s">
        <v>140</v>
      </c>
      <c r="C724" s="10"/>
      <c r="D724" s="10"/>
      <c r="E724" s="20" t="s">
        <v>141</v>
      </c>
      <c r="F724" s="20" t="s">
        <v>249</v>
      </c>
      <c r="G724" s="12" t="s">
        <v>1372</v>
      </c>
      <c r="H724" s="13"/>
      <c r="I724" s="13"/>
      <c r="J724" s="13">
        <v>123</v>
      </c>
      <c r="K724" s="13">
        <v>190</v>
      </c>
      <c r="L724" s="13">
        <v>31</v>
      </c>
      <c r="M724" s="13"/>
      <c r="N724" s="13">
        <v>129</v>
      </c>
      <c r="O724" s="13">
        <v>28</v>
      </c>
      <c r="P724" s="13">
        <v>15</v>
      </c>
      <c r="Q724" s="13">
        <v>36</v>
      </c>
      <c r="R724" s="13"/>
      <c r="S724" s="13">
        <v>34</v>
      </c>
      <c r="T724" s="13">
        <v>288</v>
      </c>
      <c r="U724" s="13">
        <v>8</v>
      </c>
      <c r="V724" s="13">
        <v>23</v>
      </c>
      <c r="W724" s="13"/>
      <c r="X724" s="13">
        <v>14</v>
      </c>
      <c r="Y724" s="13">
        <v>2</v>
      </c>
      <c r="Z724" s="13"/>
      <c r="AA724" s="13">
        <v>28</v>
      </c>
      <c r="AB724" s="13"/>
      <c r="AC724" s="14">
        <v>189.18918918918919</v>
      </c>
      <c r="AD724" s="14">
        <v>266.42984014209594</v>
      </c>
      <c r="AE724" s="14">
        <v>180.90452261306532</v>
      </c>
      <c r="AF724" s="14"/>
      <c r="AG724" s="15">
        <v>1.4397966333697265</v>
      </c>
      <c r="AH724" s="15">
        <v>1.4401575119220735</v>
      </c>
      <c r="AI724" s="15"/>
      <c r="AJ724" s="41">
        <f t="shared" si="22"/>
        <v>473</v>
      </c>
      <c r="AK724" s="44"/>
      <c r="AL724" s="10"/>
      <c r="AM724" s="10"/>
    </row>
    <row r="725" spans="1:39" s="16" customFormat="1" ht="19" customHeight="1">
      <c r="A725" s="9" t="s">
        <v>786</v>
      </c>
      <c r="B725" s="10" t="s">
        <v>140</v>
      </c>
      <c r="C725" s="10"/>
      <c r="D725" s="10"/>
      <c r="E725" s="20" t="s">
        <v>141</v>
      </c>
      <c r="F725" s="20" t="s">
        <v>249</v>
      </c>
      <c r="G725" s="12" t="s">
        <v>1372</v>
      </c>
      <c r="H725" s="13"/>
      <c r="I725" s="13"/>
      <c r="J725" s="13">
        <v>105</v>
      </c>
      <c r="K725" s="13">
        <v>162</v>
      </c>
      <c r="L725" s="13">
        <v>31</v>
      </c>
      <c r="M725" s="13"/>
      <c r="N725" s="13">
        <v>146</v>
      </c>
      <c r="O725" s="13">
        <v>33</v>
      </c>
      <c r="P725" s="13">
        <v>17</v>
      </c>
      <c r="Q725" s="13">
        <v>46</v>
      </c>
      <c r="R725" s="13"/>
      <c r="S725" s="13">
        <v>53</v>
      </c>
      <c r="T725" s="13">
        <v>525</v>
      </c>
      <c r="U725" s="13">
        <v>11</v>
      </c>
      <c r="V725" s="13">
        <v>36</v>
      </c>
      <c r="W725" s="13"/>
      <c r="X725" s="13">
        <v>31</v>
      </c>
      <c r="Y725" s="13">
        <v>4</v>
      </c>
      <c r="Z725" s="13"/>
      <c r="AA725" s="13">
        <v>26</v>
      </c>
      <c r="AB725" s="13"/>
      <c r="AC725" s="14">
        <v>222.972972972973</v>
      </c>
      <c r="AD725" s="14">
        <v>301.95381882770874</v>
      </c>
      <c r="AE725" s="14">
        <v>231.15577889447235</v>
      </c>
      <c r="AF725" s="14"/>
      <c r="AG725" s="15">
        <v>1.3298159061104566</v>
      </c>
      <c r="AH725" s="15">
        <v>1.3300318365157884</v>
      </c>
      <c r="AI725" s="15"/>
      <c r="AJ725" s="41">
        <f t="shared" si="22"/>
        <v>444</v>
      </c>
      <c r="AK725" s="44"/>
      <c r="AL725" s="10"/>
      <c r="AM725" s="10"/>
    </row>
    <row r="726" spans="1:39" s="16" customFormat="1" ht="19" customHeight="1">
      <c r="A726" s="9" t="s">
        <v>787</v>
      </c>
      <c r="B726" s="10" t="s">
        <v>140</v>
      </c>
      <c r="C726" s="10"/>
      <c r="D726" s="10"/>
      <c r="E726" s="20" t="s">
        <v>141</v>
      </c>
      <c r="F726" s="20" t="s">
        <v>249</v>
      </c>
      <c r="G726" s="12" t="s">
        <v>1372</v>
      </c>
      <c r="H726" s="13"/>
      <c r="I726" s="13"/>
      <c r="J726" s="13">
        <v>124</v>
      </c>
      <c r="K726" s="13">
        <v>179</v>
      </c>
      <c r="L726" s="13">
        <v>31</v>
      </c>
      <c r="M726" s="13"/>
      <c r="N726" s="13">
        <v>150</v>
      </c>
      <c r="O726" s="13">
        <v>34</v>
      </c>
      <c r="P726" s="13">
        <v>17</v>
      </c>
      <c r="Q726" s="13">
        <v>43</v>
      </c>
      <c r="R726" s="13"/>
      <c r="S726" s="13">
        <v>46</v>
      </c>
      <c r="T726" s="13">
        <v>356</v>
      </c>
      <c r="U726" s="13">
        <v>10</v>
      </c>
      <c r="V726" s="13">
        <v>28</v>
      </c>
      <c r="W726" s="13"/>
      <c r="X726" s="13">
        <v>19</v>
      </c>
      <c r="Y726" s="13">
        <v>2</v>
      </c>
      <c r="Z726" s="13"/>
      <c r="AA726" s="13">
        <v>28</v>
      </c>
      <c r="AB726" s="13"/>
      <c r="AC726" s="14">
        <v>229.72972972972974</v>
      </c>
      <c r="AD726" s="14">
        <v>301.95381882770874</v>
      </c>
      <c r="AE726" s="14">
        <v>216.08040201005025</v>
      </c>
      <c r="AF726" s="14"/>
      <c r="AG726" s="15">
        <v>1.3546296834902785</v>
      </c>
      <c r="AH726" s="15">
        <v>1.3552650417886907</v>
      </c>
      <c r="AI726" s="15"/>
      <c r="AJ726" s="41">
        <f t="shared" si="22"/>
        <v>484</v>
      </c>
      <c r="AK726" s="44"/>
      <c r="AL726" s="10"/>
      <c r="AM726" s="10"/>
    </row>
    <row r="727" spans="1:39" s="16" customFormat="1" ht="19" customHeight="1">
      <c r="A727" s="9" t="s">
        <v>788</v>
      </c>
      <c r="B727" s="10" t="s">
        <v>140</v>
      </c>
      <c r="C727" s="10"/>
      <c r="D727" s="10"/>
      <c r="E727" s="20" t="s">
        <v>141</v>
      </c>
      <c r="F727" s="20" t="s">
        <v>249</v>
      </c>
      <c r="G727" s="12" t="s">
        <v>1372</v>
      </c>
      <c r="H727" s="13"/>
      <c r="I727" s="13"/>
      <c r="J727" s="13">
        <v>162</v>
      </c>
      <c r="K727" s="13">
        <v>211</v>
      </c>
      <c r="L727" s="13">
        <v>37</v>
      </c>
      <c r="M727" s="13"/>
      <c r="N727" s="13">
        <v>173</v>
      </c>
      <c r="O727" s="13">
        <v>39</v>
      </c>
      <c r="P727" s="13">
        <v>19</v>
      </c>
      <c r="Q727" s="13">
        <v>51</v>
      </c>
      <c r="R727" s="13"/>
      <c r="S727" s="13">
        <v>56</v>
      </c>
      <c r="T727" s="13">
        <v>497</v>
      </c>
      <c r="U727" s="13">
        <v>12</v>
      </c>
      <c r="V727" s="13">
        <v>34</v>
      </c>
      <c r="W727" s="13"/>
      <c r="X727" s="13">
        <v>25</v>
      </c>
      <c r="Y727" s="13">
        <v>3</v>
      </c>
      <c r="Z727" s="13"/>
      <c r="AA727" s="13">
        <v>36</v>
      </c>
      <c r="AB727" s="13"/>
      <c r="AC727" s="14">
        <v>263.51351351351354</v>
      </c>
      <c r="AD727" s="14">
        <v>337.47779751332149</v>
      </c>
      <c r="AE727" s="14">
        <v>256.28140703517585</v>
      </c>
      <c r="AF727" s="14"/>
      <c r="AG727" s="15">
        <v>1.2985036373848515</v>
      </c>
      <c r="AH727" s="15">
        <v>1.2986293392712054</v>
      </c>
      <c r="AI727" s="15"/>
      <c r="AJ727" s="41">
        <f t="shared" si="22"/>
        <v>583</v>
      </c>
      <c r="AK727" s="44"/>
      <c r="AL727" s="10"/>
      <c r="AM727" s="10"/>
    </row>
    <row r="728" spans="1:39" s="16" customFormat="1" ht="19" customHeight="1">
      <c r="A728" s="9" t="s">
        <v>789</v>
      </c>
      <c r="B728" s="10" t="s">
        <v>140</v>
      </c>
      <c r="C728" s="10"/>
      <c r="D728" s="10"/>
      <c r="E728" s="20" t="s">
        <v>141</v>
      </c>
      <c r="F728" s="20" t="s">
        <v>249</v>
      </c>
      <c r="G728" s="12" t="s">
        <v>1372</v>
      </c>
      <c r="H728" s="13"/>
      <c r="I728" s="13"/>
      <c r="J728" s="13">
        <v>168</v>
      </c>
      <c r="K728" s="13">
        <v>225</v>
      </c>
      <c r="L728" s="13">
        <v>38</v>
      </c>
      <c r="M728" s="13"/>
      <c r="N728" s="13">
        <v>174</v>
      </c>
      <c r="O728" s="13">
        <v>42</v>
      </c>
      <c r="P728" s="13">
        <v>20</v>
      </c>
      <c r="Q728" s="13">
        <v>53</v>
      </c>
      <c r="R728" s="13"/>
      <c r="S728" s="13">
        <v>55</v>
      </c>
      <c r="T728" s="13">
        <v>442</v>
      </c>
      <c r="U728" s="13">
        <v>12</v>
      </c>
      <c r="V728" s="13">
        <v>32</v>
      </c>
      <c r="W728" s="13"/>
      <c r="X728" s="13">
        <v>22</v>
      </c>
      <c r="Y728" s="13">
        <v>3</v>
      </c>
      <c r="Z728" s="13"/>
      <c r="AA728" s="13">
        <v>42</v>
      </c>
      <c r="AB728" s="13"/>
      <c r="AC728" s="14">
        <v>283.7837837837838</v>
      </c>
      <c r="AD728" s="14">
        <v>355.23978685612792</v>
      </c>
      <c r="AE728" s="14">
        <v>266.33165829145725</v>
      </c>
      <c r="AF728" s="14"/>
      <c r="AG728" s="15">
        <v>1.291509962040079</v>
      </c>
      <c r="AH728" s="15">
        <v>1.292160368307808</v>
      </c>
      <c r="AI728" s="15"/>
      <c r="AJ728" s="41">
        <f t="shared" si="22"/>
        <v>605</v>
      </c>
      <c r="AK728" s="44"/>
      <c r="AL728" s="10"/>
      <c r="AM728" s="10"/>
    </row>
    <row r="729" spans="1:39" s="16" customFormat="1" ht="19" customHeight="1">
      <c r="A729" s="9" t="s">
        <v>790</v>
      </c>
      <c r="B729" s="10" t="s">
        <v>140</v>
      </c>
      <c r="C729" s="10"/>
      <c r="D729" s="10"/>
      <c r="E729" s="20" t="s">
        <v>141</v>
      </c>
      <c r="F729" s="20" t="s">
        <v>249</v>
      </c>
      <c r="G729" s="12" t="s">
        <v>1372</v>
      </c>
      <c r="H729" s="13"/>
      <c r="I729" s="13"/>
      <c r="J729" s="13">
        <v>119</v>
      </c>
      <c r="K729" s="13">
        <v>165</v>
      </c>
      <c r="L729" s="13">
        <v>31</v>
      </c>
      <c r="M729" s="13"/>
      <c r="N729" s="13">
        <v>125</v>
      </c>
      <c r="O729" s="13">
        <v>27</v>
      </c>
      <c r="P729" s="13">
        <v>15</v>
      </c>
      <c r="Q729" s="13">
        <v>36</v>
      </c>
      <c r="R729" s="13"/>
      <c r="S729" s="13">
        <v>36</v>
      </c>
      <c r="T729" s="13">
        <v>327</v>
      </c>
      <c r="U729" s="13">
        <v>8</v>
      </c>
      <c r="V729" s="13">
        <v>21</v>
      </c>
      <c r="W729" s="13"/>
      <c r="X729" s="13">
        <v>15</v>
      </c>
      <c r="Y729" s="13">
        <v>2</v>
      </c>
      <c r="Z729" s="13"/>
      <c r="AA729" s="13">
        <v>36</v>
      </c>
      <c r="AB729" s="13"/>
      <c r="AC729" s="14">
        <v>182.43243243243245</v>
      </c>
      <c r="AD729" s="14">
        <v>266.42984014209594</v>
      </c>
      <c r="AE729" s="14">
        <v>180.90452261306532</v>
      </c>
      <c r="AF729" s="14"/>
      <c r="AG729" s="15">
        <v>1.4665716572030667</v>
      </c>
      <c r="AH729" s="15">
        <v>1.4665846246760377</v>
      </c>
      <c r="AI729" s="15"/>
      <c r="AJ729" s="41">
        <f t="shared" si="22"/>
        <v>440</v>
      </c>
      <c r="AK729" s="44"/>
      <c r="AL729" s="10"/>
      <c r="AM729" s="10"/>
    </row>
    <row r="730" spans="1:39" s="16" customFormat="1" ht="19" customHeight="1">
      <c r="A730" s="9" t="s">
        <v>791</v>
      </c>
      <c r="B730" s="10" t="s">
        <v>140</v>
      </c>
      <c r="C730" s="10"/>
      <c r="D730" s="10"/>
      <c r="E730" s="20" t="s">
        <v>141</v>
      </c>
      <c r="F730" s="20" t="s">
        <v>249</v>
      </c>
      <c r="G730" s="12" t="s">
        <v>1372</v>
      </c>
      <c r="H730" s="13"/>
      <c r="I730" s="13"/>
      <c r="J730" s="13">
        <v>142</v>
      </c>
      <c r="K730" s="13">
        <v>197</v>
      </c>
      <c r="L730" s="13">
        <v>35</v>
      </c>
      <c r="M730" s="13"/>
      <c r="N730" s="13">
        <v>159</v>
      </c>
      <c r="O730" s="13">
        <v>36</v>
      </c>
      <c r="P730" s="13">
        <v>18</v>
      </c>
      <c r="Q730" s="13">
        <v>47</v>
      </c>
      <c r="R730" s="13"/>
      <c r="S730" s="13">
        <v>46</v>
      </c>
      <c r="T730" s="13">
        <v>421</v>
      </c>
      <c r="U730" s="13">
        <v>11</v>
      </c>
      <c r="V730" s="13">
        <v>31</v>
      </c>
      <c r="W730" s="13"/>
      <c r="X730" s="13">
        <v>22</v>
      </c>
      <c r="Y730" s="13">
        <v>3</v>
      </c>
      <c r="Z730" s="13"/>
      <c r="AA730" s="13">
        <v>37</v>
      </c>
      <c r="AB730" s="13"/>
      <c r="AC730" s="14">
        <v>243.24324324324326</v>
      </c>
      <c r="AD730" s="14">
        <v>319.71580817051512</v>
      </c>
      <c r="AE730" s="14">
        <v>236.18090452261305</v>
      </c>
      <c r="AF730" s="14"/>
      <c r="AG730" s="15">
        <v>1.3337492892688401</v>
      </c>
      <c r="AH730" s="15">
        <v>1.3338940238037482</v>
      </c>
      <c r="AI730" s="15"/>
      <c r="AJ730" s="41">
        <f t="shared" si="22"/>
        <v>533</v>
      </c>
      <c r="AK730" s="44"/>
      <c r="AL730" s="10"/>
      <c r="AM730" s="10"/>
    </row>
    <row r="731" spans="1:39" s="16" customFormat="1" ht="19" customHeight="1">
      <c r="A731" s="9" t="s">
        <v>792</v>
      </c>
      <c r="B731" s="10" t="s">
        <v>140</v>
      </c>
      <c r="C731" s="10"/>
      <c r="D731" s="10"/>
      <c r="E731" s="20" t="s">
        <v>141</v>
      </c>
      <c r="F731" s="20" t="s">
        <v>249</v>
      </c>
      <c r="G731" s="12" t="s">
        <v>1372</v>
      </c>
      <c r="H731" s="13"/>
      <c r="I731" s="13"/>
      <c r="J731" s="13">
        <v>156</v>
      </c>
      <c r="K731" s="13">
        <v>211</v>
      </c>
      <c r="L731" s="13">
        <v>38</v>
      </c>
      <c r="M731" s="13"/>
      <c r="N731" s="13">
        <v>162</v>
      </c>
      <c r="O731" s="13">
        <v>37</v>
      </c>
      <c r="P731" s="13">
        <v>19</v>
      </c>
      <c r="Q731" s="13">
        <v>46</v>
      </c>
      <c r="R731" s="13"/>
      <c r="S731" s="13">
        <v>45</v>
      </c>
      <c r="T731" s="13">
        <v>431</v>
      </c>
      <c r="U731" s="13">
        <v>10</v>
      </c>
      <c r="V731" s="13">
        <v>28</v>
      </c>
      <c r="W731" s="13"/>
      <c r="X731" s="13">
        <v>18</v>
      </c>
      <c r="Y731" s="13">
        <v>2</v>
      </c>
      <c r="Z731" s="13"/>
      <c r="AA731" s="13">
        <v>33</v>
      </c>
      <c r="AB731" s="13"/>
      <c r="AC731" s="14">
        <v>250</v>
      </c>
      <c r="AD731" s="14">
        <v>337.47779751332149</v>
      </c>
      <c r="AE731" s="14">
        <v>231.15577889447235</v>
      </c>
      <c r="AF731" s="14"/>
      <c r="AG731" s="15">
        <v>1.4027797745201249</v>
      </c>
      <c r="AH731" s="15">
        <v>1.403856845763749</v>
      </c>
      <c r="AI731" s="15"/>
      <c r="AJ731" s="41">
        <f t="shared" si="22"/>
        <v>567</v>
      </c>
      <c r="AK731" s="44"/>
      <c r="AL731" s="10"/>
      <c r="AM731" s="10"/>
    </row>
    <row r="732" spans="1:39" s="16" customFormat="1" ht="19" customHeight="1">
      <c r="A732" s="9" t="s">
        <v>793</v>
      </c>
      <c r="B732" s="10" t="s">
        <v>140</v>
      </c>
      <c r="C732" s="10"/>
      <c r="D732" s="10"/>
      <c r="E732" s="20" t="s">
        <v>141</v>
      </c>
      <c r="F732" s="20" t="s">
        <v>249</v>
      </c>
      <c r="G732" s="12" t="s">
        <v>1372</v>
      </c>
      <c r="H732" s="13"/>
      <c r="I732" s="13"/>
      <c r="J732" s="13">
        <v>119</v>
      </c>
      <c r="K732" s="13">
        <v>168</v>
      </c>
      <c r="L732" s="13">
        <v>30</v>
      </c>
      <c r="M732" s="13"/>
      <c r="N732" s="13">
        <v>130</v>
      </c>
      <c r="O732" s="13">
        <v>30</v>
      </c>
      <c r="P732" s="13">
        <v>15</v>
      </c>
      <c r="Q732" s="13">
        <v>38</v>
      </c>
      <c r="R732" s="13"/>
      <c r="S732" s="13">
        <v>38</v>
      </c>
      <c r="T732" s="13">
        <v>346</v>
      </c>
      <c r="U732" s="13">
        <v>8</v>
      </c>
      <c r="V732" s="13">
        <v>24</v>
      </c>
      <c r="W732" s="13"/>
      <c r="X732" s="13">
        <v>16</v>
      </c>
      <c r="Y732" s="13">
        <v>2</v>
      </c>
      <c r="Z732" s="13"/>
      <c r="AA732" s="13">
        <v>30</v>
      </c>
      <c r="AB732" s="13"/>
      <c r="AC732" s="14">
        <v>202.70270270270271</v>
      </c>
      <c r="AD732" s="14">
        <v>266.42984014209594</v>
      </c>
      <c r="AE732" s="14">
        <v>190.95477386934672</v>
      </c>
      <c r="AF732" s="14"/>
      <c r="AG732" s="15">
        <v>1.3536124981654323</v>
      </c>
      <c r="AH732" s="15">
        <v>1.3542156687766909</v>
      </c>
      <c r="AI732" s="15"/>
      <c r="AJ732" s="41">
        <f t="shared" si="22"/>
        <v>447</v>
      </c>
      <c r="AK732" s="44"/>
      <c r="AL732" s="10"/>
      <c r="AM732" s="10"/>
    </row>
    <row r="733" spans="1:39" s="16" customFormat="1" ht="19" customHeight="1">
      <c r="A733" s="9" t="s">
        <v>794</v>
      </c>
      <c r="B733" s="10" t="s">
        <v>140</v>
      </c>
      <c r="C733" s="10"/>
      <c r="D733" s="10"/>
      <c r="E733" s="20" t="s">
        <v>141</v>
      </c>
      <c r="F733" s="20" t="s">
        <v>249</v>
      </c>
      <c r="G733" s="12" t="s">
        <v>1372</v>
      </c>
      <c r="H733" s="13"/>
      <c r="I733" s="13"/>
      <c r="J733" s="13">
        <v>150</v>
      </c>
      <c r="K733" s="13">
        <v>196</v>
      </c>
      <c r="L733" s="13">
        <v>34</v>
      </c>
      <c r="M733" s="13"/>
      <c r="N733" s="13">
        <v>149</v>
      </c>
      <c r="O733" s="13">
        <v>32</v>
      </c>
      <c r="P733" s="13">
        <v>17</v>
      </c>
      <c r="Q733" s="13">
        <v>45</v>
      </c>
      <c r="R733" s="13"/>
      <c r="S733" s="13">
        <v>42</v>
      </c>
      <c r="T733" s="13">
        <v>426</v>
      </c>
      <c r="U733" s="13">
        <v>9</v>
      </c>
      <c r="V733" s="13">
        <v>27</v>
      </c>
      <c r="W733" s="13"/>
      <c r="X733" s="13">
        <v>17</v>
      </c>
      <c r="Y733" s="13">
        <v>2</v>
      </c>
      <c r="Z733" s="13"/>
      <c r="AA733" s="13">
        <v>26</v>
      </c>
      <c r="AB733" s="13"/>
      <c r="AC733" s="14">
        <v>216.21621621621622</v>
      </c>
      <c r="AD733" s="14">
        <v>301.95381882770874</v>
      </c>
      <c r="AE733" s="14">
        <v>226.13065326633165</v>
      </c>
      <c r="AF733" s="14"/>
      <c r="AG733" s="15">
        <v>1.365235473152238</v>
      </c>
      <c r="AH733" s="15">
        <v>1.3655785184230329</v>
      </c>
      <c r="AI733" s="15"/>
      <c r="AJ733" s="41">
        <f t="shared" si="22"/>
        <v>529</v>
      </c>
      <c r="AK733" s="44"/>
      <c r="AL733" s="10"/>
      <c r="AM733" s="10"/>
    </row>
    <row r="734" spans="1:39" s="16" customFormat="1" ht="19" customHeight="1">
      <c r="A734" s="9" t="s">
        <v>795</v>
      </c>
      <c r="B734" s="10" t="s">
        <v>140</v>
      </c>
      <c r="C734" s="10"/>
      <c r="D734" s="10"/>
      <c r="E734" s="20" t="s">
        <v>141</v>
      </c>
      <c r="F734" s="20" t="s">
        <v>249</v>
      </c>
      <c r="G734" s="12" t="s">
        <v>1372</v>
      </c>
      <c r="H734" s="13"/>
      <c r="I734" s="13"/>
      <c r="J734" s="13">
        <v>145</v>
      </c>
      <c r="K734" s="13">
        <v>190</v>
      </c>
      <c r="L734" s="13">
        <v>35</v>
      </c>
      <c r="M734" s="13"/>
      <c r="N734" s="13">
        <v>164</v>
      </c>
      <c r="O734" s="13">
        <v>37</v>
      </c>
      <c r="P734" s="13">
        <v>18</v>
      </c>
      <c r="Q734" s="13">
        <v>52</v>
      </c>
      <c r="R734" s="13"/>
      <c r="S734" s="13">
        <v>50</v>
      </c>
      <c r="T734" s="13">
        <v>472</v>
      </c>
      <c r="U734" s="13">
        <v>11</v>
      </c>
      <c r="V734" s="13">
        <v>32</v>
      </c>
      <c r="W734" s="13"/>
      <c r="X734" s="13">
        <v>22</v>
      </c>
      <c r="Y734" s="13">
        <v>3</v>
      </c>
      <c r="Z734" s="13"/>
      <c r="AA734" s="13">
        <v>26</v>
      </c>
      <c r="AB734" s="13"/>
      <c r="AC734" s="14">
        <v>250</v>
      </c>
      <c r="AD734" s="14">
        <v>319.71580817051512</v>
      </c>
      <c r="AE734" s="14">
        <v>261.30653266331655</v>
      </c>
      <c r="AF734" s="14"/>
      <c r="AG734" s="15">
        <v>1.2505837017382313</v>
      </c>
      <c r="AH734" s="15">
        <v>1.2508895727204885</v>
      </c>
      <c r="AI734" s="15"/>
      <c r="AJ734" s="41">
        <f t="shared" si="22"/>
        <v>534</v>
      </c>
      <c r="AK734" s="44"/>
      <c r="AL734" s="10"/>
      <c r="AM734" s="10"/>
    </row>
    <row r="735" spans="1:39" s="16" customFormat="1" ht="19" customHeight="1">
      <c r="A735" s="9" t="s">
        <v>796</v>
      </c>
      <c r="B735" s="10" t="s">
        <v>140</v>
      </c>
      <c r="C735" s="10"/>
      <c r="D735" s="10"/>
      <c r="E735" s="20" t="s">
        <v>141</v>
      </c>
      <c r="F735" s="20" t="s">
        <v>249</v>
      </c>
      <c r="G735" s="12" t="s">
        <v>1372</v>
      </c>
      <c r="H735" s="13"/>
      <c r="I735" s="13"/>
      <c r="J735" s="13">
        <v>154</v>
      </c>
      <c r="K735" s="13">
        <v>197</v>
      </c>
      <c r="L735" s="13">
        <v>35</v>
      </c>
      <c r="M735" s="13"/>
      <c r="N735" s="13">
        <v>162</v>
      </c>
      <c r="O735" s="13">
        <v>39</v>
      </c>
      <c r="P735" s="13">
        <v>18</v>
      </c>
      <c r="Q735" s="13">
        <v>53</v>
      </c>
      <c r="R735" s="13"/>
      <c r="S735" s="13">
        <v>54</v>
      </c>
      <c r="T735" s="13">
        <v>483</v>
      </c>
      <c r="U735" s="13">
        <v>12</v>
      </c>
      <c r="V735" s="13">
        <v>37</v>
      </c>
      <c r="W735" s="13"/>
      <c r="X735" s="13">
        <v>26</v>
      </c>
      <c r="Y735" s="13">
        <v>3</v>
      </c>
      <c r="Z735" s="13"/>
      <c r="AA735" s="13">
        <v>27</v>
      </c>
      <c r="AB735" s="13"/>
      <c r="AC735" s="14">
        <v>263.51351351351354</v>
      </c>
      <c r="AD735" s="14">
        <v>319.71580817051512</v>
      </c>
      <c r="AE735" s="14">
        <v>266.33165829145725</v>
      </c>
      <c r="AF735" s="14"/>
      <c r="AG735" s="15">
        <v>1.2068272966661984</v>
      </c>
      <c r="AH735" s="15">
        <v>1.2068443674311466</v>
      </c>
      <c r="AI735" s="15"/>
      <c r="AJ735" s="41">
        <f t="shared" si="22"/>
        <v>548</v>
      </c>
      <c r="AK735" s="44"/>
      <c r="AL735" s="10"/>
      <c r="AM735" s="10"/>
    </row>
    <row r="736" spans="1:39" s="16" customFormat="1" ht="19" customHeight="1">
      <c r="A736" s="9" t="s">
        <v>797</v>
      </c>
      <c r="B736" s="10" t="s">
        <v>140</v>
      </c>
      <c r="C736" s="10"/>
      <c r="D736" s="10"/>
      <c r="E736" s="20" t="s">
        <v>141</v>
      </c>
      <c r="F736" s="20" t="s">
        <v>249</v>
      </c>
      <c r="G736" s="12" t="s">
        <v>1372</v>
      </c>
      <c r="H736" s="13"/>
      <c r="I736" s="13"/>
      <c r="J736" s="13">
        <v>127</v>
      </c>
      <c r="K736" s="13">
        <v>184</v>
      </c>
      <c r="L736" s="13">
        <v>29</v>
      </c>
      <c r="M736" s="13"/>
      <c r="N736" s="13">
        <v>135</v>
      </c>
      <c r="O736" s="13">
        <v>32</v>
      </c>
      <c r="P736" s="13">
        <v>15</v>
      </c>
      <c r="Q736" s="13">
        <v>40</v>
      </c>
      <c r="R736" s="13"/>
      <c r="S736" s="13">
        <v>42</v>
      </c>
      <c r="T736" s="13">
        <v>325</v>
      </c>
      <c r="U736" s="13">
        <v>9</v>
      </c>
      <c r="V736" s="13">
        <v>25</v>
      </c>
      <c r="W736" s="13"/>
      <c r="X736" s="13">
        <v>18</v>
      </c>
      <c r="Y736" s="13">
        <v>2</v>
      </c>
      <c r="Z736" s="13"/>
      <c r="AA736" s="13">
        <v>20</v>
      </c>
      <c r="AB736" s="13"/>
      <c r="AC736" s="14">
        <v>216.21621621621622</v>
      </c>
      <c r="AD736" s="14">
        <v>266.42984014209594</v>
      </c>
      <c r="AE736" s="14">
        <v>201.00502512562812</v>
      </c>
      <c r="AF736" s="14"/>
      <c r="AG736" s="15">
        <v>1.2771633547957373</v>
      </c>
      <c r="AH736" s="15">
        <v>1.2780130111141836</v>
      </c>
      <c r="AI736" s="15"/>
      <c r="AJ736" s="41">
        <f t="shared" si="22"/>
        <v>475</v>
      </c>
      <c r="AK736" s="44"/>
      <c r="AL736" s="10"/>
      <c r="AM736" s="10"/>
    </row>
    <row r="737" spans="1:39" s="16" customFormat="1" ht="19" customHeight="1">
      <c r="A737" s="9" t="s">
        <v>798</v>
      </c>
      <c r="B737" s="10" t="s">
        <v>140</v>
      </c>
      <c r="C737" s="10"/>
      <c r="D737" s="10"/>
      <c r="E737" s="20" t="s">
        <v>141</v>
      </c>
      <c r="F737" s="20" t="s">
        <v>249</v>
      </c>
      <c r="G737" s="12" t="s">
        <v>1372</v>
      </c>
      <c r="H737" s="13"/>
      <c r="I737" s="13"/>
      <c r="J737" s="13">
        <v>134</v>
      </c>
      <c r="K737" s="13">
        <v>190</v>
      </c>
      <c r="L737" s="13">
        <v>32</v>
      </c>
      <c r="M737" s="13"/>
      <c r="N737" s="13">
        <v>150</v>
      </c>
      <c r="O737" s="13">
        <v>36</v>
      </c>
      <c r="P737" s="13">
        <v>16</v>
      </c>
      <c r="Q737" s="13">
        <v>47</v>
      </c>
      <c r="R737" s="13"/>
      <c r="S737" s="13">
        <v>45</v>
      </c>
      <c r="T737" s="13">
        <v>452</v>
      </c>
      <c r="U737" s="13">
        <v>10</v>
      </c>
      <c r="V737" s="13">
        <v>29</v>
      </c>
      <c r="W737" s="13"/>
      <c r="X737" s="13">
        <v>18</v>
      </c>
      <c r="Y737" s="13">
        <v>2</v>
      </c>
      <c r="Z737" s="13"/>
      <c r="AA737" s="13">
        <v>35</v>
      </c>
      <c r="AB737" s="13"/>
      <c r="AC737" s="14">
        <v>243.24324324324326</v>
      </c>
      <c r="AD737" s="14">
        <v>284.19182948490231</v>
      </c>
      <c r="AE737" s="14">
        <v>236.18090452261305</v>
      </c>
      <c r="AF737" s="14"/>
      <c r="AG737" s="15">
        <v>1.1855549237945244</v>
      </c>
      <c r="AH737" s="15">
        <v>1.1856835767144429</v>
      </c>
      <c r="AI737" s="15"/>
      <c r="AJ737" s="41">
        <f t="shared" si="22"/>
        <v>506</v>
      </c>
      <c r="AK737" s="44"/>
      <c r="AL737" s="10"/>
      <c r="AM737" s="10"/>
    </row>
    <row r="738" spans="1:39" s="16" customFormat="1" ht="19" customHeight="1">
      <c r="A738" s="9" t="s">
        <v>799</v>
      </c>
      <c r="B738" s="10" t="s">
        <v>140</v>
      </c>
      <c r="C738" s="10"/>
      <c r="D738" s="10"/>
      <c r="E738" s="20" t="s">
        <v>141</v>
      </c>
      <c r="F738" s="20" t="s">
        <v>249</v>
      </c>
      <c r="G738" s="12" t="s">
        <v>1372</v>
      </c>
      <c r="H738" s="13"/>
      <c r="I738" s="13"/>
      <c r="J738" s="13">
        <v>118</v>
      </c>
      <c r="K738" s="13">
        <v>159</v>
      </c>
      <c r="L738" s="13">
        <v>27</v>
      </c>
      <c r="M738" s="13"/>
      <c r="N738" s="13">
        <v>129</v>
      </c>
      <c r="O738" s="13">
        <v>32</v>
      </c>
      <c r="P738" s="13">
        <v>16</v>
      </c>
      <c r="Q738" s="13">
        <v>41</v>
      </c>
      <c r="R738" s="13"/>
      <c r="S738" s="13">
        <v>36</v>
      </c>
      <c r="T738" s="13">
        <v>303</v>
      </c>
      <c r="U738" s="13">
        <v>7</v>
      </c>
      <c r="V738" s="13">
        <v>20</v>
      </c>
      <c r="W738" s="13"/>
      <c r="X738" s="13">
        <v>11</v>
      </c>
      <c r="Y738" s="13">
        <v>1</v>
      </c>
      <c r="Z738" s="13"/>
      <c r="AA738" s="13">
        <v>52</v>
      </c>
      <c r="AB738" s="13"/>
      <c r="AC738" s="14">
        <v>216.21621621621622</v>
      </c>
      <c r="AD738" s="14">
        <v>284.19182948490231</v>
      </c>
      <c r="AE738" s="14">
        <v>206.03015075376882</v>
      </c>
      <c r="AF738" s="14"/>
      <c r="AG738" s="15">
        <v>1.3460948475376879</v>
      </c>
      <c r="AH738" s="15">
        <v>1.3464866943794558</v>
      </c>
      <c r="AI738" s="15"/>
      <c r="AJ738" s="41">
        <f t="shared" si="22"/>
        <v>433</v>
      </c>
      <c r="AK738" s="44"/>
      <c r="AL738" s="10"/>
      <c r="AM738" s="10"/>
    </row>
    <row r="739" spans="1:39" s="16" customFormat="1" ht="19" customHeight="1">
      <c r="A739" s="9" t="s">
        <v>800</v>
      </c>
      <c r="B739" s="10" t="s">
        <v>140</v>
      </c>
      <c r="C739" s="10"/>
      <c r="D739" s="10"/>
      <c r="E739" s="20" t="s">
        <v>141</v>
      </c>
      <c r="F739" s="20" t="s">
        <v>249</v>
      </c>
      <c r="G739" s="12" t="s">
        <v>1372</v>
      </c>
      <c r="H739" s="13"/>
      <c r="I739" s="13"/>
      <c r="J739" s="13">
        <v>95</v>
      </c>
      <c r="K739" s="13">
        <v>130</v>
      </c>
      <c r="L739" s="13">
        <v>25</v>
      </c>
      <c r="M739" s="13"/>
      <c r="N739" s="13">
        <v>109</v>
      </c>
      <c r="O739" s="13">
        <v>27</v>
      </c>
      <c r="P739" s="13">
        <v>14</v>
      </c>
      <c r="Q739" s="13">
        <v>34</v>
      </c>
      <c r="R739" s="13"/>
      <c r="S739" s="13">
        <v>30</v>
      </c>
      <c r="T739" s="13">
        <v>262</v>
      </c>
      <c r="U739" s="13">
        <v>7</v>
      </c>
      <c r="V739" s="13">
        <v>18</v>
      </c>
      <c r="W739" s="13"/>
      <c r="X739" s="13">
        <v>9</v>
      </c>
      <c r="Y739" s="13">
        <v>1</v>
      </c>
      <c r="Z739" s="13"/>
      <c r="AA739" s="13">
        <v>39</v>
      </c>
      <c r="AB739" s="13"/>
      <c r="AC739" s="14">
        <v>182.43243243243245</v>
      </c>
      <c r="AD739" s="14">
        <v>248.66785079928954</v>
      </c>
      <c r="AE739" s="14">
        <v>170.8542713567839</v>
      </c>
      <c r="AF739" s="14"/>
      <c r="AG739" s="15">
        <v>1.4077396524249257</v>
      </c>
      <c r="AH739" s="15">
        <v>1.4084962534927077</v>
      </c>
      <c r="AI739" s="15"/>
      <c r="AJ739" s="41">
        <f t="shared" si="22"/>
        <v>359</v>
      </c>
      <c r="AK739" s="44"/>
      <c r="AL739" s="10"/>
      <c r="AM739" s="10"/>
    </row>
    <row r="740" spans="1:39" s="16" customFormat="1" ht="19" customHeight="1">
      <c r="A740" s="9" t="s">
        <v>801</v>
      </c>
      <c r="B740" s="10" t="s">
        <v>140</v>
      </c>
      <c r="C740" s="10"/>
      <c r="D740" s="10"/>
      <c r="E740" s="20" t="s">
        <v>141</v>
      </c>
      <c r="F740" s="20" t="s">
        <v>249</v>
      </c>
      <c r="G740" s="12" t="s">
        <v>1372</v>
      </c>
      <c r="H740" s="13"/>
      <c r="I740" s="13"/>
      <c r="J740" s="13">
        <v>102</v>
      </c>
      <c r="K740" s="13">
        <v>177</v>
      </c>
      <c r="L740" s="13">
        <v>25</v>
      </c>
      <c r="M740" s="13"/>
      <c r="N740" s="13">
        <v>111</v>
      </c>
      <c r="O740" s="13">
        <v>26</v>
      </c>
      <c r="P740" s="13">
        <v>14</v>
      </c>
      <c r="Q740" s="13">
        <v>36</v>
      </c>
      <c r="R740" s="13"/>
      <c r="S740" s="13">
        <v>31</v>
      </c>
      <c r="T740" s="13">
        <v>287</v>
      </c>
      <c r="U740" s="13">
        <v>7</v>
      </c>
      <c r="V740" s="13">
        <v>19</v>
      </c>
      <c r="W740" s="13"/>
      <c r="X740" s="13">
        <v>11</v>
      </c>
      <c r="Y740" s="13">
        <v>1</v>
      </c>
      <c r="Z740" s="13"/>
      <c r="AA740" s="13">
        <v>49</v>
      </c>
      <c r="AB740" s="13"/>
      <c r="AC740" s="14">
        <v>175.67567567567568</v>
      </c>
      <c r="AD740" s="14">
        <v>248.66785079928954</v>
      </c>
      <c r="AE740" s="14">
        <v>180.90452261306532</v>
      </c>
      <c r="AF740" s="14"/>
      <c r="AG740" s="15">
        <v>1.3947372960846838</v>
      </c>
      <c r="AH740" s="15">
        <v>1.3948872748862091</v>
      </c>
      <c r="AI740" s="15"/>
      <c r="AJ740" s="41">
        <f t="shared" si="22"/>
        <v>415</v>
      </c>
      <c r="AK740" s="44"/>
      <c r="AL740" s="10"/>
      <c r="AM740" s="10"/>
    </row>
    <row r="741" spans="1:39" s="16" customFormat="1" ht="19" customHeight="1">
      <c r="A741" s="9" t="s">
        <v>802</v>
      </c>
      <c r="B741" s="10" t="s">
        <v>140</v>
      </c>
      <c r="C741" s="10"/>
      <c r="D741" s="10"/>
      <c r="E741" s="20" t="s">
        <v>141</v>
      </c>
      <c r="F741" s="20" t="s">
        <v>249</v>
      </c>
      <c r="G741" s="12" t="s">
        <v>1372</v>
      </c>
      <c r="H741" s="13"/>
      <c r="I741" s="13"/>
      <c r="J741" s="13">
        <v>106</v>
      </c>
      <c r="K741" s="13">
        <v>151</v>
      </c>
      <c r="L741" s="13">
        <v>25</v>
      </c>
      <c r="M741" s="13"/>
      <c r="N741" s="13">
        <v>112</v>
      </c>
      <c r="O741" s="13">
        <v>28</v>
      </c>
      <c r="P741" s="13">
        <v>14</v>
      </c>
      <c r="Q741" s="13">
        <v>36</v>
      </c>
      <c r="R741" s="13"/>
      <c r="S741" s="13">
        <v>33</v>
      </c>
      <c r="T741" s="13">
        <v>273</v>
      </c>
      <c r="U741" s="13">
        <v>7</v>
      </c>
      <c r="V741" s="13">
        <v>19</v>
      </c>
      <c r="W741" s="13"/>
      <c r="X741" s="13">
        <v>11</v>
      </c>
      <c r="Y741" s="13">
        <v>1</v>
      </c>
      <c r="Z741" s="13"/>
      <c r="AA741" s="13">
        <v>48</v>
      </c>
      <c r="AB741" s="13"/>
      <c r="AC741" s="14">
        <v>189.18918918918919</v>
      </c>
      <c r="AD741" s="14">
        <v>248.66785079928954</v>
      </c>
      <c r="AE741" s="14">
        <v>180.90452261306532</v>
      </c>
      <c r="AF741" s="14"/>
      <c r="AG741" s="15">
        <v>1.3438101911450782</v>
      </c>
      <c r="AH741" s="15">
        <v>1.3441470111272686</v>
      </c>
      <c r="AI741" s="15"/>
      <c r="AJ741" s="41">
        <f t="shared" si="22"/>
        <v>394</v>
      </c>
      <c r="AK741" s="44"/>
      <c r="AL741" s="10"/>
      <c r="AM741" s="10"/>
    </row>
    <row r="742" spans="1:39" s="16" customFormat="1" ht="19" customHeight="1">
      <c r="A742" s="9" t="s">
        <v>803</v>
      </c>
      <c r="B742" s="10" t="s">
        <v>140</v>
      </c>
      <c r="C742" s="10"/>
      <c r="D742" s="10"/>
      <c r="E742" s="20" t="s">
        <v>141</v>
      </c>
      <c r="F742" s="20" t="s">
        <v>249</v>
      </c>
      <c r="G742" s="12" t="s">
        <v>1372</v>
      </c>
      <c r="H742" s="13"/>
      <c r="I742" s="13"/>
      <c r="J742" s="13">
        <v>38</v>
      </c>
      <c r="K742" s="13">
        <v>40</v>
      </c>
      <c r="L742" s="13">
        <v>7</v>
      </c>
      <c r="M742" s="13"/>
      <c r="N742" s="13">
        <v>25</v>
      </c>
      <c r="O742" s="13">
        <v>5</v>
      </c>
      <c r="P742" s="13">
        <v>7</v>
      </c>
      <c r="Q742" s="13">
        <v>7</v>
      </c>
      <c r="R742" s="13"/>
      <c r="S742" s="13">
        <v>7</v>
      </c>
      <c r="T742" s="13">
        <v>64</v>
      </c>
      <c r="U742" s="13">
        <v>2</v>
      </c>
      <c r="V742" s="13">
        <v>4</v>
      </c>
      <c r="W742" s="13"/>
      <c r="X742" s="13">
        <v>2</v>
      </c>
      <c r="Y742" s="13">
        <v>0.5</v>
      </c>
      <c r="Z742" s="13"/>
      <c r="AA742" s="13">
        <v>39</v>
      </c>
      <c r="AB742" s="13"/>
      <c r="AC742" s="14">
        <v>33.783783783783782</v>
      </c>
      <c r="AD742" s="14">
        <v>124.33392539964477</v>
      </c>
      <c r="AE742" s="14">
        <v>35.175879396984925</v>
      </c>
      <c r="AF742" s="14"/>
      <c r="AG742" s="15">
        <v>3.6059899270018101</v>
      </c>
      <c r="AH742" s="15">
        <v>3.6067249063604865</v>
      </c>
      <c r="AI742" s="15"/>
      <c r="AJ742" s="41">
        <f t="shared" si="22"/>
        <v>110</v>
      </c>
      <c r="AK742" s="44"/>
      <c r="AL742" s="10"/>
      <c r="AM742" s="10"/>
    </row>
    <row r="743" spans="1:39" s="16" customFormat="1" ht="19" customHeight="1">
      <c r="A743" s="9" t="s">
        <v>804</v>
      </c>
      <c r="B743" s="10" t="s">
        <v>140</v>
      </c>
      <c r="C743" s="10"/>
      <c r="D743" s="10"/>
      <c r="E743" s="20" t="s">
        <v>141</v>
      </c>
      <c r="F743" s="20" t="s">
        <v>249</v>
      </c>
      <c r="G743" s="12" t="s">
        <v>1372</v>
      </c>
      <c r="H743" s="13"/>
      <c r="I743" s="13"/>
      <c r="J743" s="13">
        <v>37</v>
      </c>
      <c r="K743" s="13">
        <v>49</v>
      </c>
      <c r="L743" s="13">
        <v>9</v>
      </c>
      <c r="M743" s="13"/>
      <c r="N743" s="13">
        <v>35</v>
      </c>
      <c r="O743" s="13">
        <v>7</v>
      </c>
      <c r="P743" s="13">
        <v>9</v>
      </c>
      <c r="Q743" s="13">
        <v>11</v>
      </c>
      <c r="R743" s="13"/>
      <c r="S743" s="13">
        <v>9</v>
      </c>
      <c r="T743" s="13">
        <v>279</v>
      </c>
      <c r="U743" s="13">
        <v>2</v>
      </c>
      <c r="V743" s="13">
        <v>5</v>
      </c>
      <c r="W743" s="13"/>
      <c r="X743" s="13">
        <v>3</v>
      </c>
      <c r="Y743" s="13">
        <v>2</v>
      </c>
      <c r="Z743" s="13"/>
      <c r="AA743" s="13">
        <v>18</v>
      </c>
      <c r="AB743" s="13"/>
      <c r="AC743" s="14">
        <v>47.297297297297298</v>
      </c>
      <c r="AD743" s="14">
        <v>159.85790408525756</v>
      </c>
      <c r="AE743" s="14">
        <v>55.276381909547737</v>
      </c>
      <c r="AF743" s="14"/>
      <c r="AG743" s="15">
        <v>3.1169380940873919</v>
      </c>
      <c r="AH743" s="15">
        <v>3.1264115603284153</v>
      </c>
      <c r="AI743" s="15"/>
      <c r="AJ743" s="41">
        <f t="shared" si="22"/>
        <v>130</v>
      </c>
      <c r="AK743" s="44"/>
      <c r="AL743" s="10"/>
      <c r="AM743" s="10"/>
    </row>
    <row r="744" spans="1:39" s="16" customFormat="1" ht="19" customHeight="1">
      <c r="A744" s="9" t="s">
        <v>805</v>
      </c>
      <c r="B744" s="10" t="s">
        <v>140</v>
      </c>
      <c r="C744" s="10"/>
      <c r="D744" s="10"/>
      <c r="E744" s="20" t="s">
        <v>141</v>
      </c>
      <c r="F744" s="20" t="s">
        <v>249</v>
      </c>
      <c r="G744" s="12" t="s">
        <v>1372</v>
      </c>
      <c r="H744" s="13"/>
      <c r="I744" s="13"/>
      <c r="J744" s="13">
        <v>31</v>
      </c>
      <c r="K744" s="13">
        <v>40</v>
      </c>
      <c r="L744" s="13">
        <v>7</v>
      </c>
      <c r="M744" s="13"/>
      <c r="N744" s="13">
        <v>31</v>
      </c>
      <c r="O744" s="13">
        <v>7</v>
      </c>
      <c r="P744" s="13">
        <v>8</v>
      </c>
      <c r="Q744" s="13">
        <v>10</v>
      </c>
      <c r="R744" s="13"/>
      <c r="S744" s="13">
        <v>9</v>
      </c>
      <c r="T744" s="13">
        <v>252</v>
      </c>
      <c r="U744" s="13">
        <v>2</v>
      </c>
      <c r="V744" s="13">
        <v>5</v>
      </c>
      <c r="W744" s="13"/>
      <c r="X744" s="13">
        <v>3</v>
      </c>
      <c r="Y744" s="13">
        <v>2</v>
      </c>
      <c r="Z744" s="13"/>
      <c r="AA744" s="13">
        <v>17</v>
      </c>
      <c r="AB744" s="13"/>
      <c r="AC744" s="14">
        <v>47.297297297297298</v>
      </c>
      <c r="AD744" s="14">
        <v>142.09591474245116</v>
      </c>
      <c r="AE744" s="14">
        <v>50.251256281407031</v>
      </c>
      <c r="AF744" s="14"/>
      <c r="AG744" s="15">
        <v>2.9133371952625629</v>
      </c>
      <c r="AH744" s="15">
        <v>2.9146738733279034</v>
      </c>
      <c r="AI744" s="15"/>
      <c r="AJ744" s="41">
        <f t="shared" si="22"/>
        <v>109</v>
      </c>
      <c r="AK744" s="44"/>
      <c r="AL744" s="10"/>
      <c r="AM744" s="10"/>
    </row>
    <row r="745" spans="1:39" s="16" customFormat="1" ht="19" customHeight="1">
      <c r="A745" s="9" t="s">
        <v>806</v>
      </c>
      <c r="B745" s="10" t="s">
        <v>140</v>
      </c>
      <c r="C745" s="10"/>
      <c r="D745" s="10"/>
      <c r="E745" s="20" t="s">
        <v>141</v>
      </c>
      <c r="F745" s="20" t="s">
        <v>249</v>
      </c>
      <c r="G745" s="12" t="s">
        <v>1372</v>
      </c>
      <c r="H745" s="13"/>
      <c r="I745" s="13"/>
      <c r="J745" s="13">
        <v>31</v>
      </c>
      <c r="K745" s="13">
        <v>38</v>
      </c>
      <c r="L745" s="13">
        <v>6</v>
      </c>
      <c r="M745" s="13"/>
      <c r="N745" s="13">
        <v>27</v>
      </c>
      <c r="O745" s="13">
        <v>6</v>
      </c>
      <c r="P745" s="13">
        <v>7</v>
      </c>
      <c r="Q745" s="13">
        <v>7</v>
      </c>
      <c r="R745" s="13"/>
      <c r="S745" s="13">
        <v>8</v>
      </c>
      <c r="T745" s="13">
        <v>273</v>
      </c>
      <c r="U745" s="13">
        <v>2</v>
      </c>
      <c r="V745" s="13">
        <v>4</v>
      </c>
      <c r="W745" s="13"/>
      <c r="X745" s="13">
        <v>2</v>
      </c>
      <c r="Y745" s="13">
        <v>2</v>
      </c>
      <c r="Z745" s="13"/>
      <c r="AA745" s="13">
        <v>21</v>
      </c>
      <c r="AB745" s="13"/>
      <c r="AC745" s="14">
        <v>40.54054054054054</v>
      </c>
      <c r="AD745" s="14">
        <v>124.33392539964477</v>
      </c>
      <c r="AE745" s="14">
        <v>35.175879396984925</v>
      </c>
      <c r="AF745" s="14"/>
      <c r="AG745" s="15">
        <v>3.2841997945025447</v>
      </c>
      <c r="AH745" s="15">
        <v>3.292474316548911</v>
      </c>
      <c r="AI745" s="15"/>
      <c r="AJ745" s="41">
        <f t="shared" si="22"/>
        <v>102</v>
      </c>
      <c r="AK745" s="44"/>
      <c r="AL745" s="10"/>
      <c r="AM745" s="10"/>
    </row>
    <row r="746" spans="1:39" s="16" customFormat="1" ht="19" customHeight="1">
      <c r="A746" s="9" t="s">
        <v>807</v>
      </c>
      <c r="B746" s="10" t="s">
        <v>140</v>
      </c>
      <c r="C746" s="10"/>
      <c r="D746" s="10"/>
      <c r="E746" s="20" t="s">
        <v>141</v>
      </c>
      <c r="F746" s="20" t="s">
        <v>249</v>
      </c>
      <c r="G746" s="12" t="s">
        <v>1372</v>
      </c>
      <c r="H746" s="13"/>
      <c r="I746" s="13"/>
      <c r="J746" s="13">
        <v>29</v>
      </c>
      <c r="K746" s="13">
        <v>42</v>
      </c>
      <c r="L746" s="13">
        <v>6</v>
      </c>
      <c r="M746" s="13"/>
      <c r="N746" s="13">
        <v>28</v>
      </c>
      <c r="O746" s="13">
        <v>6</v>
      </c>
      <c r="P746" s="13">
        <v>7</v>
      </c>
      <c r="Q746" s="13">
        <v>9</v>
      </c>
      <c r="R746" s="13"/>
      <c r="S746" s="13">
        <v>8</v>
      </c>
      <c r="T746" s="13">
        <v>230</v>
      </c>
      <c r="U746" s="13">
        <v>2</v>
      </c>
      <c r="V746" s="13">
        <v>5</v>
      </c>
      <c r="W746" s="13"/>
      <c r="X746" s="13">
        <v>2</v>
      </c>
      <c r="Y746" s="13">
        <v>2</v>
      </c>
      <c r="Z746" s="13"/>
      <c r="AA746" s="13">
        <v>17</v>
      </c>
      <c r="AB746" s="13"/>
      <c r="AC746" s="14">
        <v>40.54054054054054</v>
      </c>
      <c r="AD746" s="14">
        <v>124.33392539964477</v>
      </c>
      <c r="AE746" s="14">
        <v>45.226130653266331</v>
      </c>
      <c r="AF746" s="14"/>
      <c r="AG746" s="15">
        <v>2.8993529460572747</v>
      </c>
      <c r="AH746" s="15">
        <v>2.9036894132185909</v>
      </c>
      <c r="AI746" s="15"/>
      <c r="AJ746" s="41">
        <f t="shared" si="22"/>
        <v>105</v>
      </c>
      <c r="AK746" s="44"/>
      <c r="AL746" s="10"/>
      <c r="AM746" s="10"/>
    </row>
    <row r="747" spans="1:39" s="16" customFormat="1" ht="19" customHeight="1">
      <c r="A747" s="9" t="s">
        <v>808</v>
      </c>
      <c r="B747" s="10" t="s">
        <v>140</v>
      </c>
      <c r="C747" s="10"/>
      <c r="D747" s="10"/>
      <c r="E747" s="20" t="s">
        <v>141</v>
      </c>
      <c r="F747" s="20" t="s">
        <v>249</v>
      </c>
      <c r="G747" s="12" t="s">
        <v>1372</v>
      </c>
      <c r="H747" s="13"/>
      <c r="I747" s="13"/>
      <c r="J747" s="13">
        <v>29</v>
      </c>
      <c r="K747" s="13">
        <v>40</v>
      </c>
      <c r="L747" s="13">
        <v>7</v>
      </c>
      <c r="M747" s="13"/>
      <c r="N747" s="13">
        <v>27</v>
      </c>
      <c r="O747" s="13">
        <v>6</v>
      </c>
      <c r="P747" s="13">
        <v>7</v>
      </c>
      <c r="Q747" s="13">
        <v>8</v>
      </c>
      <c r="R747" s="13"/>
      <c r="S747" s="13">
        <v>8</v>
      </c>
      <c r="T747" s="13">
        <v>185</v>
      </c>
      <c r="U747" s="13">
        <v>2</v>
      </c>
      <c r="V747" s="13">
        <v>5</v>
      </c>
      <c r="W747" s="13"/>
      <c r="X747" s="13">
        <v>2</v>
      </c>
      <c r="Y747" s="13">
        <v>1</v>
      </c>
      <c r="Z747" s="13"/>
      <c r="AA747" s="13">
        <v>11</v>
      </c>
      <c r="AB747" s="13"/>
      <c r="AC747" s="14">
        <v>40.54054054054054</v>
      </c>
      <c r="AD747" s="14">
        <v>124.33392539964477</v>
      </c>
      <c r="AE747" s="14">
        <v>40.201005025125625</v>
      </c>
      <c r="AF747" s="14"/>
      <c r="AG747" s="15">
        <v>3.0798004801264405</v>
      </c>
      <c r="AH747" s="15">
        <v>3.0798277118196791</v>
      </c>
      <c r="AI747" s="15"/>
      <c r="AJ747" s="41">
        <f t="shared" si="22"/>
        <v>103</v>
      </c>
      <c r="AK747" s="44"/>
      <c r="AL747" s="10"/>
      <c r="AM747" s="10"/>
    </row>
    <row r="748" spans="1:39" s="16" customFormat="1" ht="19" customHeight="1">
      <c r="A748" s="9" t="s">
        <v>809</v>
      </c>
      <c r="B748" s="10" t="s">
        <v>140</v>
      </c>
      <c r="C748" s="10"/>
      <c r="D748" s="10"/>
      <c r="E748" s="20" t="s">
        <v>141</v>
      </c>
      <c r="F748" s="20" t="s">
        <v>249</v>
      </c>
      <c r="G748" s="12" t="s">
        <v>1372</v>
      </c>
      <c r="H748" s="13"/>
      <c r="I748" s="13"/>
      <c r="J748" s="13">
        <v>35</v>
      </c>
      <c r="K748" s="13">
        <v>49</v>
      </c>
      <c r="L748" s="13">
        <v>8</v>
      </c>
      <c r="M748" s="13"/>
      <c r="N748" s="13">
        <v>36</v>
      </c>
      <c r="O748" s="13">
        <v>10</v>
      </c>
      <c r="P748" s="13">
        <v>9</v>
      </c>
      <c r="Q748" s="13">
        <v>15</v>
      </c>
      <c r="R748" s="13"/>
      <c r="S748" s="13">
        <v>16</v>
      </c>
      <c r="T748" s="13">
        <v>214</v>
      </c>
      <c r="U748" s="13">
        <v>3</v>
      </c>
      <c r="V748" s="13">
        <v>8</v>
      </c>
      <c r="W748" s="13"/>
      <c r="X748" s="13">
        <v>4</v>
      </c>
      <c r="Y748" s="13">
        <v>1</v>
      </c>
      <c r="Z748" s="13"/>
      <c r="AA748" s="13">
        <v>1</v>
      </c>
      <c r="AB748" s="13"/>
      <c r="AC748" s="14">
        <v>67.567567567567565</v>
      </c>
      <c r="AD748" s="14">
        <v>159.85790408525756</v>
      </c>
      <c r="AE748" s="14">
        <v>75.37688442211055</v>
      </c>
      <c r="AF748" s="14"/>
      <c r="AG748" s="15">
        <v>2.2366437012441835</v>
      </c>
      <c r="AH748" s="15">
        <v>2.2399889759114844</v>
      </c>
      <c r="AI748" s="15"/>
      <c r="AJ748" s="41">
        <f t="shared" si="22"/>
        <v>128</v>
      </c>
      <c r="AK748" s="44"/>
      <c r="AL748" s="10"/>
      <c r="AM748" s="10"/>
    </row>
    <row r="749" spans="1:39" s="16" customFormat="1" ht="19" customHeight="1">
      <c r="A749" s="9" t="s">
        <v>810</v>
      </c>
      <c r="B749" s="10" t="s">
        <v>140</v>
      </c>
      <c r="C749" s="10"/>
      <c r="D749" s="10"/>
      <c r="E749" s="20" t="s">
        <v>141</v>
      </c>
      <c r="F749" s="20" t="s">
        <v>249</v>
      </c>
      <c r="G749" s="12" t="s">
        <v>1372</v>
      </c>
      <c r="H749" s="13"/>
      <c r="I749" s="13"/>
      <c r="J749" s="13">
        <v>34</v>
      </c>
      <c r="K749" s="13">
        <v>44</v>
      </c>
      <c r="L749" s="13">
        <v>8</v>
      </c>
      <c r="M749" s="13"/>
      <c r="N749" s="13">
        <v>31</v>
      </c>
      <c r="O749" s="13">
        <v>8</v>
      </c>
      <c r="P749" s="13">
        <v>8</v>
      </c>
      <c r="Q749" s="13">
        <v>10</v>
      </c>
      <c r="R749" s="13"/>
      <c r="S749" s="13">
        <v>10</v>
      </c>
      <c r="T749" s="13">
        <v>252</v>
      </c>
      <c r="U749" s="13">
        <v>2</v>
      </c>
      <c r="V749" s="13">
        <v>6</v>
      </c>
      <c r="W749" s="13"/>
      <c r="X749" s="13">
        <v>3</v>
      </c>
      <c r="Y749" s="13">
        <v>1</v>
      </c>
      <c r="Z749" s="13"/>
      <c r="AA749" s="13">
        <v>1</v>
      </c>
      <c r="AB749" s="13"/>
      <c r="AC749" s="14">
        <v>54.054054054054056</v>
      </c>
      <c r="AD749" s="14">
        <v>142.09591474245116</v>
      </c>
      <c r="AE749" s="14">
        <v>50.251256281407031</v>
      </c>
      <c r="AF749" s="14"/>
      <c r="AG749" s="15">
        <v>2.7246151568975727</v>
      </c>
      <c r="AH749" s="15">
        <v>2.7264277570435915</v>
      </c>
      <c r="AI749" s="15"/>
      <c r="AJ749" s="41">
        <f t="shared" si="22"/>
        <v>117</v>
      </c>
      <c r="AK749" s="44"/>
      <c r="AL749" s="10"/>
      <c r="AM749" s="10"/>
    </row>
    <row r="750" spans="1:39" s="16" customFormat="1" ht="19" customHeight="1">
      <c r="A750" s="9" t="s">
        <v>811</v>
      </c>
      <c r="B750" s="10" t="s">
        <v>140</v>
      </c>
      <c r="C750" s="10"/>
      <c r="D750" s="10"/>
      <c r="E750" s="20" t="s">
        <v>141</v>
      </c>
      <c r="F750" s="20" t="s">
        <v>249</v>
      </c>
      <c r="G750" s="12" t="s">
        <v>1372</v>
      </c>
      <c r="H750" s="13"/>
      <c r="I750" s="13"/>
      <c r="J750" s="13">
        <v>77</v>
      </c>
      <c r="K750" s="13">
        <v>107</v>
      </c>
      <c r="L750" s="13">
        <v>21</v>
      </c>
      <c r="M750" s="13"/>
      <c r="N750" s="13">
        <v>100</v>
      </c>
      <c r="O750" s="13">
        <v>27</v>
      </c>
      <c r="P750" s="13">
        <v>10</v>
      </c>
      <c r="Q750" s="13">
        <v>41</v>
      </c>
      <c r="R750" s="13"/>
      <c r="S750" s="13">
        <v>44</v>
      </c>
      <c r="T750" s="13">
        <v>294</v>
      </c>
      <c r="U750" s="13">
        <v>11</v>
      </c>
      <c r="V750" s="13">
        <v>30</v>
      </c>
      <c r="W750" s="13"/>
      <c r="X750" s="13">
        <v>23</v>
      </c>
      <c r="Y750" s="13">
        <v>1</v>
      </c>
      <c r="Z750" s="13"/>
      <c r="AA750" s="13">
        <v>3</v>
      </c>
      <c r="AB750" s="13"/>
      <c r="AC750" s="14">
        <v>182.43243243243245</v>
      </c>
      <c r="AD750" s="14">
        <v>177.61989342806396</v>
      </c>
      <c r="AE750" s="14">
        <v>206.03015075376882</v>
      </c>
      <c r="AF750" s="14"/>
      <c r="AG750" s="15">
        <v>0.91447619985024731</v>
      </c>
      <c r="AH750" s="15">
        <v>0.91616815185458478</v>
      </c>
      <c r="AI750" s="15"/>
      <c r="AJ750" s="41">
        <f t="shared" si="22"/>
        <v>305</v>
      </c>
      <c r="AK750" s="44"/>
      <c r="AL750" s="10"/>
      <c r="AM750" s="10"/>
    </row>
    <row r="751" spans="1:39" s="16" customFormat="1" ht="19" customHeight="1">
      <c r="A751" s="9" t="s">
        <v>812</v>
      </c>
      <c r="B751" s="10" t="s">
        <v>140</v>
      </c>
      <c r="C751" s="10"/>
      <c r="D751" s="10"/>
      <c r="E751" s="20" t="s">
        <v>141</v>
      </c>
      <c r="F751" s="20" t="s">
        <v>249</v>
      </c>
      <c r="G751" s="12" t="s">
        <v>1372</v>
      </c>
      <c r="H751" s="13"/>
      <c r="I751" s="13"/>
      <c r="J751" s="13">
        <v>77</v>
      </c>
      <c r="K751" s="13">
        <v>73</v>
      </c>
      <c r="L751" s="13">
        <v>14</v>
      </c>
      <c r="M751" s="13"/>
      <c r="N751" s="13">
        <v>58</v>
      </c>
      <c r="O751" s="13">
        <v>16</v>
      </c>
      <c r="P751" s="13">
        <v>7</v>
      </c>
      <c r="Q751" s="13">
        <v>24</v>
      </c>
      <c r="R751" s="13"/>
      <c r="S751" s="13">
        <v>30</v>
      </c>
      <c r="T751" s="13">
        <v>355</v>
      </c>
      <c r="U751" s="13">
        <v>9</v>
      </c>
      <c r="V751" s="13">
        <v>30</v>
      </c>
      <c r="W751" s="13"/>
      <c r="X751" s="13">
        <v>30</v>
      </c>
      <c r="Y751" s="13">
        <v>1</v>
      </c>
      <c r="Z751" s="13"/>
      <c r="AA751" s="13">
        <v>95</v>
      </c>
      <c r="AB751" s="13"/>
      <c r="AC751" s="14">
        <v>108.10810810810811</v>
      </c>
      <c r="AD751" s="14">
        <v>124.33392539964477</v>
      </c>
      <c r="AE751" s="14">
        <v>120.60301507537687</v>
      </c>
      <c r="AF751" s="14"/>
      <c r="AG751" s="15">
        <v>1.0872573547714781</v>
      </c>
      <c r="AH751" s="15">
        <v>1.0888835299569715</v>
      </c>
      <c r="AI751" s="15"/>
      <c r="AJ751" s="41">
        <f t="shared" si="22"/>
        <v>222</v>
      </c>
      <c r="AK751" s="44"/>
      <c r="AL751" s="10"/>
      <c r="AM751" s="10"/>
    </row>
    <row r="752" spans="1:39" s="16" customFormat="1" ht="19" customHeight="1">
      <c r="A752" s="9" t="s">
        <v>813</v>
      </c>
      <c r="B752" s="10" t="s">
        <v>140</v>
      </c>
      <c r="C752" s="10"/>
      <c r="D752" s="10"/>
      <c r="E752" s="20" t="s">
        <v>141</v>
      </c>
      <c r="F752" s="20" t="s">
        <v>249</v>
      </c>
      <c r="G752" s="12" t="s">
        <v>1372</v>
      </c>
      <c r="H752" s="13"/>
      <c r="I752" s="13"/>
      <c r="J752" s="13">
        <v>105</v>
      </c>
      <c r="K752" s="13">
        <v>147</v>
      </c>
      <c r="L752" s="13">
        <v>22</v>
      </c>
      <c r="M752" s="13"/>
      <c r="N752" s="13">
        <v>96</v>
      </c>
      <c r="O752" s="13">
        <v>24</v>
      </c>
      <c r="P752" s="13">
        <v>14</v>
      </c>
      <c r="Q752" s="13">
        <v>37</v>
      </c>
      <c r="R752" s="13"/>
      <c r="S752" s="13">
        <v>43</v>
      </c>
      <c r="T752" s="13">
        <v>469</v>
      </c>
      <c r="U752" s="13">
        <v>11</v>
      </c>
      <c r="V752" s="13">
        <v>37</v>
      </c>
      <c r="W752" s="13"/>
      <c r="X752" s="13">
        <v>30</v>
      </c>
      <c r="Y752" s="13">
        <v>2</v>
      </c>
      <c r="Z752" s="13"/>
      <c r="AA752" s="13">
        <v>9</v>
      </c>
      <c r="AB752" s="13"/>
      <c r="AC752" s="14">
        <v>162.16216216216216</v>
      </c>
      <c r="AD752" s="14">
        <v>248.66785079928954</v>
      </c>
      <c r="AE752" s="14">
        <v>185.92964824120602</v>
      </c>
      <c r="AF752" s="14"/>
      <c r="AG752" s="15">
        <v>1.4287486425557308</v>
      </c>
      <c r="AH752" s="15">
        <v>1.4320907969472703</v>
      </c>
      <c r="AI752" s="15"/>
      <c r="AJ752" s="41">
        <f t="shared" si="22"/>
        <v>370</v>
      </c>
      <c r="AK752" s="44"/>
      <c r="AL752" s="10"/>
      <c r="AM752" s="10"/>
    </row>
    <row r="753" spans="1:39" s="16" customFormat="1" ht="19" customHeight="1">
      <c r="A753" s="9" t="s">
        <v>814</v>
      </c>
      <c r="B753" s="10" t="s">
        <v>140</v>
      </c>
      <c r="C753" s="10"/>
      <c r="D753" s="10"/>
      <c r="E753" s="20" t="s">
        <v>141</v>
      </c>
      <c r="F753" s="20" t="s">
        <v>249</v>
      </c>
      <c r="G753" s="12" t="s">
        <v>1372</v>
      </c>
      <c r="H753" s="13"/>
      <c r="I753" s="13"/>
      <c r="J753" s="13">
        <v>101</v>
      </c>
      <c r="K753" s="13">
        <v>139</v>
      </c>
      <c r="L753" s="13">
        <v>21</v>
      </c>
      <c r="M753" s="13"/>
      <c r="N753" s="13">
        <v>93</v>
      </c>
      <c r="O753" s="13">
        <v>24</v>
      </c>
      <c r="P753" s="13">
        <v>14</v>
      </c>
      <c r="Q753" s="13">
        <v>39</v>
      </c>
      <c r="R753" s="13"/>
      <c r="S753" s="13">
        <v>43</v>
      </c>
      <c r="T753" s="13">
        <v>282</v>
      </c>
      <c r="U753" s="13">
        <v>11</v>
      </c>
      <c r="V753" s="13">
        <v>34</v>
      </c>
      <c r="W753" s="13"/>
      <c r="X753" s="13">
        <v>26</v>
      </c>
      <c r="Y753" s="13">
        <v>1</v>
      </c>
      <c r="Z753" s="13"/>
      <c r="AA753" s="13">
        <v>2</v>
      </c>
      <c r="AB753" s="13"/>
      <c r="AC753" s="14">
        <v>162.16216216216216</v>
      </c>
      <c r="AD753" s="14">
        <v>248.66785079928954</v>
      </c>
      <c r="AE753" s="14">
        <v>195.97989949748742</v>
      </c>
      <c r="AF753" s="14"/>
      <c r="AG753" s="15">
        <v>1.3886548239933021</v>
      </c>
      <c r="AH753" s="15">
        <v>1.3948872748862091</v>
      </c>
      <c r="AI753" s="15"/>
      <c r="AJ753" s="41">
        <f t="shared" si="22"/>
        <v>354</v>
      </c>
      <c r="AK753" s="44"/>
      <c r="AL753" s="10"/>
      <c r="AM753" s="10"/>
    </row>
    <row r="754" spans="1:39" s="16" customFormat="1" ht="19" customHeight="1">
      <c r="A754" s="9" t="s">
        <v>815</v>
      </c>
      <c r="B754" s="10" t="s">
        <v>140</v>
      </c>
      <c r="C754" s="10"/>
      <c r="D754" s="10"/>
      <c r="E754" s="20" t="s">
        <v>141</v>
      </c>
      <c r="F754" s="20" t="s">
        <v>249</v>
      </c>
      <c r="G754" s="12" t="s">
        <v>1372</v>
      </c>
      <c r="H754" s="13"/>
      <c r="I754" s="13"/>
      <c r="J754" s="13">
        <v>56</v>
      </c>
      <c r="K754" s="13">
        <v>78</v>
      </c>
      <c r="L754" s="13">
        <v>14</v>
      </c>
      <c r="M754" s="13"/>
      <c r="N754" s="13">
        <v>63</v>
      </c>
      <c r="O754" s="13">
        <v>16</v>
      </c>
      <c r="P754" s="13">
        <v>7</v>
      </c>
      <c r="Q754" s="13">
        <v>25</v>
      </c>
      <c r="R754" s="13"/>
      <c r="S754" s="13">
        <v>28</v>
      </c>
      <c r="T754" s="13">
        <v>97</v>
      </c>
      <c r="U754" s="13">
        <v>7</v>
      </c>
      <c r="V754" s="13">
        <v>20</v>
      </c>
      <c r="W754" s="13"/>
      <c r="X754" s="13">
        <v>13</v>
      </c>
      <c r="Y754" s="13">
        <v>0.5</v>
      </c>
      <c r="Z754" s="13"/>
      <c r="AA754" s="13">
        <v>17</v>
      </c>
      <c r="AB754" s="13"/>
      <c r="AC754" s="14">
        <v>108.10810810810811</v>
      </c>
      <c r="AD754" s="14">
        <v>124.33392539964477</v>
      </c>
      <c r="AE754" s="14">
        <v>125.62814070351759</v>
      </c>
      <c r="AF754" s="14"/>
      <c r="AG754" s="15">
        <v>1.0638822692824921</v>
      </c>
      <c r="AH754" s="15">
        <v>1.0668836150860566</v>
      </c>
      <c r="AI754" s="15"/>
      <c r="AJ754" s="41">
        <f t="shared" si="22"/>
        <v>211</v>
      </c>
      <c r="AK754" s="44"/>
      <c r="AL754" s="10"/>
      <c r="AM754" s="10"/>
    </row>
    <row r="755" spans="1:39" s="16" customFormat="1" ht="19" customHeight="1">
      <c r="A755" s="9" t="s">
        <v>816</v>
      </c>
      <c r="B755" s="10" t="s">
        <v>140</v>
      </c>
      <c r="C755" s="10"/>
      <c r="D755" s="10"/>
      <c r="E755" s="20" t="s">
        <v>141</v>
      </c>
      <c r="F755" s="20" t="s">
        <v>249</v>
      </c>
      <c r="G755" s="12" t="s">
        <v>1372</v>
      </c>
      <c r="H755" s="13"/>
      <c r="I755" s="13"/>
      <c r="J755" s="13">
        <v>98</v>
      </c>
      <c r="K755" s="13">
        <v>98</v>
      </c>
      <c r="L755" s="13">
        <v>21</v>
      </c>
      <c r="M755" s="13"/>
      <c r="N755" s="13">
        <v>105</v>
      </c>
      <c r="O755" s="13">
        <v>27</v>
      </c>
      <c r="P755" s="13">
        <v>10</v>
      </c>
      <c r="Q755" s="13">
        <v>43</v>
      </c>
      <c r="R755" s="13"/>
      <c r="S755" s="13">
        <v>46</v>
      </c>
      <c r="T755" s="13">
        <v>121</v>
      </c>
      <c r="U755" s="13">
        <v>11</v>
      </c>
      <c r="V755" s="13">
        <v>34</v>
      </c>
      <c r="W755" s="13"/>
      <c r="X755" s="13">
        <v>27</v>
      </c>
      <c r="Y755" s="13">
        <v>1</v>
      </c>
      <c r="Z755" s="13"/>
      <c r="AA755" s="13">
        <v>27</v>
      </c>
      <c r="AB755" s="13"/>
      <c r="AC755" s="14">
        <v>182.43243243243245</v>
      </c>
      <c r="AD755" s="14">
        <v>177.61989342806396</v>
      </c>
      <c r="AE755" s="14">
        <v>216.08040201005025</v>
      </c>
      <c r="AF755" s="14"/>
      <c r="AG755" s="15">
        <v>0.89141366639572972</v>
      </c>
      <c r="AH755" s="15">
        <v>0.8946082341395013</v>
      </c>
      <c r="AI755" s="15"/>
      <c r="AJ755" s="41">
        <f t="shared" si="22"/>
        <v>322</v>
      </c>
      <c r="AK755" s="44"/>
      <c r="AL755" s="10"/>
      <c r="AM755" s="10"/>
    </row>
    <row r="756" spans="1:39" s="16" customFormat="1" ht="19" customHeight="1">
      <c r="A756" s="9" t="s">
        <v>817</v>
      </c>
      <c r="B756" s="10" t="s">
        <v>140</v>
      </c>
      <c r="C756" s="10"/>
      <c r="D756" s="10"/>
      <c r="E756" s="20" t="s">
        <v>141</v>
      </c>
      <c r="F756" s="20" t="s">
        <v>249</v>
      </c>
      <c r="G756" s="12" t="s">
        <v>1372</v>
      </c>
      <c r="H756" s="13"/>
      <c r="I756" s="13"/>
      <c r="J756" s="13">
        <v>62</v>
      </c>
      <c r="K756" s="13">
        <v>132</v>
      </c>
      <c r="L756" s="13">
        <v>34</v>
      </c>
      <c r="M756" s="13"/>
      <c r="N756" s="13">
        <v>186</v>
      </c>
      <c r="O756" s="13">
        <v>70</v>
      </c>
      <c r="P756" s="13">
        <v>12</v>
      </c>
      <c r="Q756" s="13">
        <v>93</v>
      </c>
      <c r="R756" s="13"/>
      <c r="S756" s="13">
        <v>81</v>
      </c>
      <c r="T756" s="13">
        <v>75</v>
      </c>
      <c r="U756" s="13">
        <v>16</v>
      </c>
      <c r="V756" s="13">
        <v>36</v>
      </c>
      <c r="W756" s="13"/>
      <c r="X756" s="13">
        <v>20</v>
      </c>
      <c r="Y756" s="13">
        <v>0.5</v>
      </c>
      <c r="Z756" s="13"/>
      <c r="AA756" s="13">
        <v>14</v>
      </c>
      <c r="AB756" s="13"/>
      <c r="AC756" s="14">
        <v>472.97297297297297</v>
      </c>
      <c r="AD756" s="14">
        <v>213.14387211367674</v>
      </c>
      <c r="AE756" s="14">
        <v>467.3366834170854</v>
      </c>
      <c r="AF756" s="14"/>
      <c r="AG756" s="15">
        <v>0.45334825749202051</v>
      </c>
      <c r="AH756" s="15">
        <v>0.45335640188007931</v>
      </c>
      <c r="AI756" s="15"/>
      <c r="AJ756" s="41">
        <f t="shared" si="22"/>
        <v>414</v>
      </c>
      <c r="AK756" s="44"/>
      <c r="AL756" s="10"/>
      <c r="AM756" s="10"/>
    </row>
    <row r="757" spans="1:39" s="16" customFormat="1" ht="19" customHeight="1">
      <c r="A757" s="9" t="s">
        <v>818</v>
      </c>
      <c r="B757" s="10" t="s">
        <v>140</v>
      </c>
      <c r="C757" s="10"/>
      <c r="D757" s="10"/>
      <c r="E757" s="20" t="s">
        <v>141</v>
      </c>
      <c r="F757" s="20" t="s">
        <v>249</v>
      </c>
      <c r="G757" s="12" t="s">
        <v>1372</v>
      </c>
      <c r="H757" s="13"/>
      <c r="I757" s="13"/>
      <c r="J757" s="13">
        <v>68</v>
      </c>
      <c r="K757" s="13">
        <v>124</v>
      </c>
      <c r="L757" s="13">
        <v>32</v>
      </c>
      <c r="M757" s="13"/>
      <c r="N757" s="13">
        <v>201</v>
      </c>
      <c r="O757" s="13">
        <v>76</v>
      </c>
      <c r="P757" s="13">
        <v>11</v>
      </c>
      <c r="Q757" s="13">
        <v>102</v>
      </c>
      <c r="R757" s="13"/>
      <c r="S757" s="13">
        <v>89</v>
      </c>
      <c r="T757" s="13">
        <v>115</v>
      </c>
      <c r="U757" s="13">
        <v>17</v>
      </c>
      <c r="V757" s="13">
        <v>39</v>
      </c>
      <c r="W757" s="13"/>
      <c r="X757" s="13">
        <v>22</v>
      </c>
      <c r="Y757" s="13">
        <v>1</v>
      </c>
      <c r="Z757" s="13"/>
      <c r="AA757" s="13">
        <v>28</v>
      </c>
      <c r="AB757" s="13"/>
      <c r="AC757" s="14">
        <v>513.51351351351354</v>
      </c>
      <c r="AD757" s="14">
        <v>195.38188277087036</v>
      </c>
      <c r="AE757" s="14">
        <v>512.56281407035169</v>
      </c>
      <c r="AF757" s="14"/>
      <c r="AG757" s="15">
        <v>0.38083303847568983</v>
      </c>
      <c r="AH757" s="15">
        <v>0.38083320194342457</v>
      </c>
      <c r="AI757" s="15"/>
      <c r="AJ757" s="41">
        <f t="shared" si="22"/>
        <v>425</v>
      </c>
      <c r="AK757" s="44"/>
      <c r="AL757" s="10"/>
      <c r="AM757" s="10"/>
    </row>
    <row r="758" spans="1:39" s="16" customFormat="1" ht="19" customHeight="1">
      <c r="A758" s="9" t="s">
        <v>819</v>
      </c>
      <c r="B758" s="10" t="s">
        <v>140</v>
      </c>
      <c r="C758" s="10"/>
      <c r="D758" s="10"/>
      <c r="E758" s="20" t="s">
        <v>141</v>
      </c>
      <c r="F758" s="20" t="s">
        <v>249</v>
      </c>
      <c r="G758" s="12" t="s">
        <v>1372</v>
      </c>
      <c r="H758" s="13"/>
      <c r="I758" s="13"/>
      <c r="J758" s="13">
        <v>76</v>
      </c>
      <c r="K758" s="13">
        <v>164</v>
      </c>
      <c r="L758" s="13">
        <v>36</v>
      </c>
      <c r="M758" s="13"/>
      <c r="N758" s="13">
        <v>219</v>
      </c>
      <c r="O758" s="13">
        <v>77</v>
      </c>
      <c r="P758" s="13">
        <v>14</v>
      </c>
      <c r="Q758" s="13">
        <v>102</v>
      </c>
      <c r="R758" s="13"/>
      <c r="S758" s="13">
        <v>80</v>
      </c>
      <c r="T758" s="13">
        <v>130</v>
      </c>
      <c r="U758" s="13">
        <v>15</v>
      </c>
      <c r="V758" s="13">
        <v>34</v>
      </c>
      <c r="W758" s="13"/>
      <c r="X758" s="13">
        <v>19</v>
      </c>
      <c r="Y758" s="13">
        <v>1</v>
      </c>
      <c r="Z758" s="13"/>
      <c r="AA758" s="13">
        <v>25</v>
      </c>
      <c r="AB758" s="13"/>
      <c r="AC758" s="14">
        <v>520.27027027027032</v>
      </c>
      <c r="AD758" s="14">
        <v>248.66785079928954</v>
      </c>
      <c r="AE758" s="14">
        <v>512.56281407035169</v>
      </c>
      <c r="AF758" s="14"/>
      <c r="AG758" s="15">
        <v>0.48152572679842703</v>
      </c>
      <c r="AH758" s="15">
        <v>0.48153913496780787</v>
      </c>
      <c r="AI758" s="15"/>
      <c r="AJ758" s="41">
        <f t="shared" si="22"/>
        <v>495</v>
      </c>
      <c r="AK758" s="44"/>
      <c r="AL758" s="10"/>
      <c r="AM758" s="10"/>
    </row>
    <row r="759" spans="1:39" s="16" customFormat="1" ht="19" customHeight="1">
      <c r="A759" s="9" t="s">
        <v>820</v>
      </c>
      <c r="B759" s="10" t="s">
        <v>140</v>
      </c>
      <c r="C759" s="10"/>
      <c r="D759" s="10"/>
      <c r="E759" s="20" t="s">
        <v>141</v>
      </c>
      <c r="F759" s="20" t="s">
        <v>249</v>
      </c>
      <c r="G759" s="12" t="s">
        <v>1372</v>
      </c>
      <c r="H759" s="13"/>
      <c r="I759" s="13"/>
      <c r="J759" s="13">
        <v>68</v>
      </c>
      <c r="K759" s="13">
        <v>139</v>
      </c>
      <c r="L759" s="13">
        <v>34</v>
      </c>
      <c r="M759" s="13"/>
      <c r="N759" s="13">
        <v>202</v>
      </c>
      <c r="O759" s="13">
        <v>71</v>
      </c>
      <c r="P759" s="13">
        <v>13</v>
      </c>
      <c r="Q759" s="13">
        <v>96</v>
      </c>
      <c r="R759" s="13"/>
      <c r="S759" s="13">
        <v>83</v>
      </c>
      <c r="T759" s="13">
        <v>84</v>
      </c>
      <c r="U759" s="13">
        <v>16</v>
      </c>
      <c r="V759" s="13">
        <v>36</v>
      </c>
      <c r="W759" s="13"/>
      <c r="X759" s="13">
        <v>21</v>
      </c>
      <c r="Y759" s="13">
        <v>0.5</v>
      </c>
      <c r="Z759" s="13"/>
      <c r="AA759" s="13">
        <v>18</v>
      </c>
      <c r="AB759" s="13"/>
      <c r="AC759" s="14">
        <v>479.72972972972974</v>
      </c>
      <c r="AD759" s="14">
        <v>230.90586145648314</v>
      </c>
      <c r="AE759" s="14">
        <v>482.41206030150749</v>
      </c>
      <c r="AF759" s="14"/>
      <c r="AG759" s="15">
        <v>0.47998302089962536</v>
      </c>
      <c r="AH759" s="15">
        <v>0.47998488618314411</v>
      </c>
      <c r="AI759" s="15"/>
      <c r="AJ759" s="41">
        <f t="shared" si="22"/>
        <v>443</v>
      </c>
      <c r="AK759" s="44"/>
      <c r="AL759" s="10"/>
      <c r="AM759" s="10"/>
    </row>
    <row r="760" spans="1:39" s="16" customFormat="1" ht="19" customHeight="1">
      <c r="A760" s="9" t="s">
        <v>821</v>
      </c>
      <c r="B760" s="10" t="s">
        <v>140</v>
      </c>
      <c r="C760" s="10"/>
      <c r="D760" s="10"/>
      <c r="E760" s="20" t="s">
        <v>141</v>
      </c>
      <c r="F760" s="20" t="s">
        <v>249</v>
      </c>
      <c r="G760" s="12" t="s">
        <v>1372</v>
      </c>
      <c r="H760" s="13"/>
      <c r="I760" s="13"/>
      <c r="J760" s="13">
        <v>130</v>
      </c>
      <c r="K760" s="13">
        <v>283</v>
      </c>
      <c r="L760" s="13">
        <v>56</v>
      </c>
      <c r="M760" s="13"/>
      <c r="N760" s="13">
        <v>283</v>
      </c>
      <c r="O760" s="13">
        <v>87</v>
      </c>
      <c r="P760" s="13">
        <v>15</v>
      </c>
      <c r="Q760" s="13">
        <v>108</v>
      </c>
      <c r="R760" s="13"/>
      <c r="S760" s="13">
        <v>84</v>
      </c>
      <c r="T760" s="13">
        <v>39</v>
      </c>
      <c r="U760" s="13">
        <v>16</v>
      </c>
      <c r="V760" s="13">
        <v>36</v>
      </c>
      <c r="W760" s="13"/>
      <c r="X760" s="13">
        <v>18</v>
      </c>
      <c r="Y760" s="13">
        <v>0.5</v>
      </c>
      <c r="Z760" s="13"/>
      <c r="AA760" s="13">
        <v>0</v>
      </c>
      <c r="AB760" s="13"/>
      <c r="AC760" s="14">
        <v>587.83783783783781</v>
      </c>
      <c r="AD760" s="14">
        <v>266.42984014209594</v>
      </c>
      <c r="AE760" s="14">
        <v>542.713567839196</v>
      </c>
      <c r="AF760" s="14"/>
      <c r="AG760" s="15">
        <v>0.47132724580983326</v>
      </c>
      <c r="AH760" s="15">
        <v>0.47170312785466878</v>
      </c>
      <c r="AI760" s="15"/>
      <c r="AJ760" s="41">
        <f t="shared" si="22"/>
        <v>752</v>
      </c>
      <c r="AK760" s="44"/>
      <c r="AL760" s="10"/>
      <c r="AM760" s="10"/>
    </row>
    <row r="761" spans="1:39" s="16" customFormat="1" ht="19" customHeight="1">
      <c r="A761" s="9" t="s">
        <v>822</v>
      </c>
      <c r="B761" s="10" t="s">
        <v>140</v>
      </c>
      <c r="C761" s="10"/>
      <c r="D761" s="10"/>
      <c r="E761" s="20" t="s">
        <v>141</v>
      </c>
      <c r="F761" s="20" t="s">
        <v>249</v>
      </c>
      <c r="G761" s="12" t="s">
        <v>1372</v>
      </c>
      <c r="H761" s="13"/>
      <c r="I761" s="13"/>
      <c r="J761" s="13">
        <v>75</v>
      </c>
      <c r="K761" s="13">
        <v>116</v>
      </c>
      <c r="L761" s="13">
        <v>38</v>
      </c>
      <c r="M761" s="13"/>
      <c r="N761" s="13">
        <v>214</v>
      </c>
      <c r="O761" s="13">
        <v>76</v>
      </c>
      <c r="P761" s="13">
        <v>14</v>
      </c>
      <c r="Q761" s="13">
        <v>102</v>
      </c>
      <c r="R761" s="13"/>
      <c r="S761" s="13">
        <v>87</v>
      </c>
      <c r="T761" s="13">
        <v>30</v>
      </c>
      <c r="U761" s="13">
        <v>16</v>
      </c>
      <c r="V761" s="13">
        <v>40</v>
      </c>
      <c r="W761" s="13"/>
      <c r="X761" s="13">
        <v>22</v>
      </c>
      <c r="Y761" s="13">
        <v>0.5</v>
      </c>
      <c r="Z761" s="13"/>
      <c r="AA761" s="13">
        <v>0</v>
      </c>
      <c r="AB761" s="13"/>
      <c r="AC761" s="14">
        <v>513.51351351351354</v>
      </c>
      <c r="AD761" s="14">
        <v>248.66785079928954</v>
      </c>
      <c r="AE761" s="14">
        <v>512.56281407035169</v>
      </c>
      <c r="AF761" s="14"/>
      <c r="AG761" s="15">
        <v>0.48469659442360524</v>
      </c>
      <c r="AH761" s="15">
        <v>0.48469680247344943</v>
      </c>
      <c r="AI761" s="15"/>
      <c r="AJ761" s="41">
        <f t="shared" si="22"/>
        <v>443</v>
      </c>
      <c r="AK761" s="44"/>
      <c r="AL761" s="10"/>
      <c r="AM761" s="10"/>
    </row>
    <row r="762" spans="1:39" s="16" customFormat="1" ht="19" customHeight="1">
      <c r="A762" s="9" t="s">
        <v>823</v>
      </c>
      <c r="B762" s="10" t="s">
        <v>140</v>
      </c>
      <c r="C762" s="10"/>
      <c r="D762" s="10"/>
      <c r="E762" s="20" t="s">
        <v>141</v>
      </c>
      <c r="F762" s="20" t="s">
        <v>249</v>
      </c>
      <c r="G762" s="12" t="s">
        <v>1372</v>
      </c>
      <c r="H762" s="13"/>
      <c r="I762" s="13"/>
      <c r="J762" s="13">
        <v>58</v>
      </c>
      <c r="K762" s="13">
        <v>129</v>
      </c>
      <c r="L762" s="13">
        <v>29</v>
      </c>
      <c r="M762" s="13"/>
      <c r="N762" s="13">
        <v>185</v>
      </c>
      <c r="O762" s="13">
        <v>67</v>
      </c>
      <c r="P762" s="13">
        <v>12</v>
      </c>
      <c r="Q762" s="13">
        <v>89</v>
      </c>
      <c r="R762" s="13"/>
      <c r="S762" s="13">
        <v>73</v>
      </c>
      <c r="T762" s="13">
        <v>18</v>
      </c>
      <c r="U762" s="13">
        <v>13</v>
      </c>
      <c r="V762" s="13">
        <v>34</v>
      </c>
      <c r="W762" s="13"/>
      <c r="X762" s="13">
        <v>18</v>
      </c>
      <c r="Y762" s="13">
        <v>0.5</v>
      </c>
      <c r="Z762" s="13"/>
      <c r="AA762" s="13">
        <v>3</v>
      </c>
      <c r="AB762" s="13"/>
      <c r="AC762" s="14">
        <v>452.70270270270271</v>
      </c>
      <c r="AD762" s="14">
        <v>213.14387211367674</v>
      </c>
      <c r="AE762" s="14">
        <v>447.2361809045226</v>
      </c>
      <c r="AF762" s="14"/>
      <c r="AG762" s="15">
        <v>0.47368521573227745</v>
      </c>
      <c r="AH762" s="15">
        <v>0.47369395485801247</v>
      </c>
      <c r="AI762" s="15"/>
      <c r="AJ762" s="41">
        <f t="shared" si="22"/>
        <v>401</v>
      </c>
      <c r="AK762" s="44"/>
      <c r="AL762" s="10"/>
      <c r="AM762" s="10"/>
    </row>
    <row r="763" spans="1:39" s="16" customFormat="1" ht="19" customHeight="1">
      <c r="A763" s="9" t="s">
        <v>824</v>
      </c>
      <c r="B763" s="10" t="s">
        <v>140</v>
      </c>
      <c r="C763" s="10"/>
      <c r="D763" s="10"/>
      <c r="E763" s="20" t="s">
        <v>141</v>
      </c>
      <c r="F763" s="20" t="s">
        <v>249</v>
      </c>
      <c r="G763" s="12" t="s">
        <v>1372</v>
      </c>
      <c r="H763" s="13"/>
      <c r="I763" s="13"/>
      <c r="J763" s="13">
        <v>59</v>
      </c>
      <c r="K763" s="13">
        <v>104</v>
      </c>
      <c r="L763" s="13">
        <v>30</v>
      </c>
      <c r="M763" s="13"/>
      <c r="N763" s="13">
        <v>172</v>
      </c>
      <c r="O763" s="13">
        <v>62</v>
      </c>
      <c r="P763" s="13">
        <v>11</v>
      </c>
      <c r="Q763" s="13">
        <v>84</v>
      </c>
      <c r="R763" s="13"/>
      <c r="S763" s="13">
        <v>68</v>
      </c>
      <c r="T763" s="13">
        <v>179</v>
      </c>
      <c r="U763" s="13">
        <v>12</v>
      </c>
      <c r="V763" s="13">
        <v>30</v>
      </c>
      <c r="W763" s="13"/>
      <c r="X763" s="13">
        <v>16</v>
      </c>
      <c r="Y763" s="13">
        <v>1</v>
      </c>
      <c r="Z763" s="13"/>
      <c r="AA763" s="13">
        <v>8</v>
      </c>
      <c r="AB763" s="13"/>
      <c r="AC763" s="14">
        <v>418.91891891891896</v>
      </c>
      <c r="AD763" s="14">
        <v>195.38188277087036</v>
      </c>
      <c r="AE763" s="14">
        <v>422.1105527638191</v>
      </c>
      <c r="AF763" s="14"/>
      <c r="AG763" s="15">
        <v>0.46462553180199223</v>
      </c>
      <c r="AH763" s="15">
        <v>0.46462887745934495</v>
      </c>
      <c r="AI763" s="15"/>
      <c r="AJ763" s="41">
        <f t="shared" si="22"/>
        <v>365</v>
      </c>
      <c r="AK763" s="44"/>
      <c r="AL763" s="10"/>
      <c r="AM763" s="10"/>
    </row>
    <row r="764" spans="1:39" s="16" customFormat="1" ht="19" customHeight="1">
      <c r="A764" s="9" t="s">
        <v>825</v>
      </c>
      <c r="B764" s="10" t="s">
        <v>140</v>
      </c>
      <c r="C764" s="10"/>
      <c r="D764" s="10"/>
      <c r="E764" s="20" t="s">
        <v>141</v>
      </c>
      <c r="F764" s="20" t="s">
        <v>249</v>
      </c>
      <c r="G764" s="12" t="s">
        <v>1372</v>
      </c>
      <c r="H764" s="13"/>
      <c r="I764" s="13"/>
      <c r="J764" s="13">
        <v>124</v>
      </c>
      <c r="K764" s="13">
        <v>251</v>
      </c>
      <c r="L764" s="13">
        <v>49</v>
      </c>
      <c r="M764" s="13"/>
      <c r="N764" s="13">
        <v>263</v>
      </c>
      <c r="O764" s="13">
        <v>80</v>
      </c>
      <c r="P764" s="13">
        <v>14</v>
      </c>
      <c r="Q764" s="13">
        <v>109</v>
      </c>
      <c r="R764" s="13"/>
      <c r="S764" s="13">
        <v>98</v>
      </c>
      <c r="T764" s="13">
        <v>257</v>
      </c>
      <c r="U764" s="13">
        <v>19</v>
      </c>
      <c r="V764" s="13">
        <v>49</v>
      </c>
      <c r="W764" s="13"/>
      <c r="X764" s="13">
        <v>31</v>
      </c>
      <c r="Y764" s="13">
        <v>2</v>
      </c>
      <c r="Z764" s="13"/>
      <c r="AA764" s="13">
        <v>16</v>
      </c>
      <c r="AB764" s="13"/>
      <c r="AC764" s="14">
        <v>540.54054054054052</v>
      </c>
      <c r="AD764" s="14">
        <v>248.66785079928954</v>
      </c>
      <c r="AE764" s="14">
        <v>547.7386934673367</v>
      </c>
      <c r="AF764" s="14"/>
      <c r="AG764" s="15">
        <v>0.45699273316739519</v>
      </c>
      <c r="AH764" s="15">
        <v>0.45700272982925733</v>
      </c>
      <c r="AI764" s="15"/>
      <c r="AJ764" s="41">
        <f t="shared" si="22"/>
        <v>687</v>
      </c>
      <c r="AK764" s="44"/>
      <c r="AL764" s="10"/>
      <c r="AM764" s="10"/>
    </row>
    <row r="765" spans="1:39" s="16" customFormat="1" ht="19" customHeight="1">
      <c r="A765" s="9" t="s">
        <v>826</v>
      </c>
      <c r="B765" s="10" t="s">
        <v>140</v>
      </c>
      <c r="C765" s="10"/>
      <c r="D765" s="10"/>
      <c r="E765" s="20" t="s">
        <v>141</v>
      </c>
      <c r="F765" s="20" t="s">
        <v>249</v>
      </c>
      <c r="G765" s="12" t="s">
        <v>1372</v>
      </c>
      <c r="H765" s="13"/>
      <c r="I765" s="13"/>
      <c r="J765" s="13">
        <v>55</v>
      </c>
      <c r="K765" s="13">
        <v>123</v>
      </c>
      <c r="L765" s="13">
        <v>28</v>
      </c>
      <c r="M765" s="13"/>
      <c r="N765" s="13">
        <v>163</v>
      </c>
      <c r="O765" s="13">
        <v>59</v>
      </c>
      <c r="P765" s="13">
        <v>10</v>
      </c>
      <c r="Q765" s="13">
        <v>79</v>
      </c>
      <c r="R765" s="13"/>
      <c r="S765" s="13">
        <v>65</v>
      </c>
      <c r="T765" s="13">
        <v>164</v>
      </c>
      <c r="U765" s="13">
        <v>13</v>
      </c>
      <c r="V765" s="13">
        <v>29</v>
      </c>
      <c r="W765" s="13"/>
      <c r="X765" s="13">
        <v>16</v>
      </c>
      <c r="Y765" s="13">
        <v>1</v>
      </c>
      <c r="Z765" s="13"/>
      <c r="AA765" s="13">
        <v>8</v>
      </c>
      <c r="AB765" s="13"/>
      <c r="AC765" s="14">
        <v>398.64864864864865</v>
      </c>
      <c r="AD765" s="14">
        <v>177.61989342806396</v>
      </c>
      <c r="AE765" s="14">
        <v>396.98492462311555</v>
      </c>
      <c r="AF765" s="14"/>
      <c r="AG765" s="15">
        <v>0.44648667274726583</v>
      </c>
      <c r="AH765" s="15">
        <v>0.44648764889669273</v>
      </c>
      <c r="AI765" s="15"/>
      <c r="AJ765" s="41">
        <f t="shared" si="22"/>
        <v>369</v>
      </c>
      <c r="AK765" s="44"/>
      <c r="AL765" s="10"/>
      <c r="AM765" s="10"/>
    </row>
    <row r="766" spans="1:39" s="16" customFormat="1" ht="19" customHeight="1">
      <c r="A766" s="9" t="s">
        <v>827</v>
      </c>
      <c r="B766" s="10" t="s">
        <v>140</v>
      </c>
      <c r="C766" s="10"/>
      <c r="D766" s="10"/>
      <c r="E766" s="20" t="s">
        <v>141</v>
      </c>
      <c r="F766" s="20" t="s">
        <v>249</v>
      </c>
      <c r="G766" s="12" t="s">
        <v>1372</v>
      </c>
      <c r="H766" s="13"/>
      <c r="I766" s="13"/>
      <c r="J766" s="13">
        <v>90</v>
      </c>
      <c r="K766" s="13">
        <v>148</v>
      </c>
      <c r="L766" s="13">
        <v>41</v>
      </c>
      <c r="M766" s="13"/>
      <c r="N766" s="13">
        <v>247</v>
      </c>
      <c r="O766" s="13">
        <v>88</v>
      </c>
      <c r="P766" s="13">
        <v>15</v>
      </c>
      <c r="Q766" s="13">
        <v>121</v>
      </c>
      <c r="R766" s="13"/>
      <c r="S766" s="13">
        <v>106</v>
      </c>
      <c r="T766" s="13">
        <v>164</v>
      </c>
      <c r="U766" s="13">
        <v>19</v>
      </c>
      <c r="V766" s="13">
        <v>45</v>
      </c>
      <c r="W766" s="13"/>
      <c r="X766" s="13">
        <v>26</v>
      </c>
      <c r="Y766" s="13">
        <v>1</v>
      </c>
      <c r="Z766" s="13"/>
      <c r="AA766" s="13">
        <v>10</v>
      </c>
      <c r="AB766" s="13"/>
      <c r="AC766" s="14">
        <v>594.59459459459458</v>
      </c>
      <c r="AD766" s="14">
        <v>266.42984014209594</v>
      </c>
      <c r="AE766" s="14">
        <v>608.0402010050251</v>
      </c>
      <c r="AF766" s="14"/>
      <c r="AG766" s="15">
        <v>0.44307688604545509</v>
      </c>
      <c r="AH766" s="15">
        <v>0.44310457987872193</v>
      </c>
      <c r="AI766" s="15"/>
      <c r="AJ766" s="41">
        <f t="shared" si="22"/>
        <v>526</v>
      </c>
      <c r="AK766" s="44"/>
      <c r="AL766" s="10"/>
      <c r="AM766" s="10"/>
    </row>
    <row r="767" spans="1:39" s="16" customFormat="1" ht="19" customHeight="1">
      <c r="A767" s="9" t="s">
        <v>828</v>
      </c>
      <c r="B767" s="10" t="s">
        <v>140</v>
      </c>
      <c r="C767" s="10"/>
      <c r="D767" s="10"/>
      <c r="E767" s="20" t="s">
        <v>141</v>
      </c>
      <c r="F767" s="20" t="s">
        <v>249</v>
      </c>
      <c r="G767" s="12" t="s">
        <v>1372</v>
      </c>
      <c r="H767" s="13"/>
      <c r="I767" s="13"/>
      <c r="J767" s="13">
        <v>96</v>
      </c>
      <c r="K767" s="13">
        <v>172</v>
      </c>
      <c r="L767" s="13">
        <v>45</v>
      </c>
      <c r="M767" s="13"/>
      <c r="N767" s="13">
        <v>265</v>
      </c>
      <c r="O767" s="13">
        <v>90</v>
      </c>
      <c r="P767" s="13">
        <v>15</v>
      </c>
      <c r="Q767" s="13">
        <v>128</v>
      </c>
      <c r="R767" s="13"/>
      <c r="S767" s="13">
        <v>108</v>
      </c>
      <c r="T767" s="13">
        <v>162</v>
      </c>
      <c r="U767" s="13">
        <v>21</v>
      </c>
      <c r="V767" s="13">
        <v>52</v>
      </c>
      <c r="W767" s="13"/>
      <c r="X767" s="13">
        <v>30</v>
      </c>
      <c r="Y767" s="13">
        <v>1</v>
      </c>
      <c r="Z767" s="13"/>
      <c r="AA767" s="13">
        <v>0</v>
      </c>
      <c r="AB767" s="13"/>
      <c r="AC767" s="14">
        <v>608.10810810810813</v>
      </c>
      <c r="AD767" s="14">
        <v>266.42984014209594</v>
      </c>
      <c r="AE767" s="14">
        <v>643.21608040200999</v>
      </c>
      <c r="AF767" s="14"/>
      <c r="AG767" s="15">
        <v>0.4258366338451734</v>
      </c>
      <c r="AH767" s="15">
        <v>0.42600433703806112</v>
      </c>
      <c r="AI767" s="15"/>
      <c r="AJ767" s="41">
        <f t="shared" si="22"/>
        <v>578</v>
      </c>
      <c r="AK767" s="44"/>
      <c r="AL767" s="10"/>
      <c r="AM767" s="10"/>
    </row>
    <row r="768" spans="1:39" s="16" customFormat="1" ht="19" customHeight="1">
      <c r="A768" s="9" t="s">
        <v>829</v>
      </c>
      <c r="B768" s="10" t="s">
        <v>140</v>
      </c>
      <c r="C768" s="10"/>
      <c r="D768" s="10"/>
      <c r="E768" s="20" t="s">
        <v>141</v>
      </c>
      <c r="F768" s="20" t="s">
        <v>249</v>
      </c>
      <c r="G768" s="12" t="s">
        <v>1372</v>
      </c>
      <c r="H768" s="13"/>
      <c r="I768" s="13"/>
      <c r="J768" s="13">
        <v>70</v>
      </c>
      <c r="K768" s="13">
        <v>155</v>
      </c>
      <c r="L768" s="13">
        <v>37</v>
      </c>
      <c r="M768" s="13"/>
      <c r="N768" s="13">
        <v>218</v>
      </c>
      <c r="O768" s="13">
        <v>83</v>
      </c>
      <c r="P768" s="13">
        <v>13</v>
      </c>
      <c r="Q768" s="13">
        <v>112</v>
      </c>
      <c r="R768" s="13"/>
      <c r="S768" s="13">
        <v>92</v>
      </c>
      <c r="T768" s="13">
        <v>182</v>
      </c>
      <c r="U768" s="13">
        <v>17</v>
      </c>
      <c r="V768" s="13">
        <v>40</v>
      </c>
      <c r="W768" s="13"/>
      <c r="X768" s="13">
        <v>23</v>
      </c>
      <c r="Y768" s="13">
        <v>1</v>
      </c>
      <c r="Z768" s="13"/>
      <c r="AA768" s="13">
        <v>1</v>
      </c>
      <c r="AB768" s="13"/>
      <c r="AC768" s="14">
        <v>560.81081081081084</v>
      </c>
      <c r="AD768" s="14">
        <v>230.90586145648314</v>
      </c>
      <c r="AE768" s="14">
        <v>562.8140703517588</v>
      </c>
      <c r="AF768" s="14"/>
      <c r="AG768" s="15">
        <v>0.4110016880679504</v>
      </c>
      <c r="AH768" s="15">
        <v>0.41100234126827206</v>
      </c>
      <c r="AI768" s="15"/>
      <c r="AJ768" s="41">
        <f t="shared" si="22"/>
        <v>480</v>
      </c>
      <c r="AK768" s="44"/>
      <c r="AL768" s="10"/>
      <c r="AM768" s="10"/>
    </row>
    <row r="769" spans="1:39" s="16" customFormat="1" ht="19" customHeight="1">
      <c r="A769" s="9" t="s">
        <v>830</v>
      </c>
      <c r="B769" s="10" t="s">
        <v>233</v>
      </c>
      <c r="C769" s="10"/>
      <c r="D769" s="10"/>
      <c r="E769" s="36" t="s">
        <v>234</v>
      </c>
      <c r="F769" s="36" t="s">
        <v>249</v>
      </c>
      <c r="G769" s="12" t="s">
        <v>831</v>
      </c>
      <c r="H769" s="13">
        <v>3.7</v>
      </c>
      <c r="I769" s="13">
        <v>79.3</v>
      </c>
      <c r="J769" s="13">
        <v>126.5</v>
      </c>
      <c r="K769" s="13">
        <v>514</v>
      </c>
      <c r="L769" s="13">
        <v>94.4</v>
      </c>
      <c r="M769" s="13">
        <v>154.6</v>
      </c>
      <c r="N769" s="13">
        <v>531.70000000000005</v>
      </c>
      <c r="O769" s="13">
        <v>231.8</v>
      </c>
      <c r="P769" s="13">
        <v>33.700000000000003</v>
      </c>
      <c r="Q769" s="13">
        <v>341.1</v>
      </c>
      <c r="R769" s="13">
        <v>63.3</v>
      </c>
      <c r="S769" s="13">
        <v>416.1</v>
      </c>
      <c r="T769" s="13">
        <v>1946.8</v>
      </c>
      <c r="U769" s="13">
        <v>75.599999999999994</v>
      </c>
      <c r="V769" s="13">
        <v>193</v>
      </c>
      <c r="W769" s="13">
        <v>24.4</v>
      </c>
      <c r="X769" s="13">
        <v>141.80000000000001</v>
      </c>
      <c r="Y769" s="13">
        <v>16.7</v>
      </c>
      <c r="Z769" s="13"/>
      <c r="AA769" s="13"/>
      <c r="AB769" s="13"/>
      <c r="AC769" s="14">
        <v>1566.2162162162165</v>
      </c>
      <c r="AD769" s="14">
        <v>598.57904085257553</v>
      </c>
      <c r="AE769" s="14">
        <v>1714.070351758794</v>
      </c>
      <c r="AF769" s="14">
        <v>1753.4626038781162</v>
      </c>
      <c r="AG769" s="15">
        <v>0.36495533451035711</v>
      </c>
      <c r="AH769" s="15">
        <v>0.36532662639883579</v>
      </c>
      <c r="AI769" s="15">
        <v>0.36806246142630494</v>
      </c>
      <c r="AJ769" s="41">
        <f t="shared" si="22"/>
        <v>1266.5999999999999</v>
      </c>
      <c r="AK769" s="44">
        <f t="shared" ref="AK769:AK773" si="23">M769/T769</f>
        <v>7.9412369015820827E-2</v>
      </c>
      <c r="AL769" s="10"/>
      <c r="AM769" s="10"/>
    </row>
    <row r="770" spans="1:39" s="16" customFormat="1" ht="19" customHeight="1">
      <c r="A770" s="9" t="s">
        <v>832</v>
      </c>
      <c r="B770" s="10" t="s">
        <v>233</v>
      </c>
      <c r="C770" s="10"/>
      <c r="D770" s="10"/>
      <c r="E770" s="36" t="s">
        <v>234</v>
      </c>
      <c r="F770" s="36" t="s">
        <v>249</v>
      </c>
      <c r="G770" s="12" t="s">
        <v>831</v>
      </c>
      <c r="H770" s="13">
        <v>0.5</v>
      </c>
      <c r="I770" s="13">
        <v>27.7</v>
      </c>
      <c r="J770" s="13">
        <v>273.7</v>
      </c>
      <c r="K770" s="13">
        <v>877.2</v>
      </c>
      <c r="L770" s="13">
        <v>130.69999999999999</v>
      </c>
      <c r="M770" s="13">
        <v>138.19999999999999</v>
      </c>
      <c r="N770" s="13">
        <v>635.20000000000005</v>
      </c>
      <c r="O770" s="13">
        <v>213.9</v>
      </c>
      <c r="P770" s="13">
        <v>24.1</v>
      </c>
      <c r="Q770" s="13">
        <v>273.10000000000002</v>
      </c>
      <c r="R770" s="13">
        <v>45.4</v>
      </c>
      <c r="S770" s="13">
        <v>276.60000000000002</v>
      </c>
      <c r="T770" s="13">
        <v>1187.0999999999999</v>
      </c>
      <c r="U770" s="13">
        <v>46.6</v>
      </c>
      <c r="V770" s="13">
        <v>112.4</v>
      </c>
      <c r="W770" s="13">
        <v>13.3</v>
      </c>
      <c r="X770" s="13">
        <v>73.599999999999994</v>
      </c>
      <c r="Y770" s="13">
        <v>8.8000000000000007</v>
      </c>
      <c r="Z770" s="13"/>
      <c r="AA770" s="13"/>
      <c r="AB770" s="13"/>
      <c r="AC770" s="14">
        <v>1445.2702702702704</v>
      </c>
      <c r="AD770" s="14">
        <v>428.06394316163414</v>
      </c>
      <c r="AE770" s="14">
        <v>1372.3618090452262</v>
      </c>
      <c r="AF770" s="14">
        <v>1257.6177285318558</v>
      </c>
      <c r="AG770" s="15">
        <v>0.3038465854389521</v>
      </c>
      <c r="AH770" s="15">
        <v>0.30394835779257534</v>
      </c>
      <c r="AI770" s="15">
        <v>0.31023661388623613</v>
      </c>
      <c r="AJ770" s="41">
        <f t="shared" si="22"/>
        <v>1916.8000000000002</v>
      </c>
      <c r="AK770" s="44">
        <f t="shared" si="23"/>
        <v>0.11641816190716874</v>
      </c>
      <c r="AL770" s="10"/>
      <c r="AM770" s="10"/>
    </row>
    <row r="771" spans="1:39" s="16" customFormat="1" ht="19" customHeight="1">
      <c r="A771" s="9" t="s">
        <v>833</v>
      </c>
      <c r="B771" s="10" t="s">
        <v>233</v>
      </c>
      <c r="C771" s="10"/>
      <c r="D771" s="10"/>
      <c r="E771" s="36" t="s">
        <v>234</v>
      </c>
      <c r="F771" s="36" t="s">
        <v>249</v>
      </c>
      <c r="G771" s="12" t="s">
        <v>831</v>
      </c>
      <c r="H771" s="13">
        <v>8.6</v>
      </c>
      <c r="I771" s="13">
        <v>134.69999999999999</v>
      </c>
      <c r="J771" s="13">
        <v>157.69999999999999</v>
      </c>
      <c r="K771" s="13">
        <v>647.79999999999995</v>
      </c>
      <c r="L771" s="13">
        <v>119.6</v>
      </c>
      <c r="M771" s="13">
        <v>138.9</v>
      </c>
      <c r="N771" s="13">
        <v>672.8</v>
      </c>
      <c r="O771" s="13">
        <v>297.60000000000002</v>
      </c>
      <c r="P771" s="13">
        <v>38.700000000000003</v>
      </c>
      <c r="Q771" s="13">
        <v>425</v>
      </c>
      <c r="R771" s="13">
        <v>76.7</v>
      </c>
      <c r="S771" s="13">
        <v>487.9</v>
      </c>
      <c r="T771" s="13">
        <v>2077.1999999999998</v>
      </c>
      <c r="U771" s="13">
        <v>83.9</v>
      </c>
      <c r="V771" s="13">
        <v>208.3</v>
      </c>
      <c r="W771" s="13">
        <v>26.8</v>
      </c>
      <c r="X771" s="13">
        <v>158</v>
      </c>
      <c r="Y771" s="13">
        <v>18.899999999999999</v>
      </c>
      <c r="Z771" s="13"/>
      <c r="AA771" s="13"/>
      <c r="AB771" s="13"/>
      <c r="AC771" s="14">
        <v>2010.8108108108111</v>
      </c>
      <c r="AD771" s="14">
        <v>687.38898756660751</v>
      </c>
      <c r="AE771" s="14">
        <v>2135.6783919597988</v>
      </c>
      <c r="AF771" s="14">
        <v>2124.6537396121885</v>
      </c>
      <c r="AG771" s="15">
        <v>0.33155228626053407</v>
      </c>
      <c r="AH771" s="15">
        <v>0.33170272367346954</v>
      </c>
      <c r="AI771" s="15">
        <v>0.3356286624372522</v>
      </c>
      <c r="AJ771" s="41">
        <f t="shared" si="22"/>
        <v>1597.9</v>
      </c>
      <c r="AK771" s="44">
        <f t="shared" si="23"/>
        <v>6.6868861929520518E-2</v>
      </c>
      <c r="AL771" s="10"/>
      <c r="AM771" s="10"/>
    </row>
    <row r="772" spans="1:39" s="16" customFormat="1" ht="19" customHeight="1">
      <c r="A772" s="9" t="s">
        <v>834</v>
      </c>
      <c r="B772" s="10" t="s">
        <v>233</v>
      </c>
      <c r="C772" s="10"/>
      <c r="D772" s="10"/>
      <c r="E772" s="36" t="s">
        <v>234</v>
      </c>
      <c r="F772" s="36" t="s">
        <v>249</v>
      </c>
      <c r="G772" s="12" t="s">
        <v>831</v>
      </c>
      <c r="H772" s="13">
        <v>3.6</v>
      </c>
      <c r="I772" s="13">
        <v>43.5</v>
      </c>
      <c r="J772" s="13">
        <v>107.7</v>
      </c>
      <c r="K772" s="13">
        <v>405.6</v>
      </c>
      <c r="L772" s="13">
        <v>72.3</v>
      </c>
      <c r="M772" s="13">
        <v>156.1</v>
      </c>
      <c r="N772" s="13">
        <v>410</v>
      </c>
      <c r="O772" s="13">
        <v>178.9</v>
      </c>
      <c r="P772" s="13">
        <v>35.799999999999997</v>
      </c>
      <c r="Q772" s="13">
        <v>274.3</v>
      </c>
      <c r="R772" s="13">
        <v>49.4</v>
      </c>
      <c r="S772" s="13">
        <v>310.3</v>
      </c>
      <c r="T772" s="13">
        <v>1328.1</v>
      </c>
      <c r="U772" s="13">
        <v>54.1</v>
      </c>
      <c r="V772" s="13">
        <v>130</v>
      </c>
      <c r="W772" s="13">
        <v>15.3</v>
      </c>
      <c r="X772" s="13">
        <v>84.3</v>
      </c>
      <c r="Y772" s="13">
        <v>9.8000000000000007</v>
      </c>
      <c r="Z772" s="13"/>
      <c r="AA772" s="13"/>
      <c r="AB772" s="13"/>
      <c r="AC772" s="14">
        <v>1208.783783783784</v>
      </c>
      <c r="AD772" s="14">
        <v>635.87921847246889</v>
      </c>
      <c r="AE772" s="14">
        <v>1378.391959798995</v>
      </c>
      <c r="AF772" s="14">
        <v>1368.421052631579</v>
      </c>
      <c r="AG772" s="15">
        <v>0.49156244607634508</v>
      </c>
      <c r="AH772" s="15">
        <v>0.49262217073622744</v>
      </c>
      <c r="AI772" s="15">
        <v>0.50474144454924963</v>
      </c>
      <c r="AJ772" s="41">
        <f t="shared" si="22"/>
        <v>995.6</v>
      </c>
      <c r="AK772" s="44">
        <f t="shared" si="23"/>
        <v>0.11753633009562534</v>
      </c>
      <c r="AL772" s="10"/>
      <c r="AM772" s="10"/>
    </row>
    <row r="773" spans="1:39" s="16" customFormat="1" ht="19" customHeight="1">
      <c r="A773" s="9" t="s">
        <v>835</v>
      </c>
      <c r="B773" s="10" t="s">
        <v>233</v>
      </c>
      <c r="C773" s="10"/>
      <c r="D773" s="10"/>
      <c r="E773" s="36" t="s">
        <v>234</v>
      </c>
      <c r="F773" s="36" t="s">
        <v>249</v>
      </c>
      <c r="G773" s="12" t="s">
        <v>831</v>
      </c>
      <c r="H773" s="13">
        <v>0.3</v>
      </c>
      <c r="I773" s="13">
        <v>18</v>
      </c>
      <c r="J773" s="13">
        <v>77.7</v>
      </c>
      <c r="K773" s="13">
        <v>346.1</v>
      </c>
      <c r="L773" s="13">
        <v>66.3</v>
      </c>
      <c r="M773" s="13">
        <v>175.3</v>
      </c>
      <c r="N773" s="13">
        <v>380.8</v>
      </c>
      <c r="O773" s="13">
        <v>159</v>
      </c>
      <c r="P773" s="13">
        <v>25.2</v>
      </c>
      <c r="Q773" s="13">
        <v>222.8</v>
      </c>
      <c r="R773" s="13">
        <v>38.200000000000003</v>
      </c>
      <c r="S773" s="13">
        <v>236</v>
      </c>
      <c r="T773" s="13">
        <v>1007.2</v>
      </c>
      <c r="U773" s="13">
        <v>39.5</v>
      </c>
      <c r="V773" s="13">
        <v>95.4</v>
      </c>
      <c r="W773" s="13">
        <v>11.5</v>
      </c>
      <c r="X773" s="13">
        <v>64.599999999999994</v>
      </c>
      <c r="Y773" s="13">
        <v>7.7</v>
      </c>
      <c r="Z773" s="13"/>
      <c r="AA773" s="13"/>
      <c r="AB773" s="13"/>
      <c r="AC773" s="14">
        <v>1074.3243243243244</v>
      </c>
      <c r="AD773" s="14">
        <v>447.60213143872113</v>
      </c>
      <c r="AE773" s="14">
        <v>1119.5979899497488</v>
      </c>
      <c r="AF773" s="14">
        <v>1058.1717451523546</v>
      </c>
      <c r="AG773" s="15">
        <v>0.4080382687450117</v>
      </c>
      <c r="AH773" s="15">
        <v>0.40812517648585761</v>
      </c>
      <c r="AI773" s="15">
        <v>0.41874517889621515</v>
      </c>
      <c r="AJ773" s="41">
        <f t="shared" si="22"/>
        <v>870.90000000000009</v>
      </c>
      <c r="AK773" s="44">
        <f t="shared" si="23"/>
        <v>0.17404686258935664</v>
      </c>
      <c r="AL773" s="10"/>
      <c r="AM773" s="10"/>
    </row>
    <row r="774" spans="1:39" s="16" customFormat="1" ht="19" customHeight="1">
      <c r="A774" s="9" t="s">
        <v>836</v>
      </c>
      <c r="B774" s="10" t="s">
        <v>233</v>
      </c>
      <c r="C774" s="10"/>
      <c r="D774" s="10"/>
      <c r="E774" s="36" t="s">
        <v>234</v>
      </c>
      <c r="F774" s="36" t="s">
        <v>249</v>
      </c>
      <c r="G774" s="12" t="s">
        <v>831</v>
      </c>
      <c r="H774" s="13">
        <v>0.4</v>
      </c>
      <c r="I774" s="13">
        <v>22.8</v>
      </c>
      <c r="J774" s="13">
        <v>104.5</v>
      </c>
      <c r="K774" s="13">
        <v>397.2</v>
      </c>
      <c r="L774" s="13">
        <v>72.099999999999994</v>
      </c>
      <c r="M774" s="13">
        <v>192</v>
      </c>
      <c r="N774" s="13">
        <v>405.2</v>
      </c>
      <c r="O774" s="13">
        <v>169.9</v>
      </c>
      <c r="P774" s="13">
        <v>29.5</v>
      </c>
      <c r="Q774" s="13">
        <v>242.6</v>
      </c>
      <c r="R774" s="13">
        <v>42.5</v>
      </c>
      <c r="S774" s="13">
        <v>265.3</v>
      </c>
      <c r="T774" s="13">
        <v>1161.8</v>
      </c>
      <c r="U774" s="13">
        <v>45.7</v>
      </c>
      <c r="V774" s="13">
        <v>111.5</v>
      </c>
      <c r="W774" s="13">
        <v>13.5</v>
      </c>
      <c r="X774" s="13">
        <v>77.5</v>
      </c>
      <c r="Y774" s="13">
        <v>9.3000000000000007</v>
      </c>
      <c r="Z774" s="13"/>
      <c r="AA774" s="13"/>
      <c r="AB774" s="13"/>
      <c r="AC774" s="14">
        <v>1147.9729729729731</v>
      </c>
      <c r="AD774" s="14">
        <v>523.97868561278869</v>
      </c>
      <c r="AE774" s="14">
        <v>1219.0954773869346</v>
      </c>
      <c r="AF774" s="14">
        <v>1177.2853185595568</v>
      </c>
      <c r="AG774" s="15">
        <v>0.44272372903548174</v>
      </c>
      <c r="AH774" s="15">
        <v>0.44292371035759648</v>
      </c>
      <c r="AI774" s="15">
        <v>0.45261811999938562</v>
      </c>
      <c r="AJ774" s="41">
        <f t="shared" ref="AJ774:AJ837" si="24">J774+K774+L774+N774</f>
        <v>979</v>
      </c>
      <c r="AK774" s="44">
        <f t="shared" ref="AK774:AK837" si="25">M774/T774</f>
        <v>0.16526080220347736</v>
      </c>
      <c r="AL774" s="10"/>
      <c r="AM774" s="10"/>
    </row>
    <row r="775" spans="1:39" s="16" customFormat="1" ht="19" customHeight="1">
      <c r="A775" s="9" t="s">
        <v>837</v>
      </c>
      <c r="B775" s="10" t="s">
        <v>233</v>
      </c>
      <c r="C775" s="10"/>
      <c r="D775" s="10"/>
      <c r="E775" s="36" t="s">
        <v>234</v>
      </c>
      <c r="F775" s="36" t="s">
        <v>249</v>
      </c>
      <c r="G775" s="12" t="s">
        <v>831</v>
      </c>
      <c r="H775" s="13">
        <v>0</v>
      </c>
      <c r="I775" s="13">
        <v>10</v>
      </c>
      <c r="J775" s="13">
        <v>95.1</v>
      </c>
      <c r="K775" s="13">
        <v>360.7</v>
      </c>
      <c r="L775" s="13">
        <v>66.400000000000006</v>
      </c>
      <c r="M775" s="13">
        <v>167.2</v>
      </c>
      <c r="N775" s="13">
        <v>380</v>
      </c>
      <c r="O775" s="13">
        <v>153.1</v>
      </c>
      <c r="P775" s="13">
        <v>28.1</v>
      </c>
      <c r="Q775" s="13">
        <v>206.1</v>
      </c>
      <c r="R775" s="13">
        <v>34.200000000000003</v>
      </c>
      <c r="S775" s="13">
        <v>205.1</v>
      </c>
      <c r="T775" s="13">
        <v>828.5</v>
      </c>
      <c r="U775" s="13">
        <v>34.200000000000003</v>
      </c>
      <c r="V775" s="13">
        <v>79.099999999999994</v>
      </c>
      <c r="W775" s="13">
        <v>9.1</v>
      </c>
      <c r="X775" s="13">
        <v>48.4</v>
      </c>
      <c r="Y775" s="13">
        <v>5.4</v>
      </c>
      <c r="Z775" s="13"/>
      <c r="AA775" s="13"/>
      <c r="AB775" s="13"/>
      <c r="AC775" s="14">
        <v>1034.4594594594594</v>
      </c>
      <c r="AD775" s="14">
        <v>499.11190053285975</v>
      </c>
      <c r="AE775" s="14">
        <v>1035.678391959799</v>
      </c>
      <c r="AF775" s="14">
        <v>947.36842105263167</v>
      </c>
      <c r="AG775" s="15">
        <v>0.482201608159259</v>
      </c>
      <c r="AH775" s="15">
        <v>0.48220169175026512</v>
      </c>
      <c r="AI775" s="15">
        <v>0.49683933722342177</v>
      </c>
      <c r="AJ775" s="41">
        <f t="shared" si="24"/>
        <v>902.19999999999993</v>
      </c>
      <c r="AK775" s="44">
        <f t="shared" si="25"/>
        <v>0.20181050090525043</v>
      </c>
      <c r="AL775" s="10"/>
      <c r="AM775" s="10"/>
    </row>
    <row r="776" spans="1:39" s="16" customFormat="1" ht="19" customHeight="1">
      <c r="A776" s="9" t="s">
        <v>838</v>
      </c>
      <c r="B776" s="10" t="s">
        <v>839</v>
      </c>
      <c r="C776" s="10"/>
      <c r="D776" s="10"/>
      <c r="E776" s="36" t="s">
        <v>234</v>
      </c>
      <c r="F776" s="36" t="s">
        <v>249</v>
      </c>
      <c r="G776" s="12" t="s">
        <v>831</v>
      </c>
      <c r="H776" s="13">
        <v>0.2</v>
      </c>
      <c r="I776" s="13">
        <v>20.100000000000001</v>
      </c>
      <c r="J776" s="13">
        <v>61.9</v>
      </c>
      <c r="K776" s="13">
        <v>286.7</v>
      </c>
      <c r="L776" s="13">
        <v>58.3</v>
      </c>
      <c r="M776" s="13">
        <v>193.4</v>
      </c>
      <c r="N776" s="13">
        <v>359.5</v>
      </c>
      <c r="O776" s="13">
        <v>159.6</v>
      </c>
      <c r="P776" s="13">
        <v>18.100000000000001</v>
      </c>
      <c r="Q776" s="13">
        <v>216.8</v>
      </c>
      <c r="R776" s="13">
        <v>36</v>
      </c>
      <c r="S776" s="13">
        <v>228.7</v>
      </c>
      <c r="T776" s="13">
        <v>1011.4</v>
      </c>
      <c r="U776" s="13">
        <v>40</v>
      </c>
      <c r="V776" s="13">
        <v>102</v>
      </c>
      <c r="W776" s="13">
        <v>12.8</v>
      </c>
      <c r="X776" s="13">
        <v>74.5</v>
      </c>
      <c r="Y776" s="13">
        <v>9.3000000000000007</v>
      </c>
      <c r="Z776" s="13"/>
      <c r="AA776" s="13"/>
      <c r="AB776" s="13"/>
      <c r="AC776" s="14">
        <v>1078.3783783783783</v>
      </c>
      <c r="AD776" s="14">
        <v>321.49200710479579</v>
      </c>
      <c r="AE776" s="14">
        <v>1089.4472361809046</v>
      </c>
      <c r="AF776" s="14">
        <v>997.22991689750688</v>
      </c>
      <c r="AG776" s="15">
        <v>0.29660319994895418</v>
      </c>
      <c r="AH776" s="15">
        <v>0.29660706638880152</v>
      </c>
      <c r="AI776" s="15">
        <v>0.30600202439400059</v>
      </c>
      <c r="AJ776" s="41">
        <f t="shared" si="24"/>
        <v>766.4</v>
      </c>
      <c r="AK776" s="44">
        <f t="shared" si="25"/>
        <v>0.19122009096302156</v>
      </c>
      <c r="AL776" s="10"/>
      <c r="AM776" s="10"/>
    </row>
    <row r="777" spans="1:39" s="16" customFormat="1" ht="19" customHeight="1">
      <c r="A777" s="9" t="s">
        <v>840</v>
      </c>
      <c r="B777" s="10" t="s">
        <v>839</v>
      </c>
      <c r="C777" s="10"/>
      <c r="D777" s="10"/>
      <c r="E777" s="36" t="s">
        <v>234</v>
      </c>
      <c r="F777" s="36" t="s">
        <v>249</v>
      </c>
      <c r="G777" s="12" t="s">
        <v>831</v>
      </c>
      <c r="H777" s="13">
        <v>0.7</v>
      </c>
      <c r="I777" s="13">
        <v>27</v>
      </c>
      <c r="J777" s="13">
        <v>93.6</v>
      </c>
      <c r="K777" s="13">
        <v>354.7</v>
      </c>
      <c r="L777" s="13">
        <v>65.099999999999994</v>
      </c>
      <c r="M777" s="13">
        <v>251.8</v>
      </c>
      <c r="N777" s="13">
        <v>383.4</v>
      </c>
      <c r="O777" s="13">
        <v>165</v>
      </c>
      <c r="P777" s="13">
        <v>33.5</v>
      </c>
      <c r="Q777" s="13">
        <v>242.7</v>
      </c>
      <c r="R777" s="13">
        <v>41.6</v>
      </c>
      <c r="S777" s="13">
        <v>260.3</v>
      </c>
      <c r="T777" s="13">
        <v>1139.7</v>
      </c>
      <c r="U777" s="13">
        <v>45.3</v>
      </c>
      <c r="V777" s="13">
        <v>109.7</v>
      </c>
      <c r="W777" s="13">
        <v>13.1</v>
      </c>
      <c r="X777" s="13">
        <v>71.2</v>
      </c>
      <c r="Y777" s="13">
        <v>8.3000000000000007</v>
      </c>
      <c r="Z777" s="13"/>
      <c r="AA777" s="13"/>
      <c r="AB777" s="13"/>
      <c r="AC777" s="14">
        <v>1114.864864864865</v>
      </c>
      <c r="AD777" s="14">
        <v>595.0266429840143</v>
      </c>
      <c r="AE777" s="14">
        <v>1219.5979899497486</v>
      </c>
      <c r="AF777" s="14">
        <v>1152.3545706371192</v>
      </c>
      <c r="AG777" s="15">
        <v>0.50977606412269694</v>
      </c>
      <c r="AH777" s="15">
        <v>0.51028987091360123</v>
      </c>
      <c r="AI777" s="15">
        <v>0.52786907167101671</v>
      </c>
      <c r="AJ777" s="41">
        <f t="shared" si="24"/>
        <v>896.8</v>
      </c>
      <c r="AK777" s="44">
        <f t="shared" si="25"/>
        <v>0.22093533385978767</v>
      </c>
      <c r="AL777" s="10"/>
      <c r="AM777" s="10"/>
    </row>
    <row r="778" spans="1:39" s="16" customFormat="1" ht="19" customHeight="1">
      <c r="A778" s="9" t="s">
        <v>841</v>
      </c>
      <c r="B778" s="10" t="s">
        <v>839</v>
      </c>
      <c r="C778" s="10"/>
      <c r="D778" s="10"/>
      <c r="E778" s="36" t="s">
        <v>234</v>
      </c>
      <c r="F778" s="36" t="s">
        <v>249</v>
      </c>
      <c r="G778" s="12" t="s">
        <v>831</v>
      </c>
      <c r="H778" s="13">
        <v>1.7</v>
      </c>
      <c r="I778" s="13">
        <v>49.1</v>
      </c>
      <c r="J778" s="13">
        <v>118.9</v>
      </c>
      <c r="K778" s="13">
        <v>434.5</v>
      </c>
      <c r="L778" s="13">
        <v>76.900000000000006</v>
      </c>
      <c r="M778" s="13">
        <v>230.1</v>
      </c>
      <c r="N778" s="13">
        <v>440.1</v>
      </c>
      <c r="O778" s="13">
        <v>183.6</v>
      </c>
      <c r="P778" s="13">
        <v>29.4</v>
      </c>
      <c r="Q778" s="13">
        <v>271.8</v>
      </c>
      <c r="R778" s="13">
        <v>47.3</v>
      </c>
      <c r="S778" s="13">
        <v>301.7</v>
      </c>
      <c r="T778" s="13">
        <v>1339.9</v>
      </c>
      <c r="U778" s="13">
        <v>53</v>
      </c>
      <c r="V778" s="13">
        <v>131.5</v>
      </c>
      <c r="W778" s="13">
        <v>15.9</v>
      </c>
      <c r="X778" s="13">
        <v>87.4</v>
      </c>
      <c r="Y778" s="13">
        <v>10.3</v>
      </c>
      <c r="Z778" s="13"/>
      <c r="AA778" s="13"/>
      <c r="AB778" s="13"/>
      <c r="AC778" s="14">
        <v>1240.5405405405406</v>
      </c>
      <c r="AD778" s="14">
        <v>522.20248667850797</v>
      </c>
      <c r="AE778" s="14">
        <v>1365.8291457286432</v>
      </c>
      <c r="AF778" s="14">
        <v>1310.2493074792244</v>
      </c>
      <c r="AG778" s="15">
        <v>0.40071252319236439</v>
      </c>
      <c r="AH778" s="15">
        <v>0.40117629836017393</v>
      </c>
      <c r="AI778" s="15">
        <v>0.41334591372286517</v>
      </c>
      <c r="AJ778" s="41">
        <f t="shared" si="24"/>
        <v>1070.4000000000001</v>
      </c>
      <c r="AK778" s="44">
        <f t="shared" si="25"/>
        <v>0.17172923352488989</v>
      </c>
      <c r="AL778" s="10"/>
      <c r="AM778" s="10"/>
    </row>
    <row r="779" spans="1:39" s="16" customFormat="1" ht="19" customHeight="1">
      <c r="A779" s="9" t="s">
        <v>842</v>
      </c>
      <c r="B779" s="10" t="s">
        <v>839</v>
      </c>
      <c r="C779" s="10"/>
      <c r="D779" s="10"/>
      <c r="E779" s="36" t="s">
        <v>234</v>
      </c>
      <c r="F779" s="36" t="s">
        <v>249</v>
      </c>
      <c r="G779" s="12" t="s">
        <v>831</v>
      </c>
      <c r="H779" s="13">
        <v>0.7</v>
      </c>
      <c r="I779" s="13">
        <v>32.1</v>
      </c>
      <c r="J779" s="13">
        <v>91.8</v>
      </c>
      <c r="K779" s="13">
        <v>359.8</v>
      </c>
      <c r="L779" s="13">
        <v>67.7</v>
      </c>
      <c r="M779" s="13">
        <v>222.1</v>
      </c>
      <c r="N779" s="13">
        <v>390.9</v>
      </c>
      <c r="O779" s="13">
        <v>172</v>
      </c>
      <c r="P779" s="13">
        <v>29.8</v>
      </c>
      <c r="Q779" s="13">
        <v>247.7</v>
      </c>
      <c r="R779" s="13">
        <v>43.1</v>
      </c>
      <c r="S779" s="13">
        <v>266.7</v>
      </c>
      <c r="T779" s="13">
        <v>1147</v>
      </c>
      <c r="U779" s="13">
        <v>45.4</v>
      </c>
      <c r="V779" s="13">
        <v>108.1</v>
      </c>
      <c r="W779" s="13">
        <v>12.8</v>
      </c>
      <c r="X779" s="13">
        <v>70</v>
      </c>
      <c r="Y779" s="13">
        <v>8.1999999999999993</v>
      </c>
      <c r="Z779" s="13"/>
      <c r="AA779" s="13"/>
      <c r="AB779" s="13"/>
      <c r="AC779" s="14">
        <v>1162.1621621621623</v>
      </c>
      <c r="AD779" s="14">
        <v>529.30728241563065</v>
      </c>
      <c r="AE779" s="14">
        <v>1244.7236180904522</v>
      </c>
      <c r="AF779" s="14">
        <v>1193.9058171745153</v>
      </c>
      <c r="AG779" s="15">
        <v>0.43982750387106218</v>
      </c>
      <c r="AH779" s="15">
        <v>0.44008649183104154</v>
      </c>
      <c r="AI779" s="15">
        <v>0.45137762362500061</v>
      </c>
      <c r="AJ779" s="41">
        <f t="shared" si="24"/>
        <v>910.2</v>
      </c>
      <c r="AK779" s="44">
        <f t="shared" si="25"/>
        <v>0.19363557105492588</v>
      </c>
      <c r="AL779" s="10"/>
      <c r="AM779" s="10"/>
    </row>
    <row r="780" spans="1:39" s="16" customFormat="1" ht="19" customHeight="1">
      <c r="A780" s="9" t="s">
        <v>843</v>
      </c>
      <c r="B780" s="10" t="s">
        <v>839</v>
      </c>
      <c r="C780" s="10"/>
      <c r="D780" s="10"/>
      <c r="E780" s="36" t="s">
        <v>234</v>
      </c>
      <c r="F780" s="36" t="s">
        <v>249</v>
      </c>
      <c r="G780" s="12" t="s">
        <v>831</v>
      </c>
      <c r="H780" s="13">
        <v>0.2</v>
      </c>
      <c r="I780" s="13">
        <v>21.2</v>
      </c>
      <c r="J780" s="13">
        <v>95.2</v>
      </c>
      <c r="K780" s="13">
        <v>358.6</v>
      </c>
      <c r="L780" s="13">
        <v>65</v>
      </c>
      <c r="M780" s="13">
        <v>268.89999999999998</v>
      </c>
      <c r="N780" s="13">
        <v>371</v>
      </c>
      <c r="O780" s="13">
        <v>160.9</v>
      </c>
      <c r="P780" s="13">
        <v>36.700000000000003</v>
      </c>
      <c r="Q780" s="13">
        <v>231.9</v>
      </c>
      <c r="R780" s="13">
        <v>40.700000000000003</v>
      </c>
      <c r="S780" s="13">
        <v>257.2</v>
      </c>
      <c r="T780" s="13">
        <v>1113.8</v>
      </c>
      <c r="U780" s="13">
        <v>44.9</v>
      </c>
      <c r="V780" s="13">
        <v>111.4</v>
      </c>
      <c r="W780" s="13">
        <v>13.3</v>
      </c>
      <c r="X780" s="13">
        <v>73.5</v>
      </c>
      <c r="Y780" s="13">
        <v>8.6999999999999993</v>
      </c>
      <c r="Z780" s="13"/>
      <c r="AA780" s="13"/>
      <c r="AB780" s="13"/>
      <c r="AC780" s="14">
        <v>1087.1621621621623</v>
      </c>
      <c r="AD780" s="14">
        <v>651.86500888099476</v>
      </c>
      <c r="AE780" s="14">
        <v>1165.3266331658292</v>
      </c>
      <c r="AF780" s="14">
        <v>1127.4238227146816</v>
      </c>
      <c r="AG780" s="15">
        <v>0.57879533983304443</v>
      </c>
      <c r="AH780" s="15">
        <v>0.57914414345229503</v>
      </c>
      <c r="AI780" s="15">
        <v>0.59237817323315844</v>
      </c>
      <c r="AJ780" s="41">
        <f t="shared" si="24"/>
        <v>889.8</v>
      </c>
      <c r="AK780" s="44">
        <f t="shared" si="25"/>
        <v>0.24142574968576044</v>
      </c>
      <c r="AL780" s="10"/>
      <c r="AM780" s="10"/>
    </row>
    <row r="781" spans="1:39" s="16" customFormat="1" ht="19" customHeight="1">
      <c r="A781" s="9" t="s">
        <v>844</v>
      </c>
      <c r="B781" s="10" t="s">
        <v>839</v>
      </c>
      <c r="C781" s="10"/>
      <c r="D781" s="10"/>
      <c r="E781" s="36" t="s">
        <v>234</v>
      </c>
      <c r="F781" s="36" t="s">
        <v>249</v>
      </c>
      <c r="G781" s="12" t="s">
        <v>831</v>
      </c>
      <c r="H781" s="13">
        <v>0.1</v>
      </c>
      <c r="I781" s="13">
        <v>13</v>
      </c>
      <c r="J781" s="13">
        <v>76.400000000000006</v>
      </c>
      <c r="K781" s="13">
        <v>304.7</v>
      </c>
      <c r="L781" s="13">
        <v>57.6</v>
      </c>
      <c r="M781" s="13">
        <v>267.10000000000002</v>
      </c>
      <c r="N781" s="13">
        <v>335.5</v>
      </c>
      <c r="O781" s="13">
        <v>148.69999999999999</v>
      </c>
      <c r="P781" s="13">
        <v>35.9</v>
      </c>
      <c r="Q781" s="13">
        <v>213</v>
      </c>
      <c r="R781" s="13">
        <v>37.200000000000003</v>
      </c>
      <c r="S781" s="13">
        <v>232.1</v>
      </c>
      <c r="T781" s="13">
        <v>1003.6</v>
      </c>
      <c r="U781" s="13">
        <v>40</v>
      </c>
      <c r="V781" s="13">
        <v>97</v>
      </c>
      <c r="W781" s="13">
        <v>11.5</v>
      </c>
      <c r="X781" s="13">
        <v>63.1</v>
      </c>
      <c r="Y781" s="13">
        <v>7.3</v>
      </c>
      <c r="Z781" s="13"/>
      <c r="AA781" s="13"/>
      <c r="AB781" s="13"/>
      <c r="AC781" s="14">
        <v>1004.7297297297297</v>
      </c>
      <c r="AD781" s="14">
        <v>637.65541740674962</v>
      </c>
      <c r="AE781" s="14">
        <v>1070.3517587939698</v>
      </c>
      <c r="AF781" s="14">
        <v>1030.4709141274238</v>
      </c>
      <c r="AG781" s="15">
        <v>0.61458349557193015</v>
      </c>
      <c r="AH781" s="15">
        <v>0.61489103852981997</v>
      </c>
      <c r="AI781" s="15">
        <v>0.62932449978153049</v>
      </c>
      <c r="AJ781" s="41">
        <f t="shared" si="24"/>
        <v>774.2</v>
      </c>
      <c r="AK781" s="44">
        <f t="shared" si="25"/>
        <v>0.26614188919888404</v>
      </c>
      <c r="AL781" s="10"/>
      <c r="AM781" s="10"/>
    </row>
    <row r="782" spans="1:39" s="16" customFormat="1" ht="19" customHeight="1">
      <c r="A782" s="9" t="s">
        <v>845</v>
      </c>
      <c r="B782" s="10" t="s">
        <v>839</v>
      </c>
      <c r="C782" s="10"/>
      <c r="D782" s="10"/>
      <c r="E782" s="36" t="s">
        <v>234</v>
      </c>
      <c r="F782" s="36" t="s">
        <v>249</v>
      </c>
      <c r="G782" s="12" t="s">
        <v>831</v>
      </c>
      <c r="H782" s="13">
        <v>1.1000000000000001</v>
      </c>
      <c r="I782" s="13">
        <v>48.9</v>
      </c>
      <c r="J782" s="13">
        <v>116.5</v>
      </c>
      <c r="K782" s="13">
        <v>451.7</v>
      </c>
      <c r="L782" s="13">
        <v>82.6</v>
      </c>
      <c r="M782" s="13">
        <v>258.89999999999998</v>
      </c>
      <c r="N782" s="13">
        <v>468.9</v>
      </c>
      <c r="O782" s="13">
        <v>192.5</v>
      </c>
      <c r="P782" s="13">
        <v>36.9</v>
      </c>
      <c r="Q782" s="13">
        <v>270</v>
      </c>
      <c r="R782" s="13">
        <v>47.9</v>
      </c>
      <c r="S782" s="13">
        <v>303.39999999999998</v>
      </c>
      <c r="T782" s="13">
        <v>1360.7</v>
      </c>
      <c r="U782" s="13">
        <v>54.4</v>
      </c>
      <c r="V782" s="13">
        <v>135.4</v>
      </c>
      <c r="W782" s="13">
        <v>16.5</v>
      </c>
      <c r="X782" s="13">
        <v>91.9</v>
      </c>
      <c r="Y782" s="13">
        <v>10.9</v>
      </c>
      <c r="Z782" s="13"/>
      <c r="AA782" s="13"/>
      <c r="AB782" s="13"/>
      <c r="AC782" s="14">
        <v>1300.6756756756758</v>
      </c>
      <c r="AD782" s="14">
        <v>655.41740674955599</v>
      </c>
      <c r="AE782" s="14">
        <v>1356.7839195979898</v>
      </c>
      <c r="AF782" s="14">
        <v>1326.8698060941829</v>
      </c>
      <c r="AG782" s="15">
        <v>0.493266131244461</v>
      </c>
      <c r="AH782" s="15">
        <v>0.49337611196053266</v>
      </c>
      <c r="AI782" s="15">
        <v>0.50056735373530936</v>
      </c>
      <c r="AJ782" s="41">
        <f t="shared" si="24"/>
        <v>1119.7</v>
      </c>
      <c r="AK782" s="44">
        <f t="shared" si="25"/>
        <v>0.1902697141177335</v>
      </c>
      <c r="AL782" s="10"/>
      <c r="AM782" s="10"/>
    </row>
    <row r="783" spans="1:39" s="16" customFormat="1" ht="19" customHeight="1">
      <c r="A783" s="9" t="s">
        <v>846</v>
      </c>
      <c r="B783" s="10" t="s">
        <v>839</v>
      </c>
      <c r="C783" s="10"/>
      <c r="D783" s="10"/>
      <c r="E783" s="36" t="s">
        <v>234</v>
      </c>
      <c r="F783" s="36" t="s">
        <v>249</v>
      </c>
      <c r="G783" s="12" t="s">
        <v>831</v>
      </c>
      <c r="H783" s="13">
        <v>0.7</v>
      </c>
      <c r="I783" s="13">
        <v>40.5</v>
      </c>
      <c r="J783" s="13">
        <v>109.3</v>
      </c>
      <c r="K783" s="13">
        <v>436.2</v>
      </c>
      <c r="L783" s="13">
        <v>81.400000000000006</v>
      </c>
      <c r="M783" s="13">
        <v>262.39999999999998</v>
      </c>
      <c r="N783" s="13">
        <v>466.9</v>
      </c>
      <c r="O783" s="13">
        <v>194.1</v>
      </c>
      <c r="P783" s="13">
        <v>37.299999999999997</v>
      </c>
      <c r="Q783" s="13">
        <v>273.60000000000002</v>
      </c>
      <c r="R783" s="13">
        <v>47.4</v>
      </c>
      <c r="S783" s="13">
        <v>300.5</v>
      </c>
      <c r="T783" s="13">
        <v>1355.9</v>
      </c>
      <c r="U783" s="13">
        <v>53.8</v>
      </c>
      <c r="V783" s="13">
        <v>131.30000000000001</v>
      </c>
      <c r="W783" s="13">
        <v>15.9</v>
      </c>
      <c r="X783" s="13">
        <v>88.6</v>
      </c>
      <c r="Y783" s="13">
        <v>10.6</v>
      </c>
      <c r="Z783" s="13"/>
      <c r="AA783" s="13"/>
      <c r="AB783" s="13"/>
      <c r="AC783" s="14">
        <v>1311.4864864864865</v>
      </c>
      <c r="AD783" s="14">
        <v>662.52220248667845</v>
      </c>
      <c r="AE783" s="14">
        <v>1374.8743718592966</v>
      </c>
      <c r="AF783" s="14">
        <v>1313.0193905817175</v>
      </c>
      <c r="AG783" s="15">
        <v>0.49324885033848265</v>
      </c>
      <c r="AH783" s="15">
        <v>0.49338622331650822</v>
      </c>
      <c r="AI783" s="15">
        <v>0.5049722475790378</v>
      </c>
      <c r="AJ783" s="41">
        <f t="shared" si="24"/>
        <v>1093.8</v>
      </c>
      <c r="AK783" s="44">
        <f t="shared" si="25"/>
        <v>0.19352459620915993</v>
      </c>
      <c r="AL783" s="10"/>
      <c r="AM783" s="10"/>
    </row>
    <row r="784" spans="1:39" s="16" customFormat="1" ht="19" customHeight="1">
      <c r="A784" s="9" t="s">
        <v>847</v>
      </c>
      <c r="B784" s="10" t="s">
        <v>839</v>
      </c>
      <c r="C784" s="10"/>
      <c r="D784" s="10"/>
      <c r="E784" s="36" t="s">
        <v>234</v>
      </c>
      <c r="F784" s="36" t="s">
        <v>249</v>
      </c>
      <c r="G784" s="12" t="s">
        <v>831</v>
      </c>
      <c r="H784" s="13">
        <v>0.6</v>
      </c>
      <c r="I784" s="13">
        <v>31</v>
      </c>
      <c r="J784" s="13">
        <v>109.7</v>
      </c>
      <c r="K784" s="13">
        <v>388</v>
      </c>
      <c r="L784" s="13">
        <v>66.099999999999994</v>
      </c>
      <c r="M784" s="13">
        <v>310.8</v>
      </c>
      <c r="N784" s="13">
        <v>362.2</v>
      </c>
      <c r="O784" s="13">
        <v>148.4</v>
      </c>
      <c r="P784" s="13">
        <v>43.3</v>
      </c>
      <c r="Q784" s="13">
        <v>230.1</v>
      </c>
      <c r="R784" s="13">
        <v>41.1</v>
      </c>
      <c r="S784" s="13">
        <v>269.39999999999998</v>
      </c>
      <c r="T784" s="13">
        <v>1262.2</v>
      </c>
      <c r="U784" s="13">
        <v>50.7</v>
      </c>
      <c r="V784" s="13">
        <v>127.9</v>
      </c>
      <c r="W784" s="13">
        <v>16.3</v>
      </c>
      <c r="X784" s="13">
        <v>93.3</v>
      </c>
      <c r="Y784" s="13">
        <v>11.6</v>
      </c>
      <c r="Z784" s="13"/>
      <c r="AA784" s="13"/>
      <c r="AB784" s="13"/>
      <c r="AC784" s="14">
        <v>1002.7027027027028</v>
      </c>
      <c r="AD784" s="14">
        <v>769.09413854351692</v>
      </c>
      <c r="AE784" s="14">
        <v>1156.2814070351758</v>
      </c>
      <c r="AF784" s="14">
        <v>1138.5041551246538</v>
      </c>
      <c r="AG784" s="15">
        <v>0.71245928589709939</v>
      </c>
      <c r="AH784" s="15">
        <v>0.71426873008836722</v>
      </c>
      <c r="AI784" s="15">
        <v>0.73522427557612224</v>
      </c>
      <c r="AJ784" s="41">
        <f t="shared" si="24"/>
        <v>926</v>
      </c>
      <c r="AK784" s="44">
        <f t="shared" si="25"/>
        <v>0.24623672951988593</v>
      </c>
      <c r="AL784" s="10"/>
      <c r="AM784" s="10"/>
    </row>
    <row r="785" spans="1:39" s="16" customFormat="1" ht="19" customHeight="1">
      <c r="A785" s="9" t="s">
        <v>848</v>
      </c>
      <c r="B785" s="10" t="s">
        <v>839</v>
      </c>
      <c r="C785" s="10"/>
      <c r="D785" s="10"/>
      <c r="E785" s="36" t="s">
        <v>234</v>
      </c>
      <c r="F785" s="36" t="s">
        <v>249</v>
      </c>
      <c r="G785" s="12" t="s">
        <v>831</v>
      </c>
      <c r="H785" s="13">
        <v>0.5</v>
      </c>
      <c r="I785" s="13">
        <v>27.5</v>
      </c>
      <c r="J785" s="13">
        <v>93.5</v>
      </c>
      <c r="K785" s="13">
        <v>347</v>
      </c>
      <c r="L785" s="13">
        <v>60.4</v>
      </c>
      <c r="M785" s="13">
        <v>245.7</v>
      </c>
      <c r="N785" s="13">
        <v>339.4</v>
      </c>
      <c r="O785" s="13">
        <v>147.80000000000001</v>
      </c>
      <c r="P785" s="13">
        <v>34.4</v>
      </c>
      <c r="Q785" s="13">
        <v>228.2</v>
      </c>
      <c r="R785" s="13">
        <v>40.700000000000003</v>
      </c>
      <c r="S785" s="13">
        <v>263.3</v>
      </c>
      <c r="T785" s="13">
        <v>1127.9000000000001</v>
      </c>
      <c r="U785" s="13">
        <v>46.1</v>
      </c>
      <c r="V785" s="13">
        <v>110.4</v>
      </c>
      <c r="W785" s="13">
        <v>13.7</v>
      </c>
      <c r="X785" s="13">
        <v>74.099999999999994</v>
      </c>
      <c r="Y785" s="13">
        <v>9</v>
      </c>
      <c r="Z785" s="13"/>
      <c r="AA785" s="13"/>
      <c r="AB785" s="13"/>
      <c r="AC785" s="14">
        <v>998.64864864864876</v>
      </c>
      <c r="AD785" s="14">
        <v>611.01243339253995</v>
      </c>
      <c r="AE785" s="14">
        <v>1146.7336683417084</v>
      </c>
      <c r="AF785" s="14">
        <v>1127.4238227146816</v>
      </c>
      <c r="AG785" s="15">
        <v>0.5696070379191871</v>
      </c>
      <c r="AH785" s="15">
        <v>0.57096883843003188</v>
      </c>
      <c r="AI785" s="15">
        <v>0.58759645428005725</v>
      </c>
      <c r="AJ785" s="41">
        <f t="shared" si="24"/>
        <v>840.3</v>
      </c>
      <c r="AK785" s="44">
        <f t="shared" si="25"/>
        <v>0.21783846085645889</v>
      </c>
      <c r="AL785" s="10"/>
      <c r="AM785" s="10"/>
    </row>
    <row r="786" spans="1:39" s="16" customFormat="1" ht="19" customHeight="1">
      <c r="A786" s="9" t="s">
        <v>849</v>
      </c>
      <c r="B786" s="10" t="s">
        <v>839</v>
      </c>
      <c r="C786" s="10"/>
      <c r="D786" s="10"/>
      <c r="E786" s="36" t="s">
        <v>234</v>
      </c>
      <c r="F786" s="36" t="s">
        <v>249</v>
      </c>
      <c r="G786" s="12" t="s">
        <v>831</v>
      </c>
      <c r="H786" s="13">
        <v>2.2000000000000002</v>
      </c>
      <c r="I786" s="13">
        <v>16.2</v>
      </c>
      <c r="J786" s="13">
        <v>121</v>
      </c>
      <c r="K786" s="13">
        <v>375.3</v>
      </c>
      <c r="L786" s="13">
        <v>61.7</v>
      </c>
      <c r="M786" s="13">
        <v>278.89999999999998</v>
      </c>
      <c r="N786" s="13">
        <v>342</v>
      </c>
      <c r="O786" s="13">
        <v>141.5</v>
      </c>
      <c r="P786" s="13">
        <v>37.700000000000003</v>
      </c>
      <c r="Q786" s="13">
        <v>202.9</v>
      </c>
      <c r="R786" s="13">
        <v>34.6</v>
      </c>
      <c r="S786" s="13">
        <v>217.2</v>
      </c>
      <c r="T786" s="13">
        <v>911.4</v>
      </c>
      <c r="U786" s="13">
        <v>37.200000000000003</v>
      </c>
      <c r="V786" s="13">
        <v>88.6</v>
      </c>
      <c r="W786" s="13">
        <v>10.6</v>
      </c>
      <c r="X786" s="13">
        <v>58.8</v>
      </c>
      <c r="Y786" s="13">
        <v>6.9</v>
      </c>
      <c r="Z786" s="13"/>
      <c r="AA786" s="13"/>
      <c r="AB786" s="13"/>
      <c r="AC786" s="14">
        <v>956.08108108108115</v>
      </c>
      <c r="AD786" s="14">
        <v>669.62699822380114</v>
      </c>
      <c r="AE786" s="14">
        <v>1019.5979899497487</v>
      </c>
      <c r="AF786" s="14">
        <v>958.44875346260392</v>
      </c>
      <c r="AG786" s="15">
        <v>0.67787021489721677</v>
      </c>
      <c r="AH786" s="15">
        <v>0.6782208047047763</v>
      </c>
      <c r="AI786" s="15">
        <v>0.69981004774606781</v>
      </c>
      <c r="AJ786" s="41">
        <f t="shared" si="24"/>
        <v>900</v>
      </c>
      <c r="AK786" s="44">
        <f t="shared" si="25"/>
        <v>0.30601272767171384</v>
      </c>
      <c r="AL786" s="10"/>
      <c r="AM786" s="10"/>
    </row>
    <row r="787" spans="1:39" s="16" customFormat="1" ht="19" customHeight="1">
      <c r="A787" s="9" t="s">
        <v>850</v>
      </c>
      <c r="B787" s="10" t="s">
        <v>839</v>
      </c>
      <c r="C787" s="10"/>
      <c r="D787" s="10"/>
      <c r="E787" s="36" t="s">
        <v>234</v>
      </c>
      <c r="F787" s="36" t="s">
        <v>249</v>
      </c>
      <c r="G787" s="12" t="s">
        <v>831</v>
      </c>
      <c r="H787" s="13">
        <v>0.6</v>
      </c>
      <c r="I787" s="13">
        <v>53.7</v>
      </c>
      <c r="J787" s="13">
        <v>80.099999999999994</v>
      </c>
      <c r="K787" s="13">
        <v>385.9</v>
      </c>
      <c r="L787" s="13">
        <v>77.099999999999994</v>
      </c>
      <c r="M787" s="13">
        <v>220</v>
      </c>
      <c r="N787" s="13">
        <v>460.6</v>
      </c>
      <c r="O787" s="13">
        <v>196.8</v>
      </c>
      <c r="P787" s="13">
        <v>30.8</v>
      </c>
      <c r="Q787" s="13">
        <v>274</v>
      </c>
      <c r="R787" s="13">
        <v>47.4</v>
      </c>
      <c r="S787" s="13">
        <v>300.39999999999998</v>
      </c>
      <c r="T787" s="13">
        <v>1293.9000000000001</v>
      </c>
      <c r="U787" s="13">
        <v>52</v>
      </c>
      <c r="V787" s="13">
        <v>126.4</v>
      </c>
      <c r="W787" s="13">
        <v>15.3</v>
      </c>
      <c r="X787" s="13">
        <v>84.9</v>
      </c>
      <c r="Y787" s="13">
        <v>9.8000000000000007</v>
      </c>
      <c r="Z787" s="13"/>
      <c r="AA787" s="13"/>
      <c r="AB787" s="13"/>
      <c r="AC787" s="14">
        <v>1329.7297297297298</v>
      </c>
      <c r="AD787" s="14">
        <v>547.06927175843703</v>
      </c>
      <c r="AE787" s="14">
        <v>1376.8844221105528</v>
      </c>
      <c r="AF787" s="14">
        <v>1313.0193905817175</v>
      </c>
      <c r="AG787" s="15">
        <v>0.40424622134372079</v>
      </c>
      <c r="AH787" s="15">
        <v>0.40430758510726189</v>
      </c>
      <c r="AI787" s="15">
        <v>0.41315183839664898</v>
      </c>
      <c r="AJ787" s="41">
        <f t="shared" si="24"/>
        <v>1003.7</v>
      </c>
      <c r="AK787" s="44">
        <f t="shared" si="25"/>
        <v>0.17002859571837081</v>
      </c>
      <c r="AL787" s="10"/>
      <c r="AM787" s="10"/>
    </row>
    <row r="788" spans="1:39" s="16" customFormat="1" ht="19" customHeight="1">
      <c r="A788" s="9" t="s">
        <v>851</v>
      </c>
      <c r="B788" s="10" t="s">
        <v>1355</v>
      </c>
      <c r="C788" s="10"/>
      <c r="D788" s="10"/>
      <c r="E788" s="11" t="s">
        <v>1341</v>
      </c>
      <c r="F788" s="11" t="s">
        <v>249</v>
      </c>
      <c r="G788" s="12" t="s">
        <v>852</v>
      </c>
      <c r="H788" s="13">
        <v>44.06</v>
      </c>
      <c r="I788" s="13">
        <v>8.9600000000000009</v>
      </c>
      <c r="J788" s="13">
        <v>1360.79</v>
      </c>
      <c r="K788" s="13">
        <v>2599.1</v>
      </c>
      <c r="L788" s="13">
        <v>342.39</v>
      </c>
      <c r="M788" s="13">
        <v>1403.44</v>
      </c>
      <c r="N788" s="13">
        <v>1422.86</v>
      </c>
      <c r="O788" s="13">
        <v>247.83</v>
      </c>
      <c r="P788" s="13">
        <v>27</v>
      </c>
      <c r="Q788" s="13">
        <v>173.18</v>
      </c>
      <c r="R788" s="13">
        <v>21.07</v>
      </c>
      <c r="S788" s="13">
        <v>101.74</v>
      </c>
      <c r="T788" s="13">
        <v>593.64</v>
      </c>
      <c r="U788" s="13">
        <v>20.14</v>
      </c>
      <c r="V788" s="13">
        <v>48.64</v>
      </c>
      <c r="W788" s="13">
        <v>5.38</v>
      </c>
      <c r="X788" s="13">
        <v>32.11</v>
      </c>
      <c r="Y788" s="13">
        <v>4.43</v>
      </c>
      <c r="Z788" s="13"/>
      <c r="AA788" s="13">
        <v>37.229999999999997</v>
      </c>
      <c r="AB788" s="13"/>
      <c r="AC788" s="14">
        <v>1674.5270270270271</v>
      </c>
      <c r="AD788" s="14">
        <v>479.5737122557727</v>
      </c>
      <c r="AE788" s="14">
        <v>870.251256281407</v>
      </c>
      <c r="AF788" s="14">
        <v>583.65650969529088</v>
      </c>
      <c r="AG788" s="15">
        <v>0.37690805159833807</v>
      </c>
      <c r="AH788" s="15">
        <v>0.397271087398958</v>
      </c>
      <c r="AI788" s="15">
        <v>0.4069504040867411</v>
      </c>
      <c r="AJ788" s="41">
        <f t="shared" si="24"/>
        <v>5725.1399999999994</v>
      </c>
      <c r="AK788" s="44">
        <f t="shared" si="25"/>
        <v>2.3641264065763763</v>
      </c>
      <c r="AL788" s="10"/>
      <c r="AM788" s="10"/>
    </row>
    <row r="789" spans="1:39" s="16" customFormat="1" ht="19" customHeight="1">
      <c r="A789" s="9" t="s">
        <v>853</v>
      </c>
      <c r="B789" s="10" t="s">
        <v>1355</v>
      </c>
      <c r="C789" s="10"/>
      <c r="D789" s="10"/>
      <c r="E789" s="11" t="s">
        <v>1341</v>
      </c>
      <c r="F789" s="11" t="s">
        <v>249</v>
      </c>
      <c r="G789" s="12" t="s">
        <v>852</v>
      </c>
      <c r="H789" s="13">
        <v>47.3</v>
      </c>
      <c r="I789" s="13">
        <v>9.8800000000000008</v>
      </c>
      <c r="J789" s="13">
        <v>1291.57</v>
      </c>
      <c r="K789" s="13">
        <v>2673.41</v>
      </c>
      <c r="L789" s="13">
        <v>334.48</v>
      </c>
      <c r="M789" s="13">
        <v>1269.67</v>
      </c>
      <c r="N789" s="13">
        <v>1390.35</v>
      </c>
      <c r="O789" s="13">
        <v>240.73</v>
      </c>
      <c r="P789" s="13">
        <v>34.82</v>
      </c>
      <c r="Q789" s="13">
        <v>162.44</v>
      </c>
      <c r="R789" s="13">
        <v>20.88</v>
      </c>
      <c r="S789" s="13">
        <v>102.6</v>
      </c>
      <c r="T789" s="13">
        <v>529.71</v>
      </c>
      <c r="U789" s="13">
        <v>19.18</v>
      </c>
      <c r="V789" s="13">
        <v>46.6</v>
      </c>
      <c r="W789" s="13">
        <v>5.52</v>
      </c>
      <c r="X789" s="13">
        <v>32.799999999999997</v>
      </c>
      <c r="Y789" s="13">
        <v>4.29</v>
      </c>
      <c r="Z789" s="13"/>
      <c r="AA789" s="13">
        <v>45.36</v>
      </c>
      <c r="AB789" s="13"/>
      <c r="AC789" s="14">
        <v>1626.5540540540542</v>
      </c>
      <c r="AD789" s="14">
        <v>618.47246891651866</v>
      </c>
      <c r="AE789" s="14">
        <v>816.28140703517579</v>
      </c>
      <c r="AF789" s="14">
        <v>578.393351800554</v>
      </c>
      <c r="AG789" s="15">
        <v>0.50635622314140583</v>
      </c>
      <c r="AH789" s="15">
        <v>0.53674272843032489</v>
      </c>
      <c r="AI789" s="15">
        <v>0.53670248706457813</v>
      </c>
      <c r="AJ789" s="41">
        <f t="shared" si="24"/>
        <v>5689.8099999999995</v>
      </c>
      <c r="AK789" s="44">
        <f t="shared" si="25"/>
        <v>2.3969152932736781</v>
      </c>
      <c r="AL789" s="10"/>
      <c r="AM789" s="10"/>
    </row>
    <row r="790" spans="1:39" s="16" customFormat="1" ht="19" customHeight="1">
      <c r="A790" s="9" t="s">
        <v>854</v>
      </c>
      <c r="B790" s="10" t="s">
        <v>1355</v>
      </c>
      <c r="C790" s="10"/>
      <c r="D790" s="10"/>
      <c r="E790" s="11" t="s">
        <v>1341</v>
      </c>
      <c r="F790" s="11" t="s">
        <v>249</v>
      </c>
      <c r="G790" s="12" t="s">
        <v>852</v>
      </c>
      <c r="H790" s="13">
        <v>50.2</v>
      </c>
      <c r="I790" s="13">
        <v>11.98</v>
      </c>
      <c r="J790" s="13">
        <v>1344.97</v>
      </c>
      <c r="K790" s="13">
        <v>2792.09</v>
      </c>
      <c r="L790" s="13">
        <v>341.69</v>
      </c>
      <c r="M790" s="13">
        <v>1268.1500000000001</v>
      </c>
      <c r="N790" s="13">
        <v>1482.94</v>
      </c>
      <c r="O790" s="13">
        <v>244.73</v>
      </c>
      <c r="P790" s="13">
        <v>33.58</v>
      </c>
      <c r="Q790" s="13">
        <v>173.53</v>
      </c>
      <c r="R790" s="13">
        <v>21.68</v>
      </c>
      <c r="S790" s="13">
        <v>110.4</v>
      </c>
      <c r="T790" s="13">
        <v>561.54999999999995</v>
      </c>
      <c r="U790" s="13">
        <v>19.53</v>
      </c>
      <c r="V790" s="13">
        <v>48.07</v>
      </c>
      <c r="W790" s="13">
        <v>6.11</v>
      </c>
      <c r="X790" s="13">
        <v>37.21</v>
      </c>
      <c r="Y790" s="13">
        <v>4.3099999999999996</v>
      </c>
      <c r="Z790" s="13"/>
      <c r="AA790" s="13">
        <v>26.07</v>
      </c>
      <c r="AB790" s="13"/>
      <c r="AC790" s="14">
        <v>1653.581081081081</v>
      </c>
      <c r="AD790" s="14">
        <v>596.44760213143877</v>
      </c>
      <c r="AE790" s="14">
        <v>872.01005025125619</v>
      </c>
      <c r="AF790" s="14">
        <v>600.5540166204986</v>
      </c>
      <c r="AG790" s="15">
        <v>0.47232316801555435</v>
      </c>
      <c r="AH790" s="15">
        <v>0.49670531176215532</v>
      </c>
      <c r="AI790" s="15">
        <v>0.5055583356096699</v>
      </c>
      <c r="AJ790" s="41">
        <f t="shared" si="24"/>
        <v>5961.6900000000005</v>
      </c>
      <c r="AK790" s="44">
        <f t="shared" si="25"/>
        <v>2.2583029115840088</v>
      </c>
      <c r="AL790" s="10"/>
      <c r="AM790" s="10"/>
    </row>
    <row r="791" spans="1:39" s="16" customFormat="1" ht="19" customHeight="1">
      <c r="A791" s="9" t="s">
        <v>855</v>
      </c>
      <c r="B791" s="10" t="s">
        <v>1355</v>
      </c>
      <c r="C791" s="10"/>
      <c r="D791" s="10"/>
      <c r="E791" s="11" t="s">
        <v>1341</v>
      </c>
      <c r="F791" s="11" t="s">
        <v>249</v>
      </c>
      <c r="G791" s="12" t="s">
        <v>852</v>
      </c>
      <c r="H791" s="13">
        <v>49.24</v>
      </c>
      <c r="I791" s="13">
        <v>11.14</v>
      </c>
      <c r="J791" s="13">
        <v>1430.33</v>
      </c>
      <c r="K791" s="13">
        <v>2864.02</v>
      </c>
      <c r="L791" s="13">
        <v>357.9</v>
      </c>
      <c r="M791" s="13">
        <v>1275.75</v>
      </c>
      <c r="N791" s="13">
        <v>1506.92</v>
      </c>
      <c r="O791" s="13">
        <v>256.74</v>
      </c>
      <c r="P791" s="13">
        <v>35.97</v>
      </c>
      <c r="Q791" s="13">
        <v>183.33</v>
      </c>
      <c r="R791" s="13">
        <v>23.08</v>
      </c>
      <c r="S791" s="13">
        <v>107.66</v>
      </c>
      <c r="T791" s="13">
        <v>587.21</v>
      </c>
      <c r="U791" s="13">
        <v>21.01</v>
      </c>
      <c r="V791" s="13">
        <v>49.37</v>
      </c>
      <c r="W791" s="13">
        <v>5.91</v>
      </c>
      <c r="X791" s="13">
        <v>33.549999999999997</v>
      </c>
      <c r="Y791" s="13">
        <v>4.87</v>
      </c>
      <c r="Z791" s="13"/>
      <c r="AA791" s="13">
        <v>21.15</v>
      </c>
      <c r="AB791" s="13"/>
      <c r="AC791" s="14">
        <v>1734.7297297297298</v>
      </c>
      <c r="AD791" s="14">
        <v>638.89875666074602</v>
      </c>
      <c r="AE791" s="14">
        <v>921.2562814070352</v>
      </c>
      <c r="AF791" s="14">
        <v>639.33518005540157</v>
      </c>
      <c r="AG791" s="15">
        <v>0.481100995247559</v>
      </c>
      <c r="AH791" s="15">
        <v>0.50538913513795369</v>
      </c>
      <c r="AI791" s="15">
        <v>0.51369021689305916</v>
      </c>
      <c r="AJ791" s="41">
        <f t="shared" si="24"/>
        <v>6159.17</v>
      </c>
      <c r="AK791" s="44">
        <f t="shared" si="25"/>
        <v>2.1725617751741284</v>
      </c>
      <c r="AL791" s="10"/>
      <c r="AM791" s="10"/>
    </row>
    <row r="792" spans="1:39" s="16" customFormat="1" ht="19" customHeight="1">
      <c r="A792" s="9" t="s">
        <v>856</v>
      </c>
      <c r="B792" s="10" t="s">
        <v>1355</v>
      </c>
      <c r="C792" s="10"/>
      <c r="D792" s="10"/>
      <c r="E792" s="11" t="s">
        <v>1341</v>
      </c>
      <c r="F792" s="11" t="s">
        <v>249</v>
      </c>
      <c r="G792" s="12" t="s">
        <v>852</v>
      </c>
      <c r="H792" s="13">
        <v>57.6</v>
      </c>
      <c r="I792" s="13">
        <v>13.53</v>
      </c>
      <c r="J792" s="13">
        <v>1480.89</v>
      </c>
      <c r="K792" s="13">
        <v>3100.47</v>
      </c>
      <c r="L792" s="13">
        <v>379.56</v>
      </c>
      <c r="M792" s="13">
        <v>1504.15</v>
      </c>
      <c r="N792" s="13">
        <v>1655.45</v>
      </c>
      <c r="O792" s="13">
        <v>273.57</v>
      </c>
      <c r="P792" s="13">
        <v>40.07</v>
      </c>
      <c r="Q792" s="13">
        <v>188.96</v>
      </c>
      <c r="R792" s="13">
        <v>24.87</v>
      </c>
      <c r="S792" s="13">
        <v>117.02</v>
      </c>
      <c r="T792" s="13">
        <v>632.75</v>
      </c>
      <c r="U792" s="13">
        <v>22.42</v>
      </c>
      <c r="V792" s="13">
        <v>50.74</v>
      </c>
      <c r="W792" s="13">
        <v>6.05</v>
      </c>
      <c r="X792" s="13">
        <v>36.270000000000003</v>
      </c>
      <c r="Y792" s="13">
        <v>4.95</v>
      </c>
      <c r="Z792" s="13"/>
      <c r="AA792" s="13">
        <v>22.06</v>
      </c>
      <c r="AB792" s="13"/>
      <c r="AC792" s="14">
        <v>1848.4459459459461</v>
      </c>
      <c r="AD792" s="14">
        <v>711.72291296625224</v>
      </c>
      <c r="AE792" s="14">
        <v>949.54773869346729</v>
      </c>
      <c r="AF792" s="14">
        <v>688.91966759002776</v>
      </c>
      <c r="AG792" s="15">
        <v>0.50873804102811926</v>
      </c>
      <c r="AH792" s="15">
        <v>0.53721628361058926</v>
      </c>
      <c r="AI792" s="15">
        <v>0.53503671309299838</v>
      </c>
      <c r="AJ792" s="41">
        <f t="shared" si="24"/>
        <v>6616.37</v>
      </c>
      <c r="AK792" s="44">
        <f t="shared" si="25"/>
        <v>2.3771631766100358</v>
      </c>
      <c r="AL792" s="10"/>
      <c r="AM792" s="10"/>
    </row>
    <row r="793" spans="1:39" s="16" customFormat="1" ht="19" customHeight="1">
      <c r="A793" s="9" t="s">
        <v>857</v>
      </c>
      <c r="B793" s="10" t="s">
        <v>1355</v>
      </c>
      <c r="C793" s="10"/>
      <c r="D793" s="10"/>
      <c r="E793" s="11" t="s">
        <v>1341</v>
      </c>
      <c r="F793" s="11" t="s">
        <v>249</v>
      </c>
      <c r="G793" s="12" t="s">
        <v>852</v>
      </c>
      <c r="H793" s="13">
        <v>55.11</v>
      </c>
      <c r="I793" s="13">
        <v>12.5</v>
      </c>
      <c r="J793" s="13">
        <v>1494.44</v>
      </c>
      <c r="K793" s="13">
        <v>3088.11</v>
      </c>
      <c r="L793" s="13">
        <v>391.96</v>
      </c>
      <c r="M793" s="13">
        <v>1411.85</v>
      </c>
      <c r="N793" s="13">
        <v>1583.58</v>
      </c>
      <c r="O793" s="13">
        <v>268.86</v>
      </c>
      <c r="P793" s="13">
        <v>39.619999999999997</v>
      </c>
      <c r="Q793" s="13">
        <v>185.43</v>
      </c>
      <c r="R793" s="13">
        <v>22.96</v>
      </c>
      <c r="S793" s="13">
        <v>112.4</v>
      </c>
      <c r="T793" s="13">
        <v>657.13</v>
      </c>
      <c r="U793" s="13">
        <v>21.33</v>
      </c>
      <c r="V793" s="13">
        <v>46.13</v>
      </c>
      <c r="W793" s="13">
        <v>5.69</v>
      </c>
      <c r="X793" s="13">
        <v>35.07</v>
      </c>
      <c r="Y793" s="13">
        <v>4.6500000000000004</v>
      </c>
      <c r="Z793" s="13"/>
      <c r="AA793" s="13">
        <v>25.31</v>
      </c>
      <c r="AB793" s="13"/>
      <c r="AC793" s="14">
        <v>1816.6216216216219</v>
      </c>
      <c r="AD793" s="14">
        <v>703.7300177619893</v>
      </c>
      <c r="AE793" s="14">
        <v>931.80904522613059</v>
      </c>
      <c r="AF793" s="14">
        <v>636.01108033240996</v>
      </c>
      <c r="AG793" s="15">
        <v>0.51209588529960315</v>
      </c>
      <c r="AH793" s="15">
        <v>0.54089177313103132</v>
      </c>
      <c r="AI793" s="15">
        <v>0.54963561158914587</v>
      </c>
      <c r="AJ793" s="41">
        <f t="shared" si="24"/>
        <v>6558.09</v>
      </c>
      <c r="AK793" s="44">
        <f t="shared" si="25"/>
        <v>2.1485094273583614</v>
      </c>
      <c r="AL793" s="10"/>
      <c r="AM793" s="10"/>
    </row>
    <row r="794" spans="1:39" s="16" customFormat="1" ht="19" customHeight="1">
      <c r="A794" s="9" t="s">
        <v>858</v>
      </c>
      <c r="B794" s="10" t="s">
        <v>1355</v>
      </c>
      <c r="C794" s="10"/>
      <c r="D794" s="10"/>
      <c r="E794" s="11" t="s">
        <v>1341</v>
      </c>
      <c r="F794" s="11" t="s">
        <v>249</v>
      </c>
      <c r="G794" s="12" t="s">
        <v>852</v>
      </c>
      <c r="H794" s="13">
        <v>38.07</v>
      </c>
      <c r="I794" s="13">
        <v>10.58</v>
      </c>
      <c r="J794" s="13">
        <v>1213.5899999999999</v>
      </c>
      <c r="K794" s="13">
        <v>3698.35</v>
      </c>
      <c r="L794" s="13">
        <v>328.45</v>
      </c>
      <c r="M794" s="13">
        <v>1216.8699999999999</v>
      </c>
      <c r="N794" s="13">
        <v>1377.75</v>
      </c>
      <c r="O794" s="13">
        <v>238.16</v>
      </c>
      <c r="P794" s="13">
        <v>36.96</v>
      </c>
      <c r="Q794" s="13">
        <v>177.51</v>
      </c>
      <c r="R794" s="13">
        <v>22.15</v>
      </c>
      <c r="S794" s="13">
        <v>114.78</v>
      </c>
      <c r="T794" s="13">
        <v>578.66</v>
      </c>
      <c r="U794" s="13">
        <v>18.87</v>
      </c>
      <c r="V794" s="13">
        <v>46.76</v>
      </c>
      <c r="W794" s="13">
        <v>5.52</v>
      </c>
      <c r="X794" s="13">
        <v>35.380000000000003</v>
      </c>
      <c r="Y794" s="13">
        <v>4.45</v>
      </c>
      <c r="Z794" s="13"/>
      <c r="AA794" s="13">
        <v>18.82</v>
      </c>
      <c r="AB794" s="13"/>
      <c r="AC794" s="14">
        <v>1609.1891891891892</v>
      </c>
      <c r="AD794" s="14">
        <v>656.48312611012443</v>
      </c>
      <c r="AE794" s="14">
        <v>892.01005025125619</v>
      </c>
      <c r="AF794" s="14">
        <v>613.573407202216</v>
      </c>
      <c r="AG794" s="15">
        <v>0.52493469193360964</v>
      </c>
      <c r="AH794" s="15">
        <v>0.54794269418355257</v>
      </c>
      <c r="AI794" s="15">
        <v>0.56259601844553664</v>
      </c>
      <c r="AJ794" s="41">
        <f t="shared" si="24"/>
        <v>6618.1399999999994</v>
      </c>
      <c r="AK794" s="44">
        <f t="shared" si="25"/>
        <v>2.1029101717761725</v>
      </c>
      <c r="AL794" s="10"/>
      <c r="AM794" s="10"/>
    </row>
    <row r="795" spans="1:39" s="16" customFormat="1" ht="19" customHeight="1">
      <c r="A795" s="9" t="s">
        <v>859</v>
      </c>
      <c r="B795" s="10" t="s">
        <v>1355</v>
      </c>
      <c r="C795" s="10"/>
      <c r="D795" s="10"/>
      <c r="E795" s="11" t="s">
        <v>1341</v>
      </c>
      <c r="F795" s="11" t="s">
        <v>249</v>
      </c>
      <c r="G795" s="12" t="s">
        <v>852</v>
      </c>
      <c r="H795" s="13">
        <v>39.450000000000003</v>
      </c>
      <c r="I795" s="13">
        <v>8.86</v>
      </c>
      <c r="J795" s="13">
        <v>1305.81</v>
      </c>
      <c r="K795" s="13">
        <v>2870</v>
      </c>
      <c r="L795" s="13">
        <v>351.21</v>
      </c>
      <c r="M795" s="13">
        <v>1320.31</v>
      </c>
      <c r="N795" s="13">
        <v>1456.22</v>
      </c>
      <c r="O795" s="13">
        <v>253.83</v>
      </c>
      <c r="P795" s="13">
        <v>36.19</v>
      </c>
      <c r="Q795" s="13">
        <v>171.9</v>
      </c>
      <c r="R795" s="13">
        <v>21.16</v>
      </c>
      <c r="S795" s="13">
        <v>108</v>
      </c>
      <c r="T795" s="13">
        <v>589.94000000000005</v>
      </c>
      <c r="U795" s="13">
        <v>18.829999999999998</v>
      </c>
      <c r="V795" s="13">
        <v>47.45</v>
      </c>
      <c r="W795" s="13">
        <v>5.39</v>
      </c>
      <c r="X795" s="13">
        <v>32.380000000000003</v>
      </c>
      <c r="Y795" s="13">
        <v>4.3499999999999996</v>
      </c>
      <c r="Z795" s="13"/>
      <c r="AA795" s="13">
        <v>21.77</v>
      </c>
      <c r="AB795" s="13"/>
      <c r="AC795" s="14">
        <v>1715.0675675675677</v>
      </c>
      <c r="AD795" s="14">
        <v>642.80639431616339</v>
      </c>
      <c r="AE795" s="14">
        <v>863.8190954773869</v>
      </c>
      <c r="AF795" s="14">
        <v>586.14958448753464</v>
      </c>
      <c r="AG795" s="15">
        <v>0.49851465248743121</v>
      </c>
      <c r="AH795" s="15">
        <v>0.52811459632956959</v>
      </c>
      <c r="AI795" s="15">
        <v>0.53607210860960375</v>
      </c>
      <c r="AJ795" s="41">
        <f t="shared" si="24"/>
        <v>5983.24</v>
      </c>
      <c r="AK795" s="44">
        <f t="shared" si="25"/>
        <v>2.2380411567278027</v>
      </c>
      <c r="AL795" s="10"/>
      <c r="AM795" s="10"/>
    </row>
    <row r="796" spans="1:39" s="16" customFormat="1" ht="19" customHeight="1">
      <c r="A796" s="9" t="s">
        <v>860</v>
      </c>
      <c r="B796" s="10" t="s">
        <v>1355</v>
      </c>
      <c r="C796" s="10"/>
      <c r="D796" s="10"/>
      <c r="E796" s="11" t="s">
        <v>1341</v>
      </c>
      <c r="F796" s="11" t="s">
        <v>249</v>
      </c>
      <c r="G796" s="12" t="s">
        <v>852</v>
      </c>
      <c r="H796" s="13">
        <v>42.2</v>
      </c>
      <c r="I796" s="13">
        <v>9.81</v>
      </c>
      <c r="J796" s="13">
        <v>1288.43</v>
      </c>
      <c r="K796" s="13">
        <v>2973.73</v>
      </c>
      <c r="L796" s="13">
        <v>329.92</v>
      </c>
      <c r="M796" s="13">
        <v>1220.53</v>
      </c>
      <c r="N796" s="13">
        <v>1410.59</v>
      </c>
      <c r="O796" s="13">
        <v>243.76</v>
      </c>
      <c r="P796" s="13">
        <v>34.17</v>
      </c>
      <c r="Q796" s="13">
        <v>169.33</v>
      </c>
      <c r="R796" s="13">
        <v>20.65</v>
      </c>
      <c r="S796" s="13">
        <v>105.28</v>
      </c>
      <c r="T796" s="13">
        <v>555.58000000000004</v>
      </c>
      <c r="U796" s="13">
        <v>19.399999999999999</v>
      </c>
      <c r="V796" s="13">
        <v>44.34</v>
      </c>
      <c r="W796" s="13">
        <v>5.56</v>
      </c>
      <c r="X796" s="13">
        <v>32.270000000000003</v>
      </c>
      <c r="Y796" s="13">
        <v>4.3</v>
      </c>
      <c r="Z796" s="13"/>
      <c r="AA796" s="13">
        <v>18.86</v>
      </c>
      <c r="AB796" s="13"/>
      <c r="AC796" s="14">
        <v>1647.0270270270271</v>
      </c>
      <c r="AD796" s="14">
        <v>606.92717584369461</v>
      </c>
      <c r="AE796" s="14">
        <v>850.9045226130653</v>
      </c>
      <c r="AF796" s="14">
        <v>572.02216066481992</v>
      </c>
      <c r="AG796" s="15">
        <v>0.48594380092692457</v>
      </c>
      <c r="AH796" s="15">
        <v>0.51267932642557679</v>
      </c>
      <c r="AI796" s="15">
        <v>0.52424200468339177</v>
      </c>
      <c r="AJ796" s="41">
        <f t="shared" si="24"/>
        <v>6002.67</v>
      </c>
      <c r="AK796" s="44">
        <f t="shared" si="25"/>
        <v>2.1968573382771157</v>
      </c>
      <c r="AL796" s="10"/>
      <c r="AM796" s="10"/>
    </row>
    <row r="797" spans="1:39" s="16" customFormat="1" ht="19" customHeight="1">
      <c r="A797" s="9" t="s">
        <v>861</v>
      </c>
      <c r="B797" s="10" t="s">
        <v>1355</v>
      </c>
      <c r="C797" s="10"/>
      <c r="D797" s="10"/>
      <c r="E797" s="11" t="s">
        <v>1341</v>
      </c>
      <c r="F797" s="11" t="s">
        <v>249</v>
      </c>
      <c r="G797" s="12" t="s">
        <v>852</v>
      </c>
      <c r="H797" s="13">
        <v>49.38</v>
      </c>
      <c r="I797" s="13">
        <v>10.74</v>
      </c>
      <c r="J797" s="13">
        <v>1038.95</v>
      </c>
      <c r="K797" s="13">
        <v>2245.89</v>
      </c>
      <c r="L797" s="13">
        <v>284.45999999999998</v>
      </c>
      <c r="M797" s="13">
        <v>1342.24</v>
      </c>
      <c r="N797" s="13">
        <v>1271.51</v>
      </c>
      <c r="O797" s="13">
        <v>213.92</v>
      </c>
      <c r="P797" s="13">
        <v>32.46</v>
      </c>
      <c r="Q797" s="13">
        <v>161.47</v>
      </c>
      <c r="R797" s="13">
        <v>19.7</v>
      </c>
      <c r="S797" s="13">
        <v>99.85</v>
      </c>
      <c r="T797" s="13">
        <v>486.08</v>
      </c>
      <c r="U797" s="13">
        <v>18.21</v>
      </c>
      <c r="V797" s="13">
        <v>44.47</v>
      </c>
      <c r="W797" s="13">
        <v>5.46</v>
      </c>
      <c r="X797" s="13">
        <v>31.87</v>
      </c>
      <c r="Y797" s="13">
        <v>4.63</v>
      </c>
      <c r="Z797" s="13"/>
      <c r="AA797" s="13">
        <v>17.91</v>
      </c>
      <c r="AB797" s="13"/>
      <c r="AC797" s="14">
        <v>1445.4054054054054</v>
      </c>
      <c r="AD797" s="14">
        <v>576.55417406749564</v>
      </c>
      <c r="AE797" s="14">
        <v>811.4070351758794</v>
      </c>
      <c r="AF797" s="14">
        <v>545.70637119113576</v>
      </c>
      <c r="AG797" s="15">
        <v>0.51094558298251236</v>
      </c>
      <c r="AH797" s="15">
        <v>0.53238510819376117</v>
      </c>
      <c r="AI797" s="15">
        <v>0.55190034198194982</v>
      </c>
      <c r="AJ797" s="41">
        <f t="shared" si="24"/>
        <v>4840.8100000000004</v>
      </c>
      <c r="AK797" s="44">
        <f t="shared" si="25"/>
        <v>2.7613561553653723</v>
      </c>
      <c r="AL797" s="10"/>
      <c r="AM797" s="10"/>
    </row>
    <row r="798" spans="1:39" s="16" customFormat="1" ht="19" customHeight="1">
      <c r="A798" s="9" t="s">
        <v>862</v>
      </c>
      <c r="B798" s="10" t="s">
        <v>1355</v>
      </c>
      <c r="C798" s="10"/>
      <c r="D798" s="10"/>
      <c r="E798" s="11" t="s">
        <v>1341</v>
      </c>
      <c r="F798" s="11" t="s">
        <v>249</v>
      </c>
      <c r="G798" s="12" t="s">
        <v>852</v>
      </c>
      <c r="H798" s="13">
        <v>46.19</v>
      </c>
      <c r="I798" s="13">
        <v>11.93</v>
      </c>
      <c r="J798" s="13">
        <v>998.38</v>
      </c>
      <c r="K798" s="13">
        <v>2140.71</v>
      </c>
      <c r="L798" s="13">
        <v>284.29000000000002</v>
      </c>
      <c r="M798" s="13">
        <v>1065.07</v>
      </c>
      <c r="N798" s="13">
        <v>1210.46</v>
      </c>
      <c r="O798" s="13">
        <v>218.46</v>
      </c>
      <c r="P798" s="13">
        <v>30.77</v>
      </c>
      <c r="Q798" s="13">
        <v>157.94</v>
      </c>
      <c r="R798" s="13">
        <v>19.829999999999998</v>
      </c>
      <c r="S798" s="13">
        <v>94.97</v>
      </c>
      <c r="T798" s="13">
        <v>430.79</v>
      </c>
      <c r="U798" s="13">
        <v>18.25</v>
      </c>
      <c r="V798" s="13">
        <v>43.34</v>
      </c>
      <c r="W798" s="13">
        <v>5.28</v>
      </c>
      <c r="X798" s="13">
        <v>31.01</v>
      </c>
      <c r="Y798" s="13">
        <v>3.94</v>
      </c>
      <c r="Z798" s="13"/>
      <c r="AA798" s="13">
        <v>18.149999999999999</v>
      </c>
      <c r="AB798" s="13"/>
      <c r="AC798" s="14">
        <v>1476.0810810810813</v>
      </c>
      <c r="AD798" s="14">
        <v>546.53641207815281</v>
      </c>
      <c r="AE798" s="14">
        <v>793.6683417085427</v>
      </c>
      <c r="AF798" s="14">
        <v>549.30747922437672</v>
      </c>
      <c r="AG798" s="15">
        <v>0.48158303871837532</v>
      </c>
      <c r="AH798" s="15">
        <v>0.50494545304659344</v>
      </c>
      <c r="AI798" s="15">
        <v>0.51476276104788821</v>
      </c>
      <c r="AJ798" s="41">
        <f t="shared" si="24"/>
        <v>4633.84</v>
      </c>
      <c r="AK798" s="44">
        <f t="shared" si="25"/>
        <v>2.4723647252721741</v>
      </c>
      <c r="AL798" s="10"/>
      <c r="AM798" s="10"/>
    </row>
    <row r="799" spans="1:39" s="16" customFormat="1" ht="19" customHeight="1">
      <c r="A799" s="9" t="s">
        <v>863</v>
      </c>
      <c r="B799" s="10" t="s">
        <v>1355</v>
      </c>
      <c r="C799" s="10"/>
      <c r="D799" s="10"/>
      <c r="E799" s="11" t="s">
        <v>1341</v>
      </c>
      <c r="F799" s="11" t="s">
        <v>249</v>
      </c>
      <c r="G799" s="12" t="s">
        <v>852</v>
      </c>
      <c r="H799" s="13">
        <v>46.63</v>
      </c>
      <c r="I799" s="13">
        <v>11.5</v>
      </c>
      <c r="J799" s="13">
        <v>1042.44</v>
      </c>
      <c r="K799" s="13">
        <v>2284.15</v>
      </c>
      <c r="L799" s="13">
        <v>280.22000000000003</v>
      </c>
      <c r="M799" s="13">
        <v>1177.8599999999999</v>
      </c>
      <c r="N799" s="13">
        <v>1211.76</v>
      </c>
      <c r="O799" s="13">
        <v>207.84</v>
      </c>
      <c r="P799" s="13">
        <v>31.37</v>
      </c>
      <c r="Q799" s="13">
        <v>156.1</v>
      </c>
      <c r="R799" s="13">
        <v>20.41</v>
      </c>
      <c r="S799" s="13">
        <v>96.29</v>
      </c>
      <c r="T799" s="13">
        <v>481.43</v>
      </c>
      <c r="U799" s="13">
        <v>17.93</v>
      </c>
      <c r="V799" s="13">
        <v>43.75</v>
      </c>
      <c r="W799" s="13">
        <v>5.33</v>
      </c>
      <c r="X799" s="13">
        <v>30.2</v>
      </c>
      <c r="Y799" s="13">
        <v>4</v>
      </c>
      <c r="Z799" s="13"/>
      <c r="AA799" s="13">
        <v>16.420000000000002</v>
      </c>
      <c r="AB799" s="13"/>
      <c r="AC799" s="14">
        <v>1404.3243243243244</v>
      </c>
      <c r="AD799" s="14">
        <v>557.19360568383661</v>
      </c>
      <c r="AE799" s="14">
        <v>784.4221105527638</v>
      </c>
      <c r="AF799" s="14">
        <v>565.3739612188366</v>
      </c>
      <c r="AG799" s="15">
        <v>0.50914404410223657</v>
      </c>
      <c r="AH799" s="15">
        <v>0.53088138987722833</v>
      </c>
      <c r="AI799" s="15">
        <v>0.53734009073757127</v>
      </c>
      <c r="AJ799" s="41">
        <f t="shared" si="24"/>
        <v>4818.5700000000006</v>
      </c>
      <c r="AK799" s="44">
        <f t="shared" si="25"/>
        <v>2.4465862119103501</v>
      </c>
      <c r="AL799" s="10"/>
      <c r="AM799" s="10"/>
    </row>
    <row r="800" spans="1:39" s="16" customFormat="1" ht="19" customHeight="1">
      <c r="A800" s="9" t="s">
        <v>864</v>
      </c>
      <c r="B800" s="10" t="s">
        <v>1355</v>
      </c>
      <c r="C800" s="10"/>
      <c r="D800" s="10"/>
      <c r="E800" s="11" t="s">
        <v>1341</v>
      </c>
      <c r="F800" s="11" t="s">
        <v>249</v>
      </c>
      <c r="G800" s="12" t="s">
        <v>852</v>
      </c>
      <c r="H800" s="13">
        <v>46.49</v>
      </c>
      <c r="I800" s="13">
        <v>11.28</v>
      </c>
      <c r="J800" s="13">
        <v>1021.54</v>
      </c>
      <c r="K800" s="13">
        <v>2249.38</v>
      </c>
      <c r="L800" s="13">
        <v>272.37</v>
      </c>
      <c r="M800" s="13">
        <v>1204.3</v>
      </c>
      <c r="N800" s="13">
        <v>1233.53</v>
      </c>
      <c r="O800" s="13">
        <v>215.63</v>
      </c>
      <c r="P800" s="13">
        <v>32.200000000000003</v>
      </c>
      <c r="Q800" s="13">
        <v>158.31</v>
      </c>
      <c r="R800" s="13">
        <v>19.54</v>
      </c>
      <c r="S800" s="13">
        <v>96.43</v>
      </c>
      <c r="T800" s="13">
        <v>479.95</v>
      </c>
      <c r="U800" s="13">
        <v>17.87</v>
      </c>
      <c r="V800" s="13">
        <v>42.19</v>
      </c>
      <c r="W800" s="13">
        <v>5.22</v>
      </c>
      <c r="X800" s="13">
        <v>31.01</v>
      </c>
      <c r="Y800" s="13">
        <v>4.0999999999999996</v>
      </c>
      <c r="Z800" s="13"/>
      <c r="AA800" s="13">
        <v>16.329999999999998</v>
      </c>
      <c r="AB800" s="13"/>
      <c r="AC800" s="14">
        <v>1456.9594594594596</v>
      </c>
      <c r="AD800" s="14">
        <v>571.93605683836597</v>
      </c>
      <c r="AE800" s="14">
        <v>795.52763819095469</v>
      </c>
      <c r="AF800" s="14">
        <v>541.27423822714684</v>
      </c>
      <c r="AG800" s="15">
        <v>0.50782626673862563</v>
      </c>
      <c r="AH800" s="15">
        <v>0.53124653062391713</v>
      </c>
      <c r="AI800" s="15">
        <v>0.5460637907984649</v>
      </c>
      <c r="AJ800" s="41">
        <f t="shared" si="24"/>
        <v>4776.82</v>
      </c>
      <c r="AK800" s="44">
        <f t="shared" si="25"/>
        <v>2.5092197103864984</v>
      </c>
      <c r="AL800" s="10"/>
      <c r="AM800" s="10"/>
    </row>
    <row r="801" spans="1:39" s="16" customFormat="1" ht="19" customHeight="1">
      <c r="A801" s="9" t="s">
        <v>865</v>
      </c>
      <c r="B801" s="10" t="s">
        <v>1355</v>
      </c>
      <c r="C801" s="10"/>
      <c r="D801" s="10"/>
      <c r="E801" s="11" t="s">
        <v>1341</v>
      </c>
      <c r="F801" s="11" t="s">
        <v>249</v>
      </c>
      <c r="G801" s="12" t="s">
        <v>852</v>
      </c>
      <c r="H801" s="13">
        <v>58.69</v>
      </c>
      <c r="I801" s="13">
        <v>13.18</v>
      </c>
      <c r="J801" s="13">
        <v>1249.8699999999999</v>
      </c>
      <c r="K801" s="13">
        <v>2907.94</v>
      </c>
      <c r="L801" s="13">
        <v>342.65</v>
      </c>
      <c r="M801" s="13">
        <v>1064.9000000000001</v>
      </c>
      <c r="N801" s="13">
        <v>1485.63</v>
      </c>
      <c r="O801" s="13">
        <v>265.45</v>
      </c>
      <c r="P801" s="13">
        <v>30.69</v>
      </c>
      <c r="Q801" s="13">
        <v>187.32</v>
      </c>
      <c r="R801" s="13">
        <v>24.08</v>
      </c>
      <c r="S801" s="13">
        <v>112.65</v>
      </c>
      <c r="T801" s="13">
        <v>639.55999999999995</v>
      </c>
      <c r="U801" s="13">
        <v>21.39</v>
      </c>
      <c r="V801" s="13">
        <v>53.01</v>
      </c>
      <c r="W801" s="13">
        <v>6.55</v>
      </c>
      <c r="X801" s="13">
        <v>37.85</v>
      </c>
      <c r="Y801" s="13">
        <v>4.68</v>
      </c>
      <c r="Z801" s="13"/>
      <c r="AA801" s="13">
        <v>11.05</v>
      </c>
      <c r="AB801" s="13"/>
      <c r="AC801" s="14">
        <v>1793.581081081081</v>
      </c>
      <c r="AD801" s="14">
        <v>545.11545293072834</v>
      </c>
      <c r="AE801" s="14">
        <v>941.30653266331649</v>
      </c>
      <c r="AF801" s="14">
        <v>667.0360110803324</v>
      </c>
      <c r="AG801" s="15">
        <v>0.39863828421409847</v>
      </c>
      <c r="AH801" s="15">
        <v>0.41952944747216264</v>
      </c>
      <c r="AI801" s="15">
        <v>0.42262779649577747</v>
      </c>
      <c r="AJ801" s="41">
        <f t="shared" si="24"/>
        <v>5986.0899999999992</v>
      </c>
      <c r="AK801" s="44">
        <f t="shared" si="25"/>
        <v>1.665050972543624</v>
      </c>
      <c r="AL801" s="10"/>
      <c r="AM801" s="10"/>
    </row>
    <row r="802" spans="1:39" s="16" customFormat="1" ht="19" customHeight="1">
      <c r="A802" s="9" t="s">
        <v>866</v>
      </c>
      <c r="B802" s="10" t="s">
        <v>1355</v>
      </c>
      <c r="C802" s="10"/>
      <c r="D802" s="10"/>
      <c r="E802" s="11" t="s">
        <v>1341</v>
      </c>
      <c r="F802" s="11" t="s">
        <v>249</v>
      </c>
      <c r="G802" s="12" t="s">
        <v>852</v>
      </c>
      <c r="H802" s="13">
        <v>42.98</v>
      </c>
      <c r="I802" s="13">
        <v>10.02</v>
      </c>
      <c r="J802" s="13">
        <v>1032.22</v>
      </c>
      <c r="K802" s="13">
        <v>2587.34</v>
      </c>
      <c r="L802" s="13">
        <v>291.88</v>
      </c>
      <c r="M802" s="13">
        <v>907.45</v>
      </c>
      <c r="N802" s="13">
        <v>1255.82</v>
      </c>
      <c r="O802" s="13">
        <v>221.79</v>
      </c>
      <c r="P802" s="13">
        <v>27.16</v>
      </c>
      <c r="Q802" s="13">
        <v>167.05</v>
      </c>
      <c r="R802" s="13">
        <v>20.350000000000001</v>
      </c>
      <c r="S802" s="13">
        <v>100.35</v>
      </c>
      <c r="T802" s="13">
        <v>493.78</v>
      </c>
      <c r="U802" s="13">
        <v>18.43</v>
      </c>
      <c r="V802" s="13">
        <v>43.9</v>
      </c>
      <c r="W802" s="13">
        <v>5.44</v>
      </c>
      <c r="X802" s="13">
        <v>32.25</v>
      </c>
      <c r="Y802" s="13">
        <v>4.38</v>
      </c>
      <c r="Z802" s="13"/>
      <c r="AA802" s="13">
        <v>8.94</v>
      </c>
      <c r="AB802" s="13"/>
      <c r="AC802" s="14">
        <v>1498.581081081081</v>
      </c>
      <c r="AD802" s="14">
        <v>482.4156305506217</v>
      </c>
      <c r="AE802" s="14">
        <v>839.4472361809045</v>
      </c>
      <c r="AF802" s="14">
        <v>563.7119113573408</v>
      </c>
      <c r="AG802" s="15">
        <v>0.41266876623253923</v>
      </c>
      <c r="AH802" s="15">
        <v>0.43011495804635941</v>
      </c>
      <c r="AI802" s="15">
        <v>0.44594586039089079</v>
      </c>
      <c r="AJ802" s="41">
        <f t="shared" si="24"/>
        <v>5167.26</v>
      </c>
      <c r="AK802" s="44">
        <f t="shared" si="25"/>
        <v>1.8377617562477218</v>
      </c>
      <c r="AL802" s="10"/>
      <c r="AM802" s="10"/>
    </row>
    <row r="803" spans="1:39" s="16" customFormat="1" ht="19" customHeight="1">
      <c r="A803" s="9" t="s">
        <v>867</v>
      </c>
      <c r="B803" s="10" t="s">
        <v>1355</v>
      </c>
      <c r="C803" s="10"/>
      <c r="D803" s="10"/>
      <c r="E803" s="11" t="s">
        <v>1341</v>
      </c>
      <c r="F803" s="11" t="s">
        <v>249</v>
      </c>
      <c r="G803" s="12" t="s">
        <v>852</v>
      </c>
      <c r="H803" s="13">
        <v>50.54</v>
      </c>
      <c r="I803" s="13">
        <v>11.73</v>
      </c>
      <c r="J803" s="13">
        <v>1297.3699999999999</v>
      </c>
      <c r="K803" s="13">
        <v>3216.81</v>
      </c>
      <c r="L803" s="13">
        <v>352.68</v>
      </c>
      <c r="M803" s="13">
        <v>1125.1500000000001</v>
      </c>
      <c r="N803" s="13">
        <v>1510.92</v>
      </c>
      <c r="O803" s="13">
        <v>275.22000000000003</v>
      </c>
      <c r="P803" s="13">
        <v>31.23</v>
      </c>
      <c r="Q803" s="13">
        <v>183.21</v>
      </c>
      <c r="R803" s="13">
        <v>23.57</v>
      </c>
      <c r="S803" s="13">
        <v>110.71</v>
      </c>
      <c r="T803" s="13">
        <v>602</v>
      </c>
      <c r="U803" s="13">
        <v>19.88</v>
      </c>
      <c r="V803" s="13">
        <v>48.62</v>
      </c>
      <c r="W803" s="13">
        <v>5.89</v>
      </c>
      <c r="X803" s="13">
        <v>33.549999999999997</v>
      </c>
      <c r="Y803" s="13">
        <v>4.46</v>
      </c>
      <c r="Z803" s="13"/>
      <c r="AA803" s="13">
        <v>13.28</v>
      </c>
      <c r="AB803" s="13"/>
      <c r="AC803" s="14">
        <v>1859.5945945945948</v>
      </c>
      <c r="AD803" s="14">
        <v>554.7069271758437</v>
      </c>
      <c r="AE803" s="14">
        <v>920.6532663316583</v>
      </c>
      <c r="AF803" s="14">
        <v>652.90858725761768</v>
      </c>
      <c r="AG803" s="15">
        <v>0.39903415445199941</v>
      </c>
      <c r="AH803" s="15">
        <v>0.42394195933694884</v>
      </c>
      <c r="AI803" s="15">
        <v>0.42283144703283715</v>
      </c>
      <c r="AJ803" s="41">
        <f t="shared" si="24"/>
        <v>6377.7800000000007</v>
      </c>
      <c r="AK803" s="44">
        <f t="shared" si="25"/>
        <v>1.8690199335548174</v>
      </c>
      <c r="AL803" s="10"/>
      <c r="AM803" s="10"/>
    </row>
    <row r="804" spans="1:39" s="16" customFormat="1" ht="19" customHeight="1">
      <c r="A804" s="9" t="s">
        <v>868</v>
      </c>
      <c r="B804" s="10" t="s">
        <v>1355</v>
      </c>
      <c r="C804" s="10"/>
      <c r="D804" s="10"/>
      <c r="E804" s="11" t="s">
        <v>1341</v>
      </c>
      <c r="F804" s="11" t="s">
        <v>249</v>
      </c>
      <c r="G804" s="12" t="s">
        <v>852</v>
      </c>
      <c r="H804" s="13">
        <v>49.76</v>
      </c>
      <c r="I804" s="13">
        <v>12.34</v>
      </c>
      <c r="J804" s="13">
        <v>1148.1400000000001</v>
      </c>
      <c r="K804" s="13">
        <v>2837.56</v>
      </c>
      <c r="L804" s="13">
        <v>324.70999999999998</v>
      </c>
      <c r="M804" s="13">
        <v>1077.1400000000001</v>
      </c>
      <c r="N804" s="13">
        <v>1364.55</v>
      </c>
      <c r="O804" s="13">
        <v>243.95</v>
      </c>
      <c r="P804" s="13">
        <v>29.03</v>
      </c>
      <c r="Q804" s="13">
        <v>171.27</v>
      </c>
      <c r="R804" s="13">
        <v>21.6</v>
      </c>
      <c r="S804" s="13">
        <v>107.78</v>
      </c>
      <c r="T804" s="13">
        <v>579.19000000000005</v>
      </c>
      <c r="U804" s="13">
        <v>20.46</v>
      </c>
      <c r="V804" s="13">
        <v>49.03</v>
      </c>
      <c r="W804" s="13">
        <v>5.26</v>
      </c>
      <c r="X804" s="13">
        <v>34.14</v>
      </c>
      <c r="Y804" s="13">
        <v>4.54</v>
      </c>
      <c r="Z804" s="13"/>
      <c r="AA804" s="13">
        <v>12.19</v>
      </c>
      <c r="AB804" s="13"/>
      <c r="AC804" s="14">
        <v>1648.3108108108108</v>
      </c>
      <c r="AD804" s="14">
        <v>515.63055062166973</v>
      </c>
      <c r="AE804" s="14">
        <v>860.6532663316583</v>
      </c>
      <c r="AF804" s="14">
        <v>598.3379501385042</v>
      </c>
      <c r="AG804" s="15">
        <v>0.41103063636442022</v>
      </c>
      <c r="AH804" s="15">
        <v>0.43291733548834344</v>
      </c>
      <c r="AI804" s="15">
        <v>0.43852772254760713</v>
      </c>
      <c r="AJ804" s="41">
        <f t="shared" si="24"/>
        <v>5674.96</v>
      </c>
      <c r="AK804" s="44">
        <f t="shared" si="25"/>
        <v>1.8597351473609696</v>
      </c>
      <c r="AL804" s="10"/>
      <c r="AM804" s="10"/>
    </row>
    <row r="805" spans="1:39" s="16" customFormat="1" ht="19" customHeight="1">
      <c r="A805" s="9" t="s">
        <v>869</v>
      </c>
      <c r="B805" s="10" t="s">
        <v>1355</v>
      </c>
      <c r="C805" s="10"/>
      <c r="D805" s="10"/>
      <c r="E805" s="11" t="s">
        <v>1341</v>
      </c>
      <c r="F805" s="11" t="s">
        <v>249</v>
      </c>
      <c r="G805" s="12" t="s">
        <v>852</v>
      </c>
      <c r="H805" s="13">
        <v>48.58</v>
      </c>
      <c r="I805" s="13">
        <v>11.56</v>
      </c>
      <c r="J805" s="13">
        <v>1261.23</v>
      </c>
      <c r="K805" s="13">
        <v>2653.93</v>
      </c>
      <c r="L805" s="13">
        <v>323.45999999999998</v>
      </c>
      <c r="M805" s="13">
        <v>1210.51</v>
      </c>
      <c r="N805" s="13">
        <v>1448.09</v>
      </c>
      <c r="O805" s="13">
        <v>247.64</v>
      </c>
      <c r="P805" s="13">
        <v>34.14</v>
      </c>
      <c r="Q805" s="13">
        <v>176.85</v>
      </c>
      <c r="R805" s="13">
        <v>22.9</v>
      </c>
      <c r="S805" s="13">
        <v>108.07</v>
      </c>
      <c r="T805" s="13">
        <v>617.33000000000004</v>
      </c>
      <c r="U805" s="13">
        <v>20.13</v>
      </c>
      <c r="V805" s="13">
        <v>47</v>
      </c>
      <c r="W805" s="13">
        <v>5.87</v>
      </c>
      <c r="X805" s="13">
        <v>33.020000000000003</v>
      </c>
      <c r="Y805" s="13">
        <v>4.37</v>
      </c>
      <c r="Z805" s="13"/>
      <c r="AA805" s="13">
        <v>12.65</v>
      </c>
      <c r="AB805" s="13"/>
      <c r="AC805" s="14">
        <v>1673.2432432432433</v>
      </c>
      <c r="AD805" s="14">
        <v>606.39431616341039</v>
      </c>
      <c r="AE805" s="14">
        <v>888.6934673366834</v>
      </c>
      <c r="AF805" s="14">
        <v>634.34903047091404</v>
      </c>
      <c r="AG805" s="15">
        <v>0.47338742886130503</v>
      </c>
      <c r="AH805" s="15">
        <v>0.49727839157858839</v>
      </c>
      <c r="AI805" s="15">
        <v>0.50073310950416949</v>
      </c>
      <c r="AJ805" s="41">
        <f t="shared" si="24"/>
        <v>5686.71</v>
      </c>
      <c r="AK805" s="44">
        <f t="shared" si="25"/>
        <v>1.9608799183580903</v>
      </c>
      <c r="AL805" s="10"/>
      <c r="AM805" s="10"/>
    </row>
    <row r="806" spans="1:39" s="16" customFormat="1" ht="19" customHeight="1">
      <c r="A806" s="9" t="s">
        <v>870</v>
      </c>
      <c r="B806" s="10" t="s">
        <v>1355</v>
      </c>
      <c r="C806" s="10"/>
      <c r="D806" s="10"/>
      <c r="E806" s="11" t="s">
        <v>1341</v>
      </c>
      <c r="F806" s="11" t="s">
        <v>249</v>
      </c>
      <c r="G806" s="12" t="s">
        <v>852</v>
      </c>
      <c r="H806" s="13">
        <v>48.99</v>
      </c>
      <c r="I806" s="13">
        <v>11.86</v>
      </c>
      <c r="J806" s="13">
        <v>1260.03</v>
      </c>
      <c r="K806" s="13">
        <v>2582.11</v>
      </c>
      <c r="L806" s="13">
        <v>333.29</v>
      </c>
      <c r="M806" s="13">
        <v>1195.1500000000001</v>
      </c>
      <c r="N806" s="13">
        <v>1431.47</v>
      </c>
      <c r="O806" s="13">
        <v>255.65</v>
      </c>
      <c r="P806" s="13">
        <v>32.78</v>
      </c>
      <c r="Q806" s="13">
        <v>175.12</v>
      </c>
      <c r="R806" s="13">
        <v>22.26</v>
      </c>
      <c r="S806" s="13">
        <v>107.16</v>
      </c>
      <c r="T806" s="13">
        <v>616.09</v>
      </c>
      <c r="U806" s="13">
        <v>19.73</v>
      </c>
      <c r="V806" s="13">
        <v>45.09</v>
      </c>
      <c r="W806" s="13">
        <v>5.43</v>
      </c>
      <c r="X806" s="13">
        <v>31.37</v>
      </c>
      <c r="Y806" s="13">
        <v>4.22</v>
      </c>
      <c r="Z806" s="13"/>
      <c r="AA806" s="13">
        <v>13.33</v>
      </c>
      <c r="AB806" s="13"/>
      <c r="AC806" s="14">
        <v>1727.364864864865</v>
      </c>
      <c r="AD806" s="14">
        <v>582.23801065719363</v>
      </c>
      <c r="AE806" s="14">
        <v>880</v>
      </c>
      <c r="AF806" s="14">
        <v>616.62049861495848</v>
      </c>
      <c r="AG806" s="15">
        <v>0.44661030644621341</v>
      </c>
      <c r="AH806" s="15">
        <v>0.47224479236010342</v>
      </c>
      <c r="AI806" s="15">
        <v>0.47515851263962083</v>
      </c>
      <c r="AJ806" s="41">
        <f t="shared" si="24"/>
        <v>5606.9000000000005</v>
      </c>
      <c r="AK806" s="44">
        <f t="shared" si="25"/>
        <v>1.9398951451898263</v>
      </c>
      <c r="AL806" s="10"/>
      <c r="AM806" s="10"/>
    </row>
    <row r="807" spans="1:39" s="16" customFormat="1" ht="19" customHeight="1">
      <c r="A807" s="9" t="s">
        <v>871</v>
      </c>
      <c r="B807" s="10" t="s">
        <v>1355</v>
      </c>
      <c r="C807" s="10"/>
      <c r="D807" s="10"/>
      <c r="E807" s="11" t="s">
        <v>1341</v>
      </c>
      <c r="F807" s="11" t="s">
        <v>249</v>
      </c>
      <c r="G807" s="12" t="s">
        <v>852</v>
      </c>
      <c r="H807" s="13">
        <v>41.52</v>
      </c>
      <c r="I807" s="13">
        <v>9.92</v>
      </c>
      <c r="J807" s="13">
        <v>1212.75</v>
      </c>
      <c r="K807" s="13">
        <v>2668.36</v>
      </c>
      <c r="L807" s="13">
        <v>320.72000000000003</v>
      </c>
      <c r="M807" s="13">
        <v>1317.12</v>
      </c>
      <c r="N807" s="13">
        <v>1393.14</v>
      </c>
      <c r="O807" s="13">
        <v>244.23</v>
      </c>
      <c r="P807" s="13">
        <v>31.52</v>
      </c>
      <c r="Q807" s="13">
        <v>169.17</v>
      </c>
      <c r="R807" s="13">
        <v>21.09</v>
      </c>
      <c r="S807" s="13">
        <v>100.97</v>
      </c>
      <c r="T807" s="13">
        <v>592.63</v>
      </c>
      <c r="U807" s="13">
        <v>18.38</v>
      </c>
      <c r="V807" s="13">
        <v>43.95</v>
      </c>
      <c r="W807" s="13">
        <v>5.23</v>
      </c>
      <c r="X807" s="13">
        <v>31.4</v>
      </c>
      <c r="Y807" s="13">
        <v>4.08</v>
      </c>
      <c r="Z807" s="13"/>
      <c r="AA807" s="13">
        <v>14.27</v>
      </c>
      <c r="AB807" s="13"/>
      <c r="AC807" s="14">
        <v>1650.2027027027027</v>
      </c>
      <c r="AD807" s="14">
        <v>559.85790408525759</v>
      </c>
      <c r="AE807" s="14">
        <v>850.10050251256268</v>
      </c>
      <c r="AF807" s="14">
        <v>584.21052631578948</v>
      </c>
      <c r="AG807" s="15">
        <v>0.44783200926789696</v>
      </c>
      <c r="AH807" s="15">
        <v>0.47268740502935203</v>
      </c>
      <c r="AI807" s="15">
        <v>0.47958231411779556</v>
      </c>
      <c r="AJ807" s="41">
        <f t="shared" si="24"/>
        <v>5594.97</v>
      </c>
      <c r="AK807" s="44">
        <f t="shared" si="25"/>
        <v>2.2224997047061401</v>
      </c>
      <c r="AL807" s="10"/>
      <c r="AM807" s="10"/>
    </row>
    <row r="808" spans="1:39" s="16" customFormat="1" ht="19" customHeight="1">
      <c r="A808" s="9" t="s">
        <v>872</v>
      </c>
      <c r="B808" s="10" t="s">
        <v>1355</v>
      </c>
      <c r="C808" s="10"/>
      <c r="D808" s="10"/>
      <c r="E808" s="11" t="s">
        <v>1341</v>
      </c>
      <c r="F808" s="11" t="s">
        <v>249</v>
      </c>
      <c r="G808" s="12" t="s">
        <v>852</v>
      </c>
      <c r="H808" s="13">
        <v>39.909999999999997</v>
      </c>
      <c r="I808" s="13">
        <v>9.83</v>
      </c>
      <c r="J808" s="13">
        <v>1221.29</v>
      </c>
      <c r="K808" s="13">
        <v>2605.19</v>
      </c>
      <c r="L808" s="13">
        <v>311.91000000000003</v>
      </c>
      <c r="M808" s="13">
        <v>1278.3900000000001</v>
      </c>
      <c r="N808" s="13">
        <v>1387.86</v>
      </c>
      <c r="O808" s="13">
        <v>237.91</v>
      </c>
      <c r="P808" s="13">
        <v>30.97</v>
      </c>
      <c r="Q808" s="13">
        <v>160.77000000000001</v>
      </c>
      <c r="R808" s="13">
        <v>20.82</v>
      </c>
      <c r="S808" s="13">
        <v>94.23</v>
      </c>
      <c r="T808" s="13">
        <v>587.39</v>
      </c>
      <c r="U808" s="13">
        <v>18.04</v>
      </c>
      <c r="V808" s="13">
        <v>42.24</v>
      </c>
      <c r="W808" s="13">
        <v>5.05</v>
      </c>
      <c r="X808" s="13">
        <v>29.89</v>
      </c>
      <c r="Y808" s="13">
        <v>4.0199999999999996</v>
      </c>
      <c r="Z808" s="13"/>
      <c r="AA808" s="13">
        <v>13.79</v>
      </c>
      <c r="AB808" s="13"/>
      <c r="AC808" s="14">
        <v>1607.5</v>
      </c>
      <c r="AD808" s="14">
        <v>550.08880994671404</v>
      </c>
      <c r="AE808" s="14">
        <v>807.8894472361809</v>
      </c>
      <c r="AF808" s="14">
        <v>576.7313019390582</v>
      </c>
      <c r="AG808" s="15">
        <v>0.45548663846002591</v>
      </c>
      <c r="AH808" s="15">
        <v>0.48270450499503004</v>
      </c>
      <c r="AI808" s="15">
        <v>0.48158651241674522</v>
      </c>
      <c r="AJ808" s="41">
        <f t="shared" si="24"/>
        <v>5526.25</v>
      </c>
      <c r="AK808" s="44">
        <f t="shared" si="25"/>
        <v>2.1763904731098589</v>
      </c>
      <c r="AL808" s="10"/>
      <c r="AM808" s="10"/>
    </row>
    <row r="809" spans="1:39" s="16" customFormat="1" ht="19" customHeight="1">
      <c r="A809" s="9" t="s">
        <v>873</v>
      </c>
      <c r="B809" s="10" t="s">
        <v>1355</v>
      </c>
      <c r="C809" s="10"/>
      <c r="D809" s="10"/>
      <c r="E809" s="11" t="s">
        <v>1341</v>
      </c>
      <c r="F809" s="11" t="s">
        <v>249</v>
      </c>
      <c r="G809" s="12" t="s">
        <v>852</v>
      </c>
      <c r="H809" s="13">
        <v>43.75</v>
      </c>
      <c r="I809" s="13">
        <v>10.84</v>
      </c>
      <c r="J809" s="13">
        <v>1312.74</v>
      </c>
      <c r="K809" s="13">
        <v>2747.22</v>
      </c>
      <c r="L809" s="13">
        <v>347.88</v>
      </c>
      <c r="M809" s="13">
        <v>1446.22</v>
      </c>
      <c r="N809" s="13">
        <v>1468.88</v>
      </c>
      <c r="O809" s="13">
        <v>262.05</v>
      </c>
      <c r="P809" s="13">
        <v>32.15</v>
      </c>
      <c r="Q809" s="13">
        <v>174</v>
      </c>
      <c r="R809" s="13">
        <v>21.29</v>
      </c>
      <c r="S809" s="13">
        <v>103.86</v>
      </c>
      <c r="T809" s="13">
        <v>650.64</v>
      </c>
      <c r="U809" s="13">
        <v>19.23</v>
      </c>
      <c r="V809" s="13">
        <v>43.85</v>
      </c>
      <c r="W809" s="13">
        <v>5.34</v>
      </c>
      <c r="X809" s="13">
        <v>29.83</v>
      </c>
      <c r="Y809" s="13">
        <v>4</v>
      </c>
      <c r="Z809" s="13"/>
      <c r="AA809" s="13">
        <v>20.55</v>
      </c>
      <c r="AB809" s="13"/>
      <c r="AC809" s="14">
        <v>1770.6081081081084</v>
      </c>
      <c r="AD809" s="14">
        <v>571.04795737122561</v>
      </c>
      <c r="AE809" s="14">
        <v>874.3718592964824</v>
      </c>
      <c r="AF809" s="14">
        <v>589.7506925207756</v>
      </c>
      <c r="AG809" s="15">
        <v>0.43179756702019284</v>
      </c>
      <c r="AH809" s="15">
        <v>0.45894777862678177</v>
      </c>
      <c r="AI809" s="15">
        <v>0.46526615726425341</v>
      </c>
      <c r="AJ809" s="41">
        <f t="shared" si="24"/>
        <v>5876.72</v>
      </c>
      <c r="AK809" s="44">
        <f t="shared" si="25"/>
        <v>2.2227652772654616</v>
      </c>
      <c r="AL809" s="10"/>
      <c r="AM809" s="10"/>
    </row>
    <row r="810" spans="1:39" s="16" customFormat="1" ht="19" customHeight="1">
      <c r="A810" s="9" t="s">
        <v>874</v>
      </c>
      <c r="B810" s="10" t="s">
        <v>1355</v>
      </c>
      <c r="C810" s="10"/>
      <c r="D810" s="10"/>
      <c r="E810" s="11" t="s">
        <v>1341</v>
      </c>
      <c r="F810" s="11" t="s">
        <v>249</v>
      </c>
      <c r="G810" s="12" t="s">
        <v>852</v>
      </c>
      <c r="H810" s="13">
        <v>43.63</v>
      </c>
      <c r="I810" s="13">
        <v>11.04</v>
      </c>
      <c r="J810" s="13">
        <v>847.75</v>
      </c>
      <c r="K810" s="13">
        <v>1728.11</v>
      </c>
      <c r="L810" s="13">
        <v>221</v>
      </c>
      <c r="M810" s="13">
        <v>1084.99</v>
      </c>
      <c r="N810" s="13">
        <v>932.34</v>
      </c>
      <c r="O810" s="13">
        <v>173.12</v>
      </c>
      <c r="P810" s="13">
        <v>25.55</v>
      </c>
      <c r="Q810" s="13">
        <v>127.31</v>
      </c>
      <c r="R810" s="13">
        <v>16.04</v>
      </c>
      <c r="S810" s="13">
        <v>75.58</v>
      </c>
      <c r="T810" s="13">
        <v>358.39</v>
      </c>
      <c r="U810" s="13">
        <v>14.08</v>
      </c>
      <c r="V810" s="13">
        <v>34.1</v>
      </c>
      <c r="W810" s="13">
        <v>4.0199999999999996</v>
      </c>
      <c r="X810" s="13">
        <v>22.37</v>
      </c>
      <c r="Y810" s="13">
        <v>3.17</v>
      </c>
      <c r="Z810" s="13"/>
      <c r="AA810" s="13">
        <v>17.45</v>
      </c>
      <c r="AB810" s="13"/>
      <c r="AC810" s="14">
        <v>1169.7297297297298</v>
      </c>
      <c r="AD810" s="14">
        <v>453.8188277087034</v>
      </c>
      <c r="AE810" s="14">
        <v>639.74874371859289</v>
      </c>
      <c r="AF810" s="14">
        <v>444.32132963988914</v>
      </c>
      <c r="AG810" s="15">
        <v>0.50160179783057701</v>
      </c>
      <c r="AH810" s="15">
        <v>0.52460813972102271</v>
      </c>
      <c r="AI810" s="15">
        <v>0.53570590950587915</v>
      </c>
      <c r="AJ810" s="41">
        <f t="shared" si="24"/>
        <v>3729.2</v>
      </c>
      <c r="AK810" s="44">
        <f t="shared" si="25"/>
        <v>3.0274003180892324</v>
      </c>
      <c r="AL810" s="10"/>
      <c r="AM810" s="10"/>
    </row>
    <row r="811" spans="1:39" s="16" customFormat="1" ht="19" customHeight="1">
      <c r="A811" s="9" t="s">
        <v>875</v>
      </c>
      <c r="B811" s="10" t="s">
        <v>1355</v>
      </c>
      <c r="C811" s="10"/>
      <c r="D811" s="10"/>
      <c r="E811" s="11" t="s">
        <v>1341</v>
      </c>
      <c r="F811" s="11" t="s">
        <v>249</v>
      </c>
      <c r="G811" s="12" t="s">
        <v>852</v>
      </c>
      <c r="H811" s="13">
        <v>41.93</v>
      </c>
      <c r="I811" s="13">
        <v>10.81</v>
      </c>
      <c r="J811" s="13">
        <v>838.99</v>
      </c>
      <c r="K811" s="13">
        <v>1751.11</v>
      </c>
      <c r="L811" s="13">
        <v>213.47</v>
      </c>
      <c r="M811" s="13">
        <v>1114.23</v>
      </c>
      <c r="N811" s="13">
        <v>934.34</v>
      </c>
      <c r="O811" s="13">
        <v>169.59</v>
      </c>
      <c r="P811" s="13">
        <v>25.4</v>
      </c>
      <c r="Q811" s="13">
        <v>126.77</v>
      </c>
      <c r="R811" s="13">
        <v>15.71</v>
      </c>
      <c r="S811" s="13">
        <v>78.650000000000006</v>
      </c>
      <c r="T811" s="13">
        <v>358.8</v>
      </c>
      <c r="U811" s="13">
        <v>13.8</v>
      </c>
      <c r="V811" s="13">
        <v>34.58</v>
      </c>
      <c r="W811" s="13">
        <v>4.1500000000000004</v>
      </c>
      <c r="X811" s="13">
        <v>22.25</v>
      </c>
      <c r="Y811" s="13">
        <v>3.23</v>
      </c>
      <c r="Z811" s="13"/>
      <c r="AA811" s="13">
        <v>16.64</v>
      </c>
      <c r="AB811" s="13"/>
      <c r="AC811" s="14">
        <v>1145.8783783783786</v>
      </c>
      <c r="AD811" s="14">
        <v>451.15452930728242</v>
      </c>
      <c r="AE811" s="14">
        <v>637.03517587939689</v>
      </c>
      <c r="AF811" s="14">
        <v>435.18005540166206</v>
      </c>
      <c r="AG811" s="15">
        <v>0.50608682426568619</v>
      </c>
      <c r="AH811" s="15">
        <v>0.52804915552190412</v>
      </c>
      <c r="AI811" s="15">
        <v>0.54367994237672368</v>
      </c>
      <c r="AJ811" s="41">
        <f t="shared" si="24"/>
        <v>3737.91</v>
      </c>
      <c r="AK811" s="44">
        <f t="shared" si="25"/>
        <v>3.1054347826086954</v>
      </c>
      <c r="AL811" s="10"/>
      <c r="AM811" s="10"/>
    </row>
    <row r="812" spans="1:39" s="16" customFormat="1" ht="19" customHeight="1">
      <c r="A812" s="9" t="s">
        <v>876</v>
      </c>
      <c r="B812" s="10" t="s">
        <v>1355</v>
      </c>
      <c r="C812" s="10"/>
      <c r="D812" s="10"/>
      <c r="E812" s="11" t="s">
        <v>1341</v>
      </c>
      <c r="F812" s="11" t="s">
        <v>249</v>
      </c>
      <c r="G812" s="12" t="s">
        <v>852</v>
      </c>
      <c r="H812" s="13">
        <v>68.790000000000006</v>
      </c>
      <c r="I812" s="13">
        <v>17.75</v>
      </c>
      <c r="J812" s="13">
        <v>898.11</v>
      </c>
      <c r="K812" s="13">
        <v>2092.37</v>
      </c>
      <c r="L812" s="13">
        <v>255.02</v>
      </c>
      <c r="M812" s="13">
        <v>1061.25</v>
      </c>
      <c r="N812" s="13">
        <v>1084.0999999999999</v>
      </c>
      <c r="O812" s="13">
        <v>192.17</v>
      </c>
      <c r="P812" s="13">
        <v>31.49</v>
      </c>
      <c r="Q812" s="13">
        <v>149.56</v>
      </c>
      <c r="R812" s="13">
        <v>18.34</v>
      </c>
      <c r="S812" s="13">
        <v>86.14</v>
      </c>
      <c r="T812" s="13">
        <v>400.49</v>
      </c>
      <c r="U812" s="13">
        <v>16.690000000000001</v>
      </c>
      <c r="V812" s="13">
        <v>39.44</v>
      </c>
      <c r="W812" s="13">
        <v>4.59</v>
      </c>
      <c r="X812" s="13">
        <v>25.59</v>
      </c>
      <c r="Y812" s="13">
        <v>3.48</v>
      </c>
      <c r="Z812" s="13"/>
      <c r="AA812" s="13">
        <v>16.489999999999998</v>
      </c>
      <c r="AB812" s="13"/>
      <c r="AC812" s="14">
        <v>1298.4459459459458</v>
      </c>
      <c r="AD812" s="14">
        <v>559.32504440497337</v>
      </c>
      <c r="AE812" s="14">
        <v>751.5577889447236</v>
      </c>
      <c r="AF812" s="14">
        <v>508.03324099722994</v>
      </c>
      <c r="AG812" s="15">
        <v>0.54568197597435419</v>
      </c>
      <c r="AH812" s="15">
        <v>0.56620166009477868</v>
      </c>
      <c r="AI812" s="15">
        <v>0.58895797440573516</v>
      </c>
      <c r="AJ812" s="41">
        <f t="shared" si="24"/>
        <v>4329.6000000000004</v>
      </c>
      <c r="AK812" s="44">
        <f t="shared" si="25"/>
        <v>2.6498788983495216</v>
      </c>
      <c r="AL812" s="10"/>
      <c r="AM812" s="10"/>
    </row>
    <row r="813" spans="1:39" s="16" customFormat="1" ht="19" customHeight="1">
      <c r="A813" s="9" t="s">
        <v>877</v>
      </c>
      <c r="B813" s="10" t="s">
        <v>1355</v>
      </c>
      <c r="C813" s="10"/>
      <c r="D813" s="10"/>
      <c r="E813" s="11" t="s">
        <v>1341</v>
      </c>
      <c r="F813" s="11" t="s">
        <v>249</v>
      </c>
      <c r="G813" s="12" t="s">
        <v>852</v>
      </c>
      <c r="H813" s="13">
        <v>54.69</v>
      </c>
      <c r="I813" s="13">
        <v>13.96</v>
      </c>
      <c r="J813" s="13">
        <v>851.71</v>
      </c>
      <c r="K813" s="13">
        <v>1837.02</v>
      </c>
      <c r="L813" s="13">
        <v>226.34</v>
      </c>
      <c r="M813" s="13">
        <v>1057.8599999999999</v>
      </c>
      <c r="N813" s="13">
        <v>972.32</v>
      </c>
      <c r="O813" s="13">
        <v>176.7</v>
      </c>
      <c r="P813" s="13">
        <v>29.93</v>
      </c>
      <c r="Q813" s="13">
        <v>134.96</v>
      </c>
      <c r="R813" s="13">
        <v>16.420000000000002</v>
      </c>
      <c r="S813" s="13">
        <v>82.84</v>
      </c>
      <c r="T813" s="13">
        <v>372.37</v>
      </c>
      <c r="U813" s="13">
        <v>15.36</v>
      </c>
      <c r="V813" s="13">
        <v>37.799999999999997</v>
      </c>
      <c r="W813" s="13">
        <v>3.98</v>
      </c>
      <c r="X813" s="13">
        <v>24.24</v>
      </c>
      <c r="Y813" s="13">
        <v>3.06</v>
      </c>
      <c r="Z813" s="13"/>
      <c r="AA813" s="13">
        <v>15.81</v>
      </c>
      <c r="AB813" s="13"/>
      <c r="AC813" s="14">
        <v>1193.918918918919</v>
      </c>
      <c r="AD813" s="14">
        <v>531.61634103019537</v>
      </c>
      <c r="AE813" s="14">
        <v>678.19095477386941</v>
      </c>
      <c r="AF813" s="14">
        <v>454.8476454293629</v>
      </c>
      <c r="AG813" s="15">
        <v>0.56793284251160692</v>
      </c>
      <c r="AH813" s="15">
        <v>0.5907924115219737</v>
      </c>
      <c r="AI813" s="15">
        <v>0.61422352949117931</v>
      </c>
      <c r="AJ813" s="41">
        <f t="shared" si="24"/>
        <v>3887.3900000000003</v>
      </c>
      <c r="AK813" s="44">
        <f t="shared" si="25"/>
        <v>2.8408840669226842</v>
      </c>
      <c r="AL813" s="10"/>
      <c r="AM813" s="10"/>
    </row>
    <row r="814" spans="1:39" s="16" customFormat="1" ht="19" customHeight="1">
      <c r="A814" s="9" t="s">
        <v>878</v>
      </c>
      <c r="B814" s="10" t="s">
        <v>1355</v>
      </c>
      <c r="C814" s="10"/>
      <c r="D814" s="10"/>
      <c r="E814" s="11" t="s">
        <v>1341</v>
      </c>
      <c r="F814" s="11" t="s">
        <v>249</v>
      </c>
      <c r="G814" s="12" t="s">
        <v>852</v>
      </c>
      <c r="H814" s="13">
        <v>36.79</v>
      </c>
      <c r="I814" s="13">
        <v>6.32</v>
      </c>
      <c r="J814" s="13">
        <v>1876.18</v>
      </c>
      <c r="K814" s="13">
        <v>4045.67</v>
      </c>
      <c r="L814" s="13">
        <v>569.66</v>
      </c>
      <c r="M814" s="13">
        <v>406.85</v>
      </c>
      <c r="N814" s="13">
        <v>2507.5500000000002</v>
      </c>
      <c r="O814" s="13">
        <v>433</v>
      </c>
      <c r="P814" s="13">
        <v>57.58</v>
      </c>
      <c r="Q814" s="13">
        <v>314.54000000000002</v>
      </c>
      <c r="R814" s="13">
        <v>40.71</v>
      </c>
      <c r="S814" s="13">
        <v>195.33</v>
      </c>
      <c r="T814" s="13">
        <v>896.53</v>
      </c>
      <c r="U814" s="13">
        <v>34.75</v>
      </c>
      <c r="V814" s="13">
        <v>78.34</v>
      </c>
      <c r="W814" s="13">
        <v>9.08</v>
      </c>
      <c r="X814" s="13">
        <v>51.74</v>
      </c>
      <c r="Y814" s="13">
        <v>6.35</v>
      </c>
      <c r="Z814" s="13"/>
      <c r="AA814" s="13">
        <v>3.48</v>
      </c>
      <c r="AB814" s="13"/>
      <c r="AC814" s="14">
        <v>2925.6756756756758</v>
      </c>
      <c r="AD814" s="14">
        <v>1022.7353463587922</v>
      </c>
      <c r="AE814" s="14">
        <v>1580.603015075377</v>
      </c>
      <c r="AF814" s="14">
        <v>1127.7008310249307</v>
      </c>
      <c r="AG814" s="15">
        <v>0.45391571029901612</v>
      </c>
      <c r="AH814" s="15">
        <v>0.47559663391280188</v>
      </c>
      <c r="AI814" s="15">
        <v>0.48033899516995382</v>
      </c>
      <c r="AJ814" s="41">
        <f t="shared" si="24"/>
        <v>8999.0600000000013</v>
      </c>
      <c r="AK814" s="44">
        <f t="shared" si="25"/>
        <v>0.45380522681895757</v>
      </c>
      <c r="AL814" s="10"/>
      <c r="AM814" s="10"/>
    </row>
    <row r="815" spans="1:39" s="16" customFormat="1" ht="19" customHeight="1">
      <c r="A815" s="9" t="s">
        <v>879</v>
      </c>
      <c r="B815" s="10" t="s">
        <v>1355</v>
      </c>
      <c r="C815" s="10"/>
      <c r="D815" s="10"/>
      <c r="E815" s="11" t="s">
        <v>1341</v>
      </c>
      <c r="F815" s="11" t="s">
        <v>249</v>
      </c>
      <c r="G815" s="12" t="s">
        <v>852</v>
      </c>
      <c r="H815" s="13">
        <v>27.94</v>
      </c>
      <c r="I815" s="13">
        <v>5.21</v>
      </c>
      <c r="J815" s="13">
        <v>1777.56</v>
      </c>
      <c r="K815" s="13">
        <v>3595.04</v>
      </c>
      <c r="L815" s="13">
        <v>521.85</v>
      </c>
      <c r="M815" s="13">
        <v>381.95</v>
      </c>
      <c r="N815" s="13">
        <v>2287.9699999999998</v>
      </c>
      <c r="O815" s="13">
        <v>391.43</v>
      </c>
      <c r="P815" s="13">
        <v>54.25</v>
      </c>
      <c r="Q815" s="13">
        <v>290.35000000000002</v>
      </c>
      <c r="R815" s="13">
        <v>36.54</v>
      </c>
      <c r="S815" s="13">
        <v>176.19</v>
      </c>
      <c r="T815" s="13">
        <v>806.19</v>
      </c>
      <c r="U815" s="13">
        <v>32.86</v>
      </c>
      <c r="V815" s="13">
        <v>71.39</v>
      </c>
      <c r="W815" s="13">
        <v>7.89</v>
      </c>
      <c r="X815" s="13">
        <v>48.55</v>
      </c>
      <c r="Y815" s="13">
        <v>5.82</v>
      </c>
      <c r="Z815" s="13"/>
      <c r="AA815" s="13">
        <v>3.6</v>
      </c>
      <c r="AB815" s="13"/>
      <c r="AC815" s="14">
        <v>2644.7972972972975</v>
      </c>
      <c r="AD815" s="14">
        <v>963.587921847247</v>
      </c>
      <c r="AE815" s="14">
        <v>1459.0452261306534</v>
      </c>
      <c r="AF815" s="14">
        <v>1012.1883656509694</v>
      </c>
      <c r="AG815" s="15">
        <v>0.46960277659112482</v>
      </c>
      <c r="AH815" s="15">
        <v>0.49052457986972653</v>
      </c>
      <c r="AI815" s="15">
        <v>0.50181384506193105</v>
      </c>
      <c r="AJ815" s="41">
        <f t="shared" si="24"/>
        <v>8182.42</v>
      </c>
      <c r="AK815" s="44">
        <f t="shared" si="25"/>
        <v>0.47377169153673448</v>
      </c>
      <c r="AL815" s="10"/>
      <c r="AM815" s="10"/>
    </row>
    <row r="816" spans="1:39" s="16" customFormat="1" ht="19" customHeight="1">
      <c r="A816" s="9" t="s">
        <v>880</v>
      </c>
      <c r="B816" s="10" t="s">
        <v>1355</v>
      </c>
      <c r="C816" s="10"/>
      <c r="D816" s="10"/>
      <c r="E816" s="11" t="s">
        <v>1341</v>
      </c>
      <c r="F816" s="11" t="s">
        <v>249</v>
      </c>
      <c r="G816" s="12" t="s">
        <v>852</v>
      </c>
      <c r="H816" s="13">
        <v>67.739999999999995</v>
      </c>
      <c r="I816" s="13">
        <v>10.11</v>
      </c>
      <c r="J816" s="13">
        <v>2139.98</v>
      </c>
      <c r="K816" s="13">
        <v>5548.83</v>
      </c>
      <c r="L816" s="13">
        <v>741.54</v>
      </c>
      <c r="M816" s="13">
        <v>388.32</v>
      </c>
      <c r="N816" s="13">
        <v>3244.24</v>
      </c>
      <c r="O816" s="13">
        <v>562.97</v>
      </c>
      <c r="P816" s="13">
        <v>69.58</v>
      </c>
      <c r="Q816" s="13">
        <v>421.12</v>
      </c>
      <c r="R816" s="13">
        <v>51.99</v>
      </c>
      <c r="S816" s="13">
        <v>250.35</v>
      </c>
      <c r="T816" s="13">
        <v>1219.79</v>
      </c>
      <c r="U816" s="13">
        <v>44.53</v>
      </c>
      <c r="V816" s="13">
        <v>100.65</v>
      </c>
      <c r="W816" s="13">
        <v>11.34</v>
      </c>
      <c r="X816" s="13">
        <v>65.69</v>
      </c>
      <c r="Y816" s="13">
        <v>7.73</v>
      </c>
      <c r="Z816" s="13"/>
      <c r="AA816" s="13">
        <v>2.11</v>
      </c>
      <c r="AB816" s="13"/>
      <c r="AC816" s="14">
        <v>3803.8513513513517</v>
      </c>
      <c r="AD816" s="14">
        <v>1235.8792184724689</v>
      </c>
      <c r="AE816" s="14">
        <v>2116.1809045226128</v>
      </c>
      <c r="AF816" s="14">
        <v>1440.1662049861495</v>
      </c>
      <c r="AG816" s="15">
        <v>0.41752448806210707</v>
      </c>
      <c r="AH816" s="15">
        <v>0.43559999434651342</v>
      </c>
      <c r="AI816" s="15">
        <v>0.44911352436262308</v>
      </c>
      <c r="AJ816" s="41">
        <f t="shared" si="24"/>
        <v>11674.589999999998</v>
      </c>
      <c r="AK816" s="44">
        <f t="shared" si="25"/>
        <v>0.31834987989735941</v>
      </c>
      <c r="AL816" s="10"/>
      <c r="AM816" s="10"/>
    </row>
    <row r="817" spans="1:39" s="16" customFormat="1" ht="19" customHeight="1">
      <c r="A817" s="9" t="s">
        <v>881</v>
      </c>
      <c r="B817" s="10" t="s">
        <v>1355</v>
      </c>
      <c r="C817" s="10"/>
      <c r="D817" s="10"/>
      <c r="E817" s="11" t="s">
        <v>1341</v>
      </c>
      <c r="F817" s="11" t="s">
        <v>249</v>
      </c>
      <c r="G817" s="12" t="s">
        <v>852</v>
      </c>
      <c r="H817" s="13">
        <v>69.13</v>
      </c>
      <c r="I817" s="13">
        <v>10.43</v>
      </c>
      <c r="J817" s="13">
        <v>2263.62</v>
      </c>
      <c r="K817" s="13">
        <v>5126.46</v>
      </c>
      <c r="L817" s="13">
        <v>716.63</v>
      </c>
      <c r="M817" s="13">
        <v>386.11</v>
      </c>
      <c r="N817" s="13">
        <v>3156.03</v>
      </c>
      <c r="O817" s="13">
        <v>570.02</v>
      </c>
      <c r="P817" s="13">
        <v>69.67</v>
      </c>
      <c r="Q817" s="13">
        <v>411.39</v>
      </c>
      <c r="R817" s="13">
        <v>49.72</v>
      </c>
      <c r="S817" s="13">
        <v>265.56</v>
      </c>
      <c r="T817" s="13">
        <v>1186.83</v>
      </c>
      <c r="U817" s="13">
        <v>44.76</v>
      </c>
      <c r="V817" s="13">
        <v>102.47</v>
      </c>
      <c r="W817" s="13">
        <v>12.47</v>
      </c>
      <c r="X817" s="13">
        <v>66.61</v>
      </c>
      <c r="Y817" s="13">
        <v>8.35</v>
      </c>
      <c r="Z817" s="13"/>
      <c r="AA817" s="13">
        <v>3.26</v>
      </c>
      <c r="AB817" s="13"/>
      <c r="AC817" s="14">
        <v>3851.4864864864867</v>
      </c>
      <c r="AD817" s="14">
        <v>1237.4777975133215</v>
      </c>
      <c r="AE817" s="14">
        <v>2067.286432160804</v>
      </c>
      <c r="AF817" s="14">
        <v>1377.2853185595568</v>
      </c>
      <c r="AG817" s="15">
        <v>0.4181534971935168</v>
      </c>
      <c r="AH817" s="15">
        <v>0.4385538210674183</v>
      </c>
      <c r="AI817" s="15">
        <v>0.45266528649080201</v>
      </c>
      <c r="AJ817" s="41">
        <f t="shared" si="24"/>
        <v>11262.74</v>
      </c>
      <c r="AK817" s="44">
        <f t="shared" si="25"/>
        <v>0.32532881710101702</v>
      </c>
      <c r="AL817" s="10"/>
      <c r="AM817" s="10"/>
    </row>
    <row r="818" spans="1:39" s="16" customFormat="1" ht="19" customHeight="1">
      <c r="A818" s="9" t="s">
        <v>882</v>
      </c>
      <c r="B818" s="10" t="s">
        <v>1355</v>
      </c>
      <c r="C818" s="10"/>
      <c r="D818" s="10"/>
      <c r="E818" s="11" t="s">
        <v>1341</v>
      </c>
      <c r="F818" s="11" t="s">
        <v>249</v>
      </c>
      <c r="G818" s="12" t="s">
        <v>852</v>
      </c>
      <c r="H818" s="13">
        <v>85.99</v>
      </c>
      <c r="I818" s="13">
        <v>10.8</v>
      </c>
      <c r="J818" s="13">
        <v>2121.2399999999998</v>
      </c>
      <c r="K818" s="13">
        <v>6223.47</v>
      </c>
      <c r="L818" s="13">
        <v>830.36</v>
      </c>
      <c r="M818" s="13">
        <v>344.31</v>
      </c>
      <c r="N818" s="13">
        <v>3463.14</v>
      </c>
      <c r="O818" s="13">
        <v>603.11</v>
      </c>
      <c r="P818" s="13">
        <v>82.17</v>
      </c>
      <c r="Q818" s="13">
        <v>452.56</v>
      </c>
      <c r="R818" s="13">
        <v>58.22</v>
      </c>
      <c r="S818" s="13">
        <v>279.29000000000002</v>
      </c>
      <c r="T818" s="13">
        <v>1284.22</v>
      </c>
      <c r="U818" s="13">
        <v>50.79</v>
      </c>
      <c r="V818" s="13">
        <v>113</v>
      </c>
      <c r="W818" s="13">
        <v>13.41</v>
      </c>
      <c r="X818" s="13">
        <v>74.5</v>
      </c>
      <c r="Y818" s="13">
        <v>8.85</v>
      </c>
      <c r="Z818" s="13"/>
      <c r="AA818" s="13">
        <v>4.43</v>
      </c>
      <c r="AB818" s="13"/>
      <c r="AC818" s="14">
        <v>4075.0675675675679</v>
      </c>
      <c r="AD818" s="14">
        <v>1459.5026642984017</v>
      </c>
      <c r="AE818" s="14">
        <v>2274.1708542713568</v>
      </c>
      <c r="AF818" s="14">
        <v>1612.7423822714682</v>
      </c>
      <c r="AG818" s="15">
        <v>0.45974101690000391</v>
      </c>
      <c r="AH818" s="15">
        <v>0.47943081051664754</v>
      </c>
      <c r="AI818" s="15">
        <v>0.48782046596591233</v>
      </c>
      <c r="AJ818" s="41">
        <f t="shared" si="24"/>
        <v>12638.21</v>
      </c>
      <c r="AK818" s="44">
        <f t="shared" si="25"/>
        <v>0.26810826805376026</v>
      </c>
      <c r="AL818" s="10"/>
      <c r="AM818" s="10"/>
    </row>
    <row r="819" spans="1:39" s="16" customFormat="1" ht="19" customHeight="1">
      <c r="A819" s="9" t="s">
        <v>883</v>
      </c>
      <c r="B819" s="10" t="s">
        <v>1355</v>
      </c>
      <c r="C819" s="10"/>
      <c r="D819" s="10"/>
      <c r="E819" s="11" t="s">
        <v>1341</v>
      </c>
      <c r="F819" s="11" t="s">
        <v>249</v>
      </c>
      <c r="G819" s="12" t="s">
        <v>852</v>
      </c>
      <c r="H819" s="13">
        <v>130.59</v>
      </c>
      <c r="I819" s="13">
        <v>19.45</v>
      </c>
      <c r="J819" s="13">
        <v>2984.04</v>
      </c>
      <c r="K819" s="13">
        <v>8334.61</v>
      </c>
      <c r="L819" s="13">
        <v>836.27</v>
      </c>
      <c r="M819" s="13">
        <v>319.08999999999997</v>
      </c>
      <c r="N819" s="13">
        <v>3512.25</v>
      </c>
      <c r="O819" s="13">
        <v>608.95000000000005</v>
      </c>
      <c r="P819" s="13">
        <v>90.23</v>
      </c>
      <c r="Q819" s="13">
        <v>466.46</v>
      </c>
      <c r="R819" s="13">
        <v>58.78</v>
      </c>
      <c r="S819" s="13">
        <v>278.44</v>
      </c>
      <c r="T819" s="13">
        <v>1184.98</v>
      </c>
      <c r="U819" s="13">
        <v>49.1</v>
      </c>
      <c r="V819" s="13">
        <v>114.11</v>
      </c>
      <c r="W819" s="13">
        <v>13.4</v>
      </c>
      <c r="X819" s="13">
        <v>75.09</v>
      </c>
      <c r="Y819" s="13">
        <v>8.89</v>
      </c>
      <c r="Z819" s="13"/>
      <c r="AA819" s="13">
        <v>2.88</v>
      </c>
      <c r="AB819" s="13"/>
      <c r="AC819" s="14">
        <v>4114.5270270270275</v>
      </c>
      <c r="AD819" s="14">
        <v>1602.6642984014211</v>
      </c>
      <c r="AE819" s="14">
        <v>2344.0201005025124</v>
      </c>
      <c r="AF819" s="14">
        <v>1628.2548476454294</v>
      </c>
      <c r="AG819" s="15">
        <v>0.49629251494351373</v>
      </c>
      <c r="AH819" s="15">
        <v>0.51606206640028929</v>
      </c>
      <c r="AI819" s="15">
        <v>0.53054450809031528</v>
      </c>
      <c r="AJ819" s="41">
        <f t="shared" si="24"/>
        <v>15667.170000000002</v>
      </c>
      <c r="AK819" s="44">
        <f t="shared" si="25"/>
        <v>0.26927880639335683</v>
      </c>
      <c r="AL819" s="10"/>
      <c r="AM819" s="10"/>
    </row>
    <row r="820" spans="1:39" s="16" customFormat="1" ht="19" customHeight="1">
      <c r="A820" s="9" t="s">
        <v>884</v>
      </c>
      <c r="B820" s="10" t="s">
        <v>1355</v>
      </c>
      <c r="C820" s="10"/>
      <c r="D820" s="10"/>
      <c r="E820" s="11" t="s">
        <v>1341</v>
      </c>
      <c r="F820" s="11" t="s">
        <v>249</v>
      </c>
      <c r="G820" s="12" t="s">
        <v>852</v>
      </c>
      <c r="H820" s="13">
        <v>39.11</v>
      </c>
      <c r="I820" s="13">
        <v>7.13</v>
      </c>
      <c r="J820" s="13">
        <v>1761.06</v>
      </c>
      <c r="K820" s="13">
        <v>5247.7</v>
      </c>
      <c r="L820" s="13">
        <v>518.46</v>
      </c>
      <c r="M820" s="13">
        <v>316.25</v>
      </c>
      <c r="N820" s="13">
        <v>2051.15</v>
      </c>
      <c r="O820" s="13">
        <v>355.13</v>
      </c>
      <c r="P820" s="13">
        <v>51.98</v>
      </c>
      <c r="Q820" s="13">
        <v>262.87</v>
      </c>
      <c r="R820" s="13">
        <v>33.590000000000003</v>
      </c>
      <c r="S820" s="13">
        <v>166.23</v>
      </c>
      <c r="T820" s="13">
        <v>709.68</v>
      </c>
      <c r="U820" s="13">
        <v>27.61</v>
      </c>
      <c r="V820" s="13">
        <v>63.81</v>
      </c>
      <c r="W820" s="13">
        <v>7.28</v>
      </c>
      <c r="X820" s="13">
        <v>43.24</v>
      </c>
      <c r="Y820" s="13">
        <v>5.44</v>
      </c>
      <c r="Z820" s="13"/>
      <c r="AA820" s="13">
        <v>2.44</v>
      </c>
      <c r="AB820" s="13"/>
      <c r="AC820" s="14">
        <v>2399.5270270270271</v>
      </c>
      <c r="AD820" s="14">
        <v>923.2682060390764</v>
      </c>
      <c r="AE820" s="14">
        <v>1320.9547738693466</v>
      </c>
      <c r="AF820" s="14">
        <v>930.47091412742395</v>
      </c>
      <c r="AG820" s="15">
        <v>0.49631647482680002</v>
      </c>
      <c r="AH820" s="15">
        <v>0.51858635201730052</v>
      </c>
      <c r="AI820" s="15">
        <v>0.52764664697639241</v>
      </c>
      <c r="AJ820" s="41">
        <f t="shared" si="24"/>
        <v>9578.3700000000008</v>
      </c>
      <c r="AK820" s="44">
        <f t="shared" si="25"/>
        <v>0.44562337955134712</v>
      </c>
      <c r="AL820" s="10"/>
      <c r="AM820" s="10"/>
    </row>
    <row r="821" spans="1:39" s="16" customFormat="1" ht="19" customHeight="1">
      <c r="A821" s="9" t="s">
        <v>885</v>
      </c>
      <c r="B821" s="10" t="s">
        <v>1355</v>
      </c>
      <c r="C821" s="10"/>
      <c r="D821" s="10"/>
      <c r="E821" s="11" t="s">
        <v>1341</v>
      </c>
      <c r="F821" s="11" t="s">
        <v>249</v>
      </c>
      <c r="G821" s="12" t="s">
        <v>852</v>
      </c>
      <c r="H821" s="13">
        <v>33.380000000000003</v>
      </c>
      <c r="I821" s="13">
        <v>5.96</v>
      </c>
      <c r="J821" s="13">
        <v>1718.64</v>
      </c>
      <c r="K821" s="13">
        <v>4835.83</v>
      </c>
      <c r="L821" s="13">
        <v>488.2</v>
      </c>
      <c r="M821" s="13">
        <v>354.09</v>
      </c>
      <c r="N821" s="13">
        <v>2066.6</v>
      </c>
      <c r="O821" s="13">
        <v>372.75</v>
      </c>
      <c r="P821" s="13">
        <v>50.91</v>
      </c>
      <c r="Q821" s="13">
        <v>264.64</v>
      </c>
      <c r="R821" s="13">
        <v>33.82</v>
      </c>
      <c r="S821" s="13">
        <v>172.83</v>
      </c>
      <c r="T821" s="13">
        <v>678.4</v>
      </c>
      <c r="U821" s="13">
        <v>29.81</v>
      </c>
      <c r="V821" s="13">
        <v>66.66</v>
      </c>
      <c r="W821" s="13">
        <v>7.88</v>
      </c>
      <c r="X821" s="13">
        <v>42.19</v>
      </c>
      <c r="Y821" s="13">
        <v>5.16</v>
      </c>
      <c r="Z821" s="13"/>
      <c r="AA821" s="13">
        <v>9.1999999999999993</v>
      </c>
      <c r="AB821" s="13"/>
      <c r="AC821" s="14">
        <v>2518.5810810810813</v>
      </c>
      <c r="AD821" s="14">
        <v>904.26287744227352</v>
      </c>
      <c r="AE821" s="14">
        <v>1329.8492462311556</v>
      </c>
      <c r="AF821" s="14">
        <v>936.84210526315792</v>
      </c>
      <c r="AG821" s="15">
        <v>0.46993854664575169</v>
      </c>
      <c r="AH821" s="15">
        <v>0.49410076704304079</v>
      </c>
      <c r="AI821" s="15">
        <v>0.49923145865227847</v>
      </c>
      <c r="AJ821" s="41">
        <f t="shared" si="24"/>
        <v>9109.27</v>
      </c>
      <c r="AK821" s="44">
        <f t="shared" si="25"/>
        <v>0.52194870283018868</v>
      </c>
      <c r="AL821" s="10"/>
      <c r="AM821" s="10"/>
    </row>
    <row r="822" spans="1:39" s="16" customFormat="1" ht="19" customHeight="1">
      <c r="A822" s="9" t="s">
        <v>886</v>
      </c>
      <c r="B822" s="10" t="s">
        <v>1355</v>
      </c>
      <c r="C822" s="10"/>
      <c r="D822" s="10"/>
      <c r="E822" s="11" t="s">
        <v>1341</v>
      </c>
      <c r="F822" s="11" t="s">
        <v>249</v>
      </c>
      <c r="G822" s="12" t="s">
        <v>852</v>
      </c>
      <c r="H822" s="13">
        <v>30.81</v>
      </c>
      <c r="I822" s="13">
        <v>5.89</v>
      </c>
      <c r="J822" s="13">
        <v>1503.21</v>
      </c>
      <c r="K822" s="13">
        <v>4379.3500000000004</v>
      </c>
      <c r="L822" s="13">
        <v>462.64</v>
      </c>
      <c r="M822" s="13">
        <v>300.66000000000003</v>
      </c>
      <c r="N822" s="13">
        <v>1889.63</v>
      </c>
      <c r="O822" s="13">
        <v>338.77</v>
      </c>
      <c r="P822" s="13">
        <v>43.97</v>
      </c>
      <c r="Q822" s="13">
        <v>243.93</v>
      </c>
      <c r="R822" s="13">
        <v>30.86</v>
      </c>
      <c r="S822" s="13">
        <v>151.80000000000001</v>
      </c>
      <c r="T822" s="13">
        <v>654.72</v>
      </c>
      <c r="U822" s="13">
        <v>27.6</v>
      </c>
      <c r="V822" s="13">
        <v>58.89</v>
      </c>
      <c r="W822" s="13">
        <v>6.7</v>
      </c>
      <c r="X822" s="13">
        <v>39.36</v>
      </c>
      <c r="Y822" s="13">
        <v>5.05</v>
      </c>
      <c r="Z822" s="13"/>
      <c r="AA822" s="13">
        <v>29.35</v>
      </c>
      <c r="AB822" s="13"/>
      <c r="AC822" s="14">
        <v>2288.9864864864867</v>
      </c>
      <c r="AD822" s="14">
        <v>780.99467140319723</v>
      </c>
      <c r="AE822" s="14">
        <v>1225.7788944723618</v>
      </c>
      <c r="AF822" s="14">
        <v>854.84764542936284</v>
      </c>
      <c r="AG822" s="15">
        <v>0.44440785472294447</v>
      </c>
      <c r="AH822" s="15">
        <v>0.46625165535400692</v>
      </c>
      <c r="AI822" s="15">
        <v>0.47379413312647473</v>
      </c>
      <c r="AJ822" s="41">
        <f t="shared" si="24"/>
        <v>8234.8300000000017</v>
      </c>
      <c r="AK822" s="44">
        <f t="shared" si="25"/>
        <v>0.4592192082111437</v>
      </c>
      <c r="AL822" s="10"/>
      <c r="AM822" s="10"/>
    </row>
    <row r="823" spans="1:39" s="16" customFormat="1" ht="19" customHeight="1">
      <c r="A823" s="9" t="s">
        <v>887</v>
      </c>
      <c r="B823" s="10" t="s">
        <v>1355</v>
      </c>
      <c r="C823" s="10"/>
      <c r="D823" s="10"/>
      <c r="E823" s="11" t="s">
        <v>1341</v>
      </c>
      <c r="F823" s="11" t="s">
        <v>249</v>
      </c>
      <c r="G823" s="12" t="s">
        <v>852</v>
      </c>
      <c r="H823" s="13">
        <v>35.659999999999997</v>
      </c>
      <c r="I823" s="13">
        <v>6.46</v>
      </c>
      <c r="J823" s="13">
        <v>1600.03</v>
      </c>
      <c r="K823" s="13">
        <v>4420.58</v>
      </c>
      <c r="L823" s="13">
        <v>493.86</v>
      </c>
      <c r="M823" s="13">
        <v>338.79</v>
      </c>
      <c r="N823" s="13">
        <v>2082.31</v>
      </c>
      <c r="O823" s="13">
        <v>367.67</v>
      </c>
      <c r="P823" s="13">
        <v>50.08</v>
      </c>
      <c r="Q823" s="13">
        <v>261.69</v>
      </c>
      <c r="R823" s="13">
        <v>32.81</v>
      </c>
      <c r="S823" s="13">
        <v>167.65</v>
      </c>
      <c r="T823" s="13">
        <v>707.79</v>
      </c>
      <c r="U823" s="13">
        <v>29.25</v>
      </c>
      <c r="V823" s="13">
        <v>64.86</v>
      </c>
      <c r="W823" s="13">
        <v>7.67</v>
      </c>
      <c r="X823" s="13">
        <v>41.95</v>
      </c>
      <c r="Y823" s="13">
        <v>4.99</v>
      </c>
      <c r="Z823" s="13"/>
      <c r="AA823" s="13">
        <v>2.2599999999999998</v>
      </c>
      <c r="AB823" s="13"/>
      <c r="AC823" s="14">
        <v>2484.2567567567571</v>
      </c>
      <c r="AD823" s="14">
        <v>889.52042628774427</v>
      </c>
      <c r="AE823" s="14">
        <v>1315.0251256281406</v>
      </c>
      <c r="AF823" s="14">
        <v>908.86426592797795</v>
      </c>
      <c r="AG823" s="15">
        <v>0.46825713586135476</v>
      </c>
      <c r="AH823" s="15">
        <v>0.49214226094160607</v>
      </c>
      <c r="AI823" s="15">
        <v>0.5006396740512995</v>
      </c>
      <c r="AJ823" s="41">
        <f t="shared" si="24"/>
        <v>8596.7799999999988</v>
      </c>
      <c r="AK823" s="44">
        <f t="shared" si="25"/>
        <v>0.47865892425719497</v>
      </c>
      <c r="AL823" s="10"/>
      <c r="AM823" s="10"/>
    </row>
    <row r="824" spans="1:39" s="16" customFormat="1" ht="19" customHeight="1">
      <c r="A824" s="9" t="s">
        <v>888</v>
      </c>
      <c r="B824" s="10" t="s">
        <v>1355</v>
      </c>
      <c r="C824" s="10"/>
      <c r="D824" s="10"/>
      <c r="E824" s="11" t="s">
        <v>1341</v>
      </c>
      <c r="F824" s="11" t="s">
        <v>249</v>
      </c>
      <c r="G824" s="12" t="s">
        <v>852</v>
      </c>
      <c r="H824" s="13">
        <v>87.82</v>
      </c>
      <c r="I824" s="13">
        <v>11.87</v>
      </c>
      <c r="J824" s="13">
        <v>2198.4499999999998</v>
      </c>
      <c r="K824" s="13">
        <v>5330.67</v>
      </c>
      <c r="L824" s="13">
        <v>782.98</v>
      </c>
      <c r="M824" s="13">
        <v>407.34</v>
      </c>
      <c r="N824" s="13">
        <v>3522.26</v>
      </c>
      <c r="O824" s="13">
        <v>620.95000000000005</v>
      </c>
      <c r="P824" s="13">
        <v>97.02</v>
      </c>
      <c r="Q824" s="13">
        <v>452.15</v>
      </c>
      <c r="R824" s="13">
        <v>57.1</v>
      </c>
      <c r="S824" s="13">
        <v>284.58</v>
      </c>
      <c r="T824" s="13">
        <v>1344.88</v>
      </c>
      <c r="U824" s="13">
        <v>50.82</v>
      </c>
      <c r="V824" s="13">
        <v>117.34</v>
      </c>
      <c r="W824" s="13">
        <v>13.28</v>
      </c>
      <c r="X824" s="13">
        <v>77.5</v>
      </c>
      <c r="Y824" s="13">
        <v>9.76</v>
      </c>
      <c r="Z824" s="13"/>
      <c r="AA824" s="13">
        <v>1.84</v>
      </c>
      <c r="AB824" s="13"/>
      <c r="AC824" s="14">
        <v>4195.6081081081084</v>
      </c>
      <c r="AD824" s="14">
        <v>1723.2682060390764</v>
      </c>
      <c r="AE824" s="14">
        <v>2272.1105527638188</v>
      </c>
      <c r="AF824" s="14">
        <v>1581.7174515235458</v>
      </c>
      <c r="AG824" s="15">
        <v>0.53288285913375177</v>
      </c>
      <c r="AH824" s="15">
        <v>0.55813683850200024</v>
      </c>
      <c r="AI824" s="15">
        <v>0.56856479226589407</v>
      </c>
      <c r="AJ824" s="41">
        <f t="shared" si="24"/>
        <v>11834.36</v>
      </c>
      <c r="AK824" s="44">
        <f t="shared" si="25"/>
        <v>0.30288204152043302</v>
      </c>
      <c r="AL824" s="10"/>
      <c r="AM824" s="10"/>
    </row>
    <row r="825" spans="1:39" s="16" customFormat="1" ht="19" customHeight="1">
      <c r="A825" s="9" t="s">
        <v>889</v>
      </c>
      <c r="B825" s="10" t="s">
        <v>1355</v>
      </c>
      <c r="C825" s="10"/>
      <c r="D825" s="10"/>
      <c r="E825" s="11" t="s">
        <v>1341</v>
      </c>
      <c r="F825" s="11" t="s">
        <v>249</v>
      </c>
      <c r="G825" s="12" t="s">
        <v>852</v>
      </c>
      <c r="H825" s="13">
        <v>70.849999999999994</v>
      </c>
      <c r="I825" s="13">
        <v>8.68</v>
      </c>
      <c r="J825" s="13">
        <v>2208.37</v>
      </c>
      <c r="K825" s="13">
        <v>4329.97</v>
      </c>
      <c r="L825" s="13">
        <v>616.09</v>
      </c>
      <c r="M825" s="13">
        <v>443.15</v>
      </c>
      <c r="N825" s="13">
        <v>2623.31</v>
      </c>
      <c r="O825" s="13">
        <v>472.26</v>
      </c>
      <c r="P825" s="13">
        <v>69.33</v>
      </c>
      <c r="Q825" s="13">
        <v>339.73</v>
      </c>
      <c r="R825" s="13">
        <v>44.64</v>
      </c>
      <c r="S825" s="13">
        <v>216.58</v>
      </c>
      <c r="T825" s="13">
        <v>1002.72</v>
      </c>
      <c r="U825" s="13">
        <v>37.44</v>
      </c>
      <c r="V825" s="13">
        <v>87.68</v>
      </c>
      <c r="W825" s="13">
        <v>10.5</v>
      </c>
      <c r="X825" s="13">
        <v>56.19</v>
      </c>
      <c r="Y825" s="13">
        <v>7.07</v>
      </c>
      <c r="Z825" s="13"/>
      <c r="AA825" s="13">
        <v>3.34</v>
      </c>
      <c r="AB825" s="13"/>
      <c r="AC825" s="14">
        <v>3190.9459459459458</v>
      </c>
      <c r="AD825" s="14">
        <v>1231.4387211367673</v>
      </c>
      <c r="AE825" s="14">
        <v>1707.1859296482412</v>
      </c>
      <c r="AF825" s="14">
        <v>1236.5650969529086</v>
      </c>
      <c r="AG825" s="15">
        <v>0.50281974941206864</v>
      </c>
      <c r="AH825" s="15">
        <v>0.52760957721849699</v>
      </c>
      <c r="AI825" s="15">
        <v>0.52933122399900046</v>
      </c>
      <c r="AJ825" s="41">
        <f t="shared" si="24"/>
        <v>9777.74</v>
      </c>
      <c r="AK825" s="44">
        <f t="shared" si="25"/>
        <v>0.44194790170735598</v>
      </c>
      <c r="AL825" s="10"/>
      <c r="AM825" s="10"/>
    </row>
    <row r="826" spans="1:39" s="16" customFormat="1" ht="19" customHeight="1">
      <c r="A826" s="9" t="s">
        <v>890</v>
      </c>
      <c r="B826" s="10" t="s">
        <v>1361</v>
      </c>
      <c r="C826" s="10"/>
      <c r="D826" s="10"/>
      <c r="E826" s="18" t="s">
        <v>183</v>
      </c>
      <c r="F826" s="18" t="s">
        <v>249</v>
      </c>
      <c r="G826" s="12" t="s">
        <v>439</v>
      </c>
      <c r="H826" s="13">
        <v>4.7999999999999996E-3</v>
      </c>
      <c r="I826" s="13">
        <v>1.0999999999999999E-2</v>
      </c>
      <c r="J826" s="13">
        <v>0.54</v>
      </c>
      <c r="K826" s="13">
        <v>1.67</v>
      </c>
      <c r="L826" s="13">
        <v>0.34599999999999997</v>
      </c>
      <c r="M826" s="13">
        <v>450.6</v>
      </c>
      <c r="N826" s="13">
        <v>2.44</v>
      </c>
      <c r="O826" s="13">
        <v>2.73</v>
      </c>
      <c r="P826" s="13">
        <v>0.72799999999999998</v>
      </c>
      <c r="Q826" s="13">
        <v>4.96</v>
      </c>
      <c r="R826" s="13">
        <v>0.91</v>
      </c>
      <c r="S826" s="13">
        <v>7.01</v>
      </c>
      <c r="T826" s="13">
        <v>54.9</v>
      </c>
      <c r="U826" s="13">
        <v>1.901</v>
      </c>
      <c r="V826" s="13">
        <v>5.78</v>
      </c>
      <c r="W826" s="13">
        <v>0.82699999999999996</v>
      </c>
      <c r="X826" s="13">
        <v>5.13</v>
      </c>
      <c r="Y826" s="13">
        <v>0.90300000000000002</v>
      </c>
      <c r="Z826" s="13">
        <v>184.6</v>
      </c>
      <c r="AA826" s="13"/>
      <c r="AB826" s="13"/>
      <c r="AC826" s="14">
        <v>18.445945945945947</v>
      </c>
      <c r="AD826" s="14">
        <v>12.930728241563056</v>
      </c>
      <c r="AE826" s="14">
        <v>24.924623115577887</v>
      </c>
      <c r="AF826" s="14">
        <v>25.207756232686982</v>
      </c>
      <c r="AG826" s="15">
        <v>0.59629045785495771</v>
      </c>
      <c r="AH826" s="15">
        <v>0.60305679960754099</v>
      </c>
      <c r="AI826" s="15">
        <v>0.6317001306122878</v>
      </c>
      <c r="AJ826" s="41">
        <f t="shared" si="24"/>
        <v>4.9960000000000004</v>
      </c>
      <c r="AK826" s="44">
        <f t="shared" si="25"/>
        <v>8.2076502732240435</v>
      </c>
      <c r="AL826" s="10"/>
      <c r="AM826" s="10"/>
    </row>
    <row r="827" spans="1:39" s="16" customFormat="1" ht="19" customHeight="1">
      <c r="A827" s="9" t="s">
        <v>891</v>
      </c>
      <c r="B827" s="10" t="s">
        <v>1361</v>
      </c>
      <c r="C827" s="10"/>
      <c r="D827" s="10"/>
      <c r="E827" s="18" t="s">
        <v>183</v>
      </c>
      <c r="F827" s="18" t="s">
        <v>249</v>
      </c>
      <c r="G827" s="12" t="s">
        <v>439</v>
      </c>
      <c r="H827" s="13">
        <v>0.309</v>
      </c>
      <c r="I827" s="13">
        <v>1.24E-2</v>
      </c>
      <c r="J827" s="13">
        <v>0.35499999999999998</v>
      </c>
      <c r="K827" s="13">
        <v>1.93</v>
      </c>
      <c r="L827" s="13">
        <v>0.38700000000000001</v>
      </c>
      <c r="M827" s="13">
        <v>677</v>
      </c>
      <c r="N827" s="13">
        <v>3.64</v>
      </c>
      <c r="O827" s="13">
        <v>3.93</v>
      </c>
      <c r="P827" s="13">
        <v>1.1200000000000001</v>
      </c>
      <c r="Q827" s="13">
        <v>6.21</v>
      </c>
      <c r="R827" s="13">
        <v>0.72899999999999998</v>
      </c>
      <c r="S827" s="13">
        <v>4.88</v>
      </c>
      <c r="T827" s="13">
        <v>30</v>
      </c>
      <c r="U827" s="13">
        <v>1.0269999999999999</v>
      </c>
      <c r="V827" s="13">
        <v>3.24</v>
      </c>
      <c r="W827" s="13">
        <v>0.48299999999999998</v>
      </c>
      <c r="X827" s="13">
        <v>3.61</v>
      </c>
      <c r="Y827" s="13">
        <v>0.54700000000000004</v>
      </c>
      <c r="Z827" s="13">
        <v>152.1</v>
      </c>
      <c r="AA827" s="13"/>
      <c r="AB827" s="13"/>
      <c r="AC827" s="14">
        <v>26.554054054054056</v>
      </c>
      <c r="AD827" s="14">
        <v>19.893428063943166</v>
      </c>
      <c r="AE827" s="14">
        <v>31.206030150753769</v>
      </c>
      <c r="AF827" s="14">
        <v>20.193905817174514</v>
      </c>
      <c r="AG827" s="15">
        <v>0.68882960742939081</v>
      </c>
      <c r="AH827" s="15">
        <v>0.69107462768102146</v>
      </c>
      <c r="AI827" s="15">
        <v>0.82075895369812391</v>
      </c>
      <c r="AJ827" s="41">
        <f t="shared" si="24"/>
        <v>6.3120000000000003</v>
      </c>
      <c r="AK827" s="44">
        <f t="shared" si="25"/>
        <v>22.566666666666666</v>
      </c>
      <c r="AL827" s="10"/>
      <c r="AM827" s="10"/>
    </row>
    <row r="828" spans="1:39" s="16" customFormat="1" ht="19" customHeight="1">
      <c r="A828" s="9" t="s">
        <v>892</v>
      </c>
      <c r="B828" s="10" t="s">
        <v>1361</v>
      </c>
      <c r="C828" s="10"/>
      <c r="D828" s="10"/>
      <c r="E828" s="18" t="s">
        <v>183</v>
      </c>
      <c r="F828" s="18" t="s">
        <v>249</v>
      </c>
      <c r="G828" s="12" t="s">
        <v>439</v>
      </c>
      <c r="H828" s="13">
        <v>0.20100000000000001</v>
      </c>
      <c r="I828" s="13">
        <v>1.4999999999999999E-2</v>
      </c>
      <c r="J828" s="13">
        <v>1.33</v>
      </c>
      <c r="K828" s="13">
        <v>4.5</v>
      </c>
      <c r="L828" s="13">
        <v>0.65200000000000002</v>
      </c>
      <c r="M828" s="13">
        <v>326</v>
      </c>
      <c r="N828" s="13">
        <v>4.58</v>
      </c>
      <c r="O828" s="13">
        <v>2.64</v>
      </c>
      <c r="P828" s="13">
        <v>0.47899999999999998</v>
      </c>
      <c r="Q828" s="13">
        <v>3.84</v>
      </c>
      <c r="R828" s="13">
        <v>0.67100000000000004</v>
      </c>
      <c r="S828" s="13">
        <v>4.88</v>
      </c>
      <c r="T828" s="13">
        <v>36.5</v>
      </c>
      <c r="U828" s="13">
        <v>1.2</v>
      </c>
      <c r="V828" s="13">
        <v>4.1500000000000004</v>
      </c>
      <c r="W828" s="13">
        <v>0.54700000000000004</v>
      </c>
      <c r="X828" s="13">
        <v>3.86</v>
      </c>
      <c r="Y828" s="13">
        <v>0.58899999999999997</v>
      </c>
      <c r="Z828" s="13">
        <v>413</v>
      </c>
      <c r="AA828" s="13"/>
      <c r="AB828" s="13"/>
      <c r="AC828" s="14">
        <v>17.837837837837839</v>
      </c>
      <c r="AD828" s="14">
        <v>8.5079928952042625</v>
      </c>
      <c r="AE828" s="14">
        <v>19.2964824120603</v>
      </c>
      <c r="AF828" s="14">
        <v>18.587257617728532</v>
      </c>
      <c r="AG828" s="15">
        <v>0.45822801322060558</v>
      </c>
      <c r="AH828" s="15">
        <v>0.45858193115222262</v>
      </c>
      <c r="AI828" s="15">
        <v>0.47046487552969674</v>
      </c>
      <c r="AJ828" s="41">
        <f t="shared" si="24"/>
        <v>11.062000000000001</v>
      </c>
      <c r="AK828" s="44">
        <f t="shared" si="25"/>
        <v>8.9315068493150687</v>
      </c>
      <c r="AL828" s="10"/>
      <c r="AM828" s="10"/>
    </row>
    <row r="829" spans="1:39" s="16" customFormat="1" ht="19" customHeight="1">
      <c r="A829" s="9" t="s">
        <v>893</v>
      </c>
      <c r="B829" s="10" t="s">
        <v>1361</v>
      </c>
      <c r="C829" s="10"/>
      <c r="D829" s="10"/>
      <c r="E829" s="18" t="s">
        <v>183</v>
      </c>
      <c r="F829" s="18" t="s">
        <v>249</v>
      </c>
      <c r="G829" s="12" t="s">
        <v>439</v>
      </c>
      <c r="H829" s="13">
        <v>0.59399999999999997</v>
      </c>
      <c r="I829" s="13">
        <v>9.8699999999999992</v>
      </c>
      <c r="J829" s="13">
        <v>23</v>
      </c>
      <c r="K829" s="13">
        <v>108.7</v>
      </c>
      <c r="L829" s="13">
        <v>22.69</v>
      </c>
      <c r="M829" s="13">
        <v>148.1</v>
      </c>
      <c r="N829" s="13">
        <v>161.5</v>
      </c>
      <c r="O829" s="13">
        <v>83</v>
      </c>
      <c r="P829" s="13">
        <v>11.08</v>
      </c>
      <c r="Q829" s="13">
        <v>72.8</v>
      </c>
      <c r="R829" s="13">
        <v>7.9</v>
      </c>
      <c r="S829" s="13">
        <v>42.12</v>
      </c>
      <c r="T829" s="13">
        <v>213.1</v>
      </c>
      <c r="U829" s="13">
        <v>7.75</v>
      </c>
      <c r="V829" s="13">
        <v>18.66</v>
      </c>
      <c r="W829" s="13">
        <v>2.2730000000000001</v>
      </c>
      <c r="X829" s="13">
        <v>13.54</v>
      </c>
      <c r="Y829" s="13">
        <v>2.0659999999999998</v>
      </c>
      <c r="Z829" s="13">
        <v>306.10000000000002</v>
      </c>
      <c r="AA829" s="13"/>
      <c r="AB829" s="13"/>
      <c r="AC829" s="14">
        <v>560.81081081081084</v>
      </c>
      <c r="AD829" s="14">
        <v>196.80284191829486</v>
      </c>
      <c r="AE829" s="14">
        <v>365.8291457286432</v>
      </c>
      <c r="AF829" s="14">
        <v>218.83656509695291</v>
      </c>
      <c r="AG829" s="15">
        <v>0.4247665784956155</v>
      </c>
      <c r="AH829" s="15">
        <v>0.43449424212882137</v>
      </c>
      <c r="AI829" s="15">
        <v>0.4802276385000333</v>
      </c>
      <c r="AJ829" s="41">
        <f t="shared" si="24"/>
        <v>315.89</v>
      </c>
      <c r="AK829" s="44">
        <f t="shared" si="25"/>
        <v>0.69497888315344902</v>
      </c>
      <c r="AL829" s="10"/>
      <c r="AM829" s="10"/>
    </row>
    <row r="830" spans="1:39" s="16" customFormat="1" ht="19" customHeight="1">
      <c r="A830" s="9" t="s">
        <v>894</v>
      </c>
      <c r="B830" s="10" t="s">
        <v>1361</v>
      </c>
      <c r="C830" s="10"/>
      <c r="D830" s="10"/>
      <c r="E830" s="18" t="s">
        <v>183</v>
      </c>
      <c r="F830" s="18" t="s">
        <v>249</v>
      </c>
      <c r="G830" s="12" t="s">
        <v>439</v>
      </c>
      <c r="H830" s="13">
        <v>4.53E-2</v>
      </c>
      <c r="I830" s="13">
        <v>2.5000000000000001E-3</v>
      </c>
      <c r="J830" s="13">
        <v>0.33300000000000002</v>
      </c>
      <c r="K830" s="13">
        <v>1.26</v>
      </c>
      <c r="L830" s="13">
        <v>0.25800000000000001</v>
      </c>
      <c r="M830" s="13">
        <v>150</v>
      </c>
      <c r="N830" s="13">
        <v>1.45</v>
      </c>
      <c r="O830" s="13">
        <v>1.17</v>
      </c>
      <c r="P830" s="13">
        <v>0.159</v>
      </c>
      <c r="Q830" s="13">
        <v>1.68</v>
      </c>
      <c r="R830" s="13">
        <v>0.313</v>
      </c>
      <c r="S830" s="13">
        <v>2.37</v>
      </c>
      <c r="T830" s="13">
        <v>17.850000000000001</v>
      </c>
      <c r="U830" s="13">
        <v>0.68200000000000005</v>
      </c>
      <c r="V830" s="13">
        <v>1.94</v>
      </c>
      <c r="W830" s="13">
        <v>0.32700000000000001</v>
      </c>
      <c r="X830" s="13">
        <v>2.0099999999999998</v>
      </c>
      <c r="Y830" s="13">
        <v>0.4</v>
      </c>
      <c r="Z830" s="13">
        <v>150.30000000000001</v>
      </c>
      <c r="AA830" s="13"/>
      <c r="AB830" s="13"/>
      <c r="AC830" s="14">
        <v>7.9054054054054053</v>
      </c>
      <c r="AD830" s="14">
        <v>2.8241563055062171</v>
      </c>
      <c r="AE830" s="14">
        <v>8.4422110552763812</v>
      </c>
      <c r="AF830" s="14">
        <v>8.6703601108033244</v>
      </c>
      <c r="AG830" s="15">
        <v>0.34551291465623662</v>
      </c>
      <c r="AH830" s="15">
        <v>0.34569934257563939</v>
      </c>
      <c r="AI830" s="15">
        <v>0.34641252552832674</v>
      </c>
      <c r="AJ830" s="41">
        <f t="shared" si="24"/>
        <v>3.3010000000000002</v>
      </c>
      <c r="AK830" s="44">
        <f t="shared" si="25"/>
        <v>8.4033613445378137</v>
      </c>
      <c r="AL830" s="10"/>
      <c r="AM830" s="10"/>
    </row>
    <row r="831" spans="1:39" s="16" customFormat="1" ht="19" customHeight="1">
      <c r="A831" s="9" t="s">
        <v>895</v>
      </c>
      <c r="B831" s="10" t="s">
        <v>1361</v>
      </c>
      <c r="C831" s="10"/>
      <c r="D831" s="10"/>
      <c r="E831" s="18" t="s">
        <v>183</v>
      </c>
      <c r="F831" s="18" t="s">
        <v>249</v>
      </c>
      <c r="G831" s="12" t="s">
        <v>439</v>
      </c>
      <c r="H831" s="13">
        <v>1E-3</v>
      </c>
      <c r="I831" s="13">
        <v>4.8999999999999998E-3</v>
      </c>
      <c r="J831" s="13">
        <v>0.26500000000000001</v>
      </c>
      <c r="K831" s="13">
        <v>1.101</v>
      </c>
      <c r="L831" s="13">
        <v>0.23400000000000001</v>
      </c>
      <c r="M831" s="13">
        <v>692</v>
      </c>
      <c r="N831" s="13">
        <v>2.19</v>
      </c>
      <c r="O831" s="13">
        <v>2.38</v>
      </c>
      <c r="P831" s="13">
        <v>0.46899999999999997</v>
      </c>
      <c r="Q831" s="13">
        <v>4.2699999999999996</v>
      </c>
      <c r="R831" s="13">
        <v>0.70299999999999996</v>
      </c>
      <c r="S831" s="13">
        <v>5.91</v>
      </c>
      <c r="T831" s="13">
        <v>45.15</v>
      </c>
      <c r="U831" s="13">
        <v>1.554</v>
      </c>
      <c r="V831" s="13">
        <v>4.82</v>
      </c>
      <c r="W831" s="13">
        <v>0.66600000000000004</v>
      </c>
      <c r="X831" s="13">
        <v>4.28</v>
      </c>
      <c r="Y831" s="13">
        <v>0.71799999999999997</v>
      </c>
      <c r="Z831" s="13">
        <v>130.19999999999999</v>
      </c>
      <c r="AA831" s="13"/>
      <c r="AB831" s="13"/>
      <c r="AC831" s="14">
        <v>16.081081081081081</v>
      </c>
      <c r="AD831" s="14">
        <v>8.3303730017761985</v>
      </c>
      <c r="AE831" s="14">
        <v>21.457286432160799</v>
      </c>
      <c r="AF831" s="14">
        <v>19.473684210526315</v>
      </c>
      <c r="AG831" s="15">
        <v>0.44383246015360739</v>
      </c>
      <c r="AH831" s="15">
        <v>0.4484555753977893</v>
      </c>
      <c r="AI831" s="15">
        <v>0.48600221190842358</v>
      </c>
      <c r="AJ831" s="41">
        <f t="shared" si="24"/>
        <v>3.79</v>
      </c>
      <c r="AK831" s="44">
        <f t="shared" si="25"/>
        <v>15.326688815060908</v>
      </c>
      <c r="AL831" s="10"/>
      <c r="AM831" s="10"/>
    </row>
    <row r="832" spans="1:39" s="16" customFormat="1" ht="19" customHeight="1">
      <c r="A832" s="9" t="s">
        <v>896</v>
      </c>
      <c r="B832" s="10" t="s">
        <v>1361</v>
      </c>
      <c r="C832" s="10"/>
      <c r="D832" s="10"/>
      <c r="E832" s="18" t="s">
        <v>183</v>
      </c>
      <c r="F832" s="18" t="s">
        <v>249</v>
      </c>
      <c r="G832" s="12" t="s">
        <v>439</v>
      </c>
      <c r="H832" s="13">
        <v>5.0999999999999997E-2</v>
      </c>
      <c r="I832" s="13">
        <v>6.1000000000000004E-3</v>
      </c>
      <c r="J832" s="13">
        <v>0.17299999999999999</v>
      </c>
      <c r="K832" s="13">
        <v>0.76900000000000002</v>
      </c>
      <c r="L832" s="13">
        <v>0.14199999999999999</v>
      </c>
      <c r="M832" s="13">
        <v>397.4</v>
      </c>
      <c r="N832" s="13">
        <v>1.39</v>
      </c>
      <c r="O832" s="13">
        <v>1.69</v>
      </c>
      <c r="P832" s="13">
        <v>0.53800000000000003</v>
      </c>
      <c r="Q832" s="13">
        <v>3.89</v>
      </c>
      <c r="R832" s="13">
        <v>0.80200000000000005</v>
      </c>
      <c r="S832" s="13">
        <v>6.21</v>
      </c>
      <c r="T832" s="13">
        <v>49.5</v>
      </c>
      <c r="U832" s="13">
        <v>1.651</v>
      </c>
      <c r="V832" s="13">
        <v>5.51</v>
      </c>
      <c r="W832" s="13">
        <v>0.84099999999999997</v>
      </c>
      <c r="X832" s="13">
        <v>5.32</v>
      </c>
      <c r="Y832" s="13">
        <v>0.94099999999999995</v>
      </c>
      <c r="Z832" s="13">
        <v>169.6</v>
      </c>
      <c r="AA832" s="13"/>
      <c r="AB832" s="13"/>
      <c r="AC832" s="14">
        <v>11.418918918918919</v>
      </c>
      <c r="AD832" s="14">
        <v>9.555950266429841</v>
      </c>
      <c r="AE832" s="14">
        <v>19.547738693467338</v>
      </c>
      <c r="AF832" s="14">
        <v>22.21606648199446</v>
      </c>
      <c r="AG832" s="15">
        <v>0.61717673156999586</v>
      </c>
      <c r="AH832" s="15">
        <v>0.63960687574845443</v>
      </c>
      <c r="AI832" s="15">
        <v>0.67034982343331218</v>
      </c>
      <c r="AJ832" s="41">
        <f t="shared" si="24"/>
        <v>2.4739999999999998</v>
      </c>
      <c r="AK832" s="44">
        <f t="shared" si="25"/>
        <v>8.028282828282828</v>
      </c>
      <c r="AL832" s="10"/>
      <c r="AM832" s="10"/>
    </row>
    <row r="833" spans="1:39" s="16" customFormat="1" ht="19" customHeight="1">
      <c r="A833" s="9" t="s">
        <v>897</v>
      </c>
      <c r="B833" s="10" t="s">
        <v>1361</v>
      </c>
      <c r="C833" s="10"/>
      <c r="D833" s="10"/>
      <c r="E833" s="18" t="s">
        <v>183</v>
      </c>
      <c r="F833" s="18" t="s">
        <v>249</v>
      </c>
      <c r="G833" s="12" t="s">
        <v>439</v>
      </c>
      <c r="H833" s="13">
        <v>5.1400000000000001E-2</v>
      </c>
      <c r="I833" s="13">
        <v>2.7000000000000001E-3</v>
      </c>
      <c r="J833" s="13">
        <v>0.22</v>
      </c>
      <c r="K833" s="13">
        <v>0.72599999999999998</v>
      </c>
      <c r="L833" s="13">
        <v>0.15</v>
      </c>
      <c r="M833" s="13">
        <v>585.20000000000005</v>
      </c>
      <c r="N833" s="13">
        <v>1.21</v>
      </c>
      <c r="O833" s="13">
        <v>0.99</v>
      </c>
      <c r="P833" s="13">
        <v>0.29599999999999999</v>
      </c>
      <c r="Q833" s="13">
        <v>2.39</v>
      </c>
      <c r="R833" s="13">
        <v>0.49099999999999999</v>
      </c>
      <c r="S833" s="13">
        <v>4.58</v>
      </c>
      <c r="T833" s="13">
        <v>41.37</v>
      </c>
      <c r="U833" s="13">
        <v>1.325</v>
      </c>
      <c r="V833" s="13">
        <v>4.67</v>
      </c>
      <c r="W833" s="13">
        <v>0.75900000000000001</v>
      </c>
      <c r="X833" s="13">
        <v>4.92</v>
      </c>
      <c r="Y833" s="13">
        <v>0.94199999999999995</v>
      </c>
      <c r="Z833" s="13">
        <v>143.1</v>
      </c>
      <c r="AA833" s="13"/>
      <c r="AB833" s="13"/>
      <c r="AC833" s="14">
        <v>6.6891891891891895</v>
      </c>
      <c r="AD833" s="14">
        <v>5.2575488454706925</v>
      </c>
      <c r="AE833" s="14">
        <v>12.010050251256281</v>
      </c>
      <c r="AF833" s="14">
        <v>13.601108033240997</v>
      </c>
      <c r="AG833" s="15">
        <v>0.56232756013583007</v>
      </c>
      <c r="AH833" s="15">
        <v>0.58657583072099362</v>
      </c>
      <c r="AI833" s="15">
        <v>0.62040634879887357</v>
      </c>
      <c r="AJ833" s="41">
        <f t="shared" si="24"/>
        <v>2.306</v>
      </c>
      <c r="AK833" s="44">
        <f t="shared" si="25"/>
        <v>14.145516074450086</v>
      </c>
      <c r="AL833" s="10"/>
      <c r="AM833" s="10"/>
    </row>
    <row r="834" spans="1:39" s="16" customFormat="1" ht="19" customHeight="1">
      <c r="A834" s="9" t="s">
        <v>898</v>
      </c>
      <c r="B834" s="10" t="s">
        <v>1361</v>
      </c>
      <c r="C834" s="10"/>
      <c r="D834" s="10"/>
      <c r="E834" s="18" t="s">
        <v>183</v>
      </c>
      <c r="F834" s="18" t="s">
        <v>249</v>
      </c>
      <c r="G834" s="12" t="s">
        <v>439</v>
      </c>
      <c r="H834" s="13">
        <v>4.1999999999999997E-3</v>
      </c>
      <c r="I834" s="13">
        <v>0.01</v>
      </c>
      <c r="J834" s="13">
        <v>9.0999999999999998E-2</v>
      </c>
      <c r="K834" s="13">
        <v>0.40600000000000003</v>
      </c>
      <c r="L834" s="13">
        <v>0.107</v>
      </c>
      <c r="M834" s="13">
        <v>304.10000000000002</v>
      </c>
      <c r="N834" s="13">
        <v>0.93</v>
      </c>
      <c r="O834" s="13">
        <v>1.42</v>
      </c>
      <c r="P834" s="13">
        <v>0.30399999999999999</v>
      </c>
      <c r="Q834" s="13">
        <v>2.89</v>
      </c>
      <c r="R834" s="13">
        <v>0.60099999999999998</v>
      </c>
      <c r="S834" s="13">
        <v>5.25</v>
      </c>
      <c r="T834" s="13">
        <v>46.4</v>
      </c>
      <c r="U834" s="13">
        <v>1.5569999999999999</v>
      </c>
      <c r="V834" s="13">
        <v>5.52</v>
      </c>
      <c r="W834" s="13">
        <v>0.876</v>
      </c>
      <c r="X834" s="13">
        <v>6.01</v>
      </c>
      <c r="Y834" s="13">
        <v>1.1160000000000001</v>
      </c>
      <c r="Z834" s="13">
        <v>172.1</v>
      </c>
      <c r="AA834" s="13"/>
      <c r="AB834" s="13"/>
      <c r="AC834" s="14">
        <v>9.5945945945945947</v>
      </c>
      <c r="AD834" s="14">
        <v>5.3996447602131443</v>
      </c>
      <c r="AE834" s="14">
        <v>14.522613065326633</v>
      </c>
      <c r="AF834" s="14">
        <v>16.64819944598338</v>
      </c>
      <c r="AG834" s="15">
        <v>0.44778357729916241</v>
      </c>
      <c r="AH834" s="15">
        <v>0.45743510544660376</v>
      </c>
      <c r="AI834" s="15">
        <v>0.46833686681295483</v>
      </c>
      <c r="AJ834" s="41">
        <f t="shared" si="24"/>
        <v>1.534</v>
      </c>
      <c r="AK834" s="44">
        <f t="shared" si="25"/>
        <v>6.5538793103448283</v>
      </c>
      <c r="AL834" s="10"/>
      <c r="AM834" s="10"/>
    </row>
    <row r="835" spans="1:39" s="16" customFormat="1" ht="19" customHeight="1">
      <c r="A835" s="9" t="s">
        <v>899</v>
      </c>
      <c r="B835" s="10" t="s">
        <v>1361</v>
      </c>
      <c r="C835" s="10"/>
      <c r="D835" s="10"/>
      <c r="E835" s="18" t="s">
        <v>183</v>
      </c>
      <c r="F835" s="18" t="s">
        <v>249</v>
      </c>
      <c r="G835" s="12" t="s">
        <v>439</v>
      </c>
      <c r="H835" s="13">
        <v>9.7000000000000003E-3</v>
      </c>
      <c r="I835" s="13">
        <v>8.6999999999999994E-3</v>
      </c>
      <c r="J835" s="13">
        <v>2.98</v>
      </c>
      <c r="K835" s="13">
        <v>4.72</v>
      </c>
      <c r="L835" s="13">
        <v>0.60899999999999999</v>
      </c>
      <c r="M835" s="13">
        <v>283</v>
      </c>
      <c r="N835" s="13">
        <v>3.56</v>
      </c>
      <c r="O835" s="13">
        <v>1.1100000000000001</v>
      </c>
      <c r="P835" s="13">
        <v>0.17299999999999999</v>
      </c>
      <c r="Q835" s="13">
        <v>1.96</v>
      </c>
      <c r="R835" s="13">
        <v>0.41199999999999998</v>
      </c>
      <c r="S835" s="13">
        <v>3.17</v>
      </c>
      <c r="T835" s="13">
        <v>28.6</v>
      </c>
      <c r="U835" s="13">
        <v>0.91500000000000004</v>
      </c>
      <c r="V835" s="13">
        <v>3.32</v>
      </c>
      <c r="W835" s="13">
        <v>0.626</v>
      </c>
      <c r="X835" s="13">
        <v>4.17</v>
      </c>
      <c r="Y835" s="13">
        <v>0.74399999999999999</v>
      </c>
      <c r="Z835" s="13">
        <v>163.19999999999999</v>
      </c>
      <c r="AA835" s="13"/>
      <c r="AB835" s="13"/>
      <c r="AC835" s="14">
        <v>7.5000000000000009</v>
      </c>
      <c r="AD835" s="14">
        <v>3.0728241563055061</v>
      </c>
      <c r="AE835" s="14">
        <v>9.849246231155778</v>
      </c>
      <c r="AF835" s="14">
        <v>11.412742382271468</v>
      </c>
      <c r="AG835" s="15">
        <v>0.35423143061827417</v>
      </c>
      <c r="AH835" s="15">
        <v>0.35752431160561898</v>
      </c>
      <c r="AI835" s="15">
        <v>0.3562051504502689</v>
      </c>
      <c r="AJ835" s="41">
        <f t="shared" si="24"/>
        <v>11.869</v>
      </c>
      <c r="AK835" s="44">
        <f t="shared" si="25"/>
        <v>9.895104895104895</v>
      </c>
      <c r="AL835" s="10"/>
      <c r="AM835" s="10"/>
    </row>
    <row r="836" spans="1:39" s="16" customFormat="1" ht="19" customHeight="1">
      <c r="A836" s="9" t="s">
        <v>900</v>
      </c>
      <c r="B836" s="10" t="s">
        <v>1361</v>
      </c>
      <c r="C836" s="10"/>
      <c r="D836" s="10"/>
      <c r="E836" s="18" t="s">
        <v>183</v>
      </c>
      <c r="F836" s="18" t="s">
        <v>249</v>
      </c>
      <c r="G836" s="12" t="s">
        <v>439</v>
      </c>
      <c r="H836" s="13">
        <v>1E-3</v>
      </c>
      <c r="I836" s="13">
        <v>1.1999999999999999E-3</v>
      </c>
      <c r="J836" s="13">
        <v>0.03</v>
      </c>
      <c r="K836" s="13">
        <v>0.221</v>
      </c>
      <c r="L836" s="13">
        <v>4.2999999999999997E-2</v>
      </c>
      <c r="M836" s="13">
        <v>205.1</v>
      </c>
      <c r="N836" s="13">
        <v>0.54</v>
      </c>
      <c r="O836" s="13">
        <v>0.53</v>
      </c>
      <c r="P836" s="13">
        <v>0.17899999999999999</v>
      </c>
      <c r="Q836" s="13">
        <v>1.19</v>
      </c>
      <c r="R836" s="13">
        <v>0.253</v>
      </c>
      <c r="S836" s="13">
        <v>2.75</v>
      </c>
      <c r="T836" s="13">
        <v>22.5</v>
      </c>
      <c r="U836" s="13">
        <v>0.68799999999999994</v>
      </c>
      <c r="V836" s="13">
        <v>2.67</v>
      </c>
      <c r="W836" s="13">
        <v>0.45800000000000002</v>
      </c>
      <c r="X836" s="13">
        <v>3.13</v>
      </c>
      <c r="Y836" s="13">
        <v>0.57299999999999995</v>
      </c>
      <c r="Z836" s="13">
        <v>155</v>
      </c>
      <c r="AA836" s="13"/>
      <c r="AB836" s="13"/>
      <c r="AC836" s="14">
        <v>3.5810810810810816</v>
      </c>
      <c r="AD836" s="14">
        <v>3.1793960923623446</v>
      </c>
      <c r="AE836" s="14">
        <v>5.9798994974874367</v>
      </c>
      <c r="AF836" s="14">
        <v>7.0083102493074794</v>
      </c>
      <c r="AG836" s="15">
        <v>0.66507740837569351</v>
      </c>
      <c r="AH836" s="15">
        <v>0.68705359521694231</v>
      </c>
      <c r="AI836" s="15">
        <v>0.70979144456991505</v>
      </c>
      <c r="AJ836" s="41">
        <f t="shared" si="24"/>
        <v>0.83400000000000007</v>
      </c>
      <c r="AK836" s="44">
        <f t="shared" si="25"/>
        <v>9.1155555555555559</v>
      </c>
      <c r="AL836" s="10"/>
      <c r="AM836" s="10"/>
    </row>
    <row r="837" spans="1:39" s="16" customFormat="1" ht="19" customHeight="1">
      <c r="A837" s="9" t="s">
        <v>901</v>
      </c>
      <c r="B837" s="10" t="s">
        <v>1361</v>
      </c>
      <c r="C837" s="10"/>
      <c r="D837" s="10"/>
      <c r="E837" s="18" t="s">
        <v>183</v>
      </c>
      <c r="F837" s="18" t="s">
        <v>249</v>
      </c>
      <c r="G837" s="12" t="s">
        <v>439</v>
      </c>
      <c r="H837" s="13">
        <v>1.34</v>
      </c>
      <c r="I837" s="13">
        <v>3.6499999999999998E-2</v>
      </c>
      <c r="J837" s="13">
        <v>1.97</v>
      </c>
      <c r="K837" s="13">
        <v>9.0500000000000007</v>
      </c>
      <c r="L837" s="13">
        <v>2.25</v>
      </c>
      <c r="M837" s="13">
        <v>1712</v>
      </c>
      <c r="N837" s="13">
        <v>20.9</v>
      </c>
      <c r="O837" s="13">
        <v>16.12</v>
      </c>
      <c r="P837" s="13">
        <v>3.62</v>
      </c>
      <c r="Q837" s="13">
        <v>20.28</v>
      </c>
      <c r="R837" s="13">
        <v>2.0950000000000002</v>
      </c>
      <c r="S837" s="13">
        <v>10.78</v>
      </c>
      <c r="T837" s="13">
        <v>52.2</v>
      </c>
      <c r="U837" s="13">
        <v>1.9530000000000001</v>
      </c>
      <c r="V837" s="13">
        <v>4.5599999999999996</v>
      </c>
      <c r="W837" s="13">
        <v>0.56499999999999995</v>
      </c>
      <c r="X837" s="13">
        <v>3.12</v>
      </c>
      <c r="Y837" s="13">
        <v>0.501</v>
      </c>
      <c r="Z837" s="13">
        <v>168.2</v>
      </c>
      <c r="AA837" s="13"/>
      <c r="AB837" s="13"/>
      <c r="AC837" s="14">
        <v>108.91891891891893</v>
      </c>
      <c r="AD837" s="14">
        <v>64.298401420959152</v>
      </c>
      <c r="AE837" s="14">
        <v>101.90954773869346</v>
      </c>
      <c r="AF837" s="14">
        <v>58.033240997229925</v>
      </c>
      <c r="AG837" s="15">
        <v>0.60995938964333896</v>
      </c>
      <c r="AH837" s="15">
        <v>0.61029677851999209</v>
      </c>
      <c r="AI837" s="15">
        <v>0.72818045743230797</v>
      </c>
      <c r="AJ837" s="41">
        <f t="shared" si="24"/>
        <v>34.17</v>
      </c>
      <c r="AK837" s="44">
        <f t="shared" si="25"/>
        <v>32.796934865900383</v>
      </c>
      <c r="AL837" s="10"/>
      <c r="AM837" s="10"/>
    </row>
    <row r="838" spans="1:39" s="16" customFormat="1" ht="19" customHeight="1">
      <c r="A838" s="9" t="s">
        <v>902</v>
      </c>
      <c r="B838" s="10" t="s">
        <v>1361</v>
      </c>
      <c r="C838" s="10"/>
      <c r="D838" s="10"/>
      <c r="E838" s="18" t="s">
        <v>183</v>
      </c>
      <c r="F838" s="18" t="s">
        <v>249</v>
      </c>
      <c r="G838" s="12" t="s">
        <v>439</v>
      </c>
      <c r="H838" s="13">
        <v>0.126</v>
      </c>
      <c r="I838" s="13">
        <v>2.2000000000000001E-3</v>
      </c>
      <c r="J838" s="13">
        <v>0.71</v>
      </c>
      <c r="K838" s="13">
        <v>1.81</v>
      </c>
      <c r="L838" s="13">
        <v>0.39</v>
      </c>
      <c r="M838" s="13">
        <v>581</v>
      </c>
      <c r="N838" s="13">
        <v>2.5099999999999998</v>
      </c>
      <c r="O838" s="13">
        <v>1.55</v>
      </c>
      <c r="P838" s="13">
        <v>0.377</v>
      </c>
      <c r="Q838" s="13">
        <v>2.61</v>
      </c>
      <c r="R838" s="13">
        <v>0.53800000000000003</v>
      </c>
      <c r="S838" s="13">
        <v>4.6399999999999997</v>
      </c>
      <c r="T838" s="13">
        <v>38.5</v>
      </c>
      <c r="U838" s="13">
        <v>1.32</v>
      </c>
      <c r="V838" s="13">
        <v>4.53</v>
      </c>
      <c r="W838" s="13">
        <v>0.68300000000000005</v>
      </c>
      <c r="X838" s="13">
        <v>4.2</v>
      </c>
      <c r="Y838" s="13">
        <v>0.73199999999999998</v>
      </c>
      <c r="Z838" s="13">
        <v>177.1</v>
      </c>
      <c r="AA838" s="13"/>
      <c r="AB838" s="13"/>
      <c r="AC838" s="14">
        <v>10.472972972972974</v>
      </c>
      <c r="AD838" s="14">
        <v>6.696269982238011</v>
      </c>
      <c r="AE838" s="14">
        <v>13.115577889447234</v>
      </c>
      <c r="AF838" s="14">
        <v>14.903047091412743</v>
      </c>
      <c r="AG838" s="15">
        <v>0.56775594408438945</v>
      </c>
      <c r="AH838" s="15">
        <v>0.57135265325332807</v>
      </c>
      <c r="AI838" s="15">
        <v>0.56845306049505684</v>
      </c>
      <c r="AJ838" s="41">
        <f t="shared" ref="AJ838:AJ901" si="26">J838+K838+L838+N838</f>
        <v>5.42</v>
      </c>
      <c r="AK838" s="44">
        <f t="shared" ref="AK838:AK901" si="27">M838/T838</f>
        <v>15.090909090909092</v>
      </c>
      <c r="AL838" s="10"/>
      <c r="AM838" s="10"/>
    </row>
    <row r="839" spans="1:39" s="16" customFormat="1" ht="19" customHeight="1">
      <c r="A839" s="9" t="s">
        <v>903</v>
      </c>
      <c r="B839" s="10" t="s">
        <v>1361</v>
      </c>
      <c r="C839" s="10"/>
      <c r="D839" s="10"/>
      <c r="E839" s="18" t="s">
        <v>183</v>
      </c>
      <c r="F839" s="18" t="s">
        <v>249</v>
      </c>
      <c r="G839" s="12" t="s">
        <v>439</v>
      </c>
      <c r="H839" s="13">
        <v>0.13800000000000001</v>
      </c>
      <c r="I839" s="13">
        <v>1.5100000000000001E-2</v>
      </c>
      <c r="J839" s="13">
        <v>1.46</v>
      </c>
      <c r="K839" s="13">
        <v>3.79</v>
      </c>
      <c r="L839" s="13">
        <v>0.71</v>
      </c>
      <c r="M839" s="13">
        <v>484</v>
      </c>
      <c r="N839" s="13">
        <v>5.97</v>
      </c>
      <c r="O839" s="13">
        <v>3.81</v>
      </c>
      <c r="P839" s="13">
        <v>0.76</v>
      </c>
      <c r="Q839" s="13">
        <v>4.9000000000000004</v>
      </c>
      <c r="R839" s="13">
        <v>0.9</v>
      </c>
      <c r="S839" s="13">
        <v>5.96</v>
      </c>
      <c r="T839" s="13">
        <v>44</v>
      </c>
      <c r="U839" s="13">
        <v>1.51</v>
      </c>
      <c r="V839" s="13">
        <v>4.5999999999999996</v>
      </c>
      <c r="W839" s="13">
        <v>0.75</v>
      </c>
      <c r="X839" s="13">
        <v>5.37</v>
      </c>
      <c r="Y839" s="13">
        <v>0.94299999999999995</v>
      </c>
      <c r="Z839" s="13">
        <v>231.3</v>
      </c>
      <c r="AA839" s="13"/>
      <c r="AB839" s="13"/>
      <c r="AC839" s="14">
        <v>25.743243243243246</v>
      </c>
      <c r="AD839" s="14">
        <v>13.499111900532862</v>
      </c>
      <c r="AE839" s="14">
        <v>24.623115577889447</v>
      </c>
      <c r="AF839" s="14">
        <v>24.930747922437675</v>
      </c>
      <c r="AG839" s="15">
        <v>0.53603683952904335</v>
      </c>
      <c r="AH839" s="15">
        <v>0.53616945058015897</v>
      </c>
      <c r="AI839" s="15">
        <v>0.53001064003074871</v>
      </c>
      <c r="AJ839" s="41">
        <f t="shared" si="26"/>
        <v>11.93</v>
      </c>
      <c r="AK839" s="44">
        <f t="shared" si="27"/>
        <v>11</v>
      </c>
      <c r="AL839" s="10"/>
      <c r="AM839" s="10"/>
    </row>
    <row r="840" spans="1:39" s="16" customFormat="1" ht="19" customHeight="1">
      <c r="A840" s="9" t="s">
        <v>904</v>
      </c>
      <c r="B840" s="10" t="s">
        <v>1361</v>
      </c>
      <c r="C840" s="10"/>
      <c r="D840" s="10"/>
      <c r="E840" s="18" t="s">
        <v>183</v>
      </c>
      <c r="F840" s="18" t="s">
        <v>249</v>
      </c>
      <c r="G840" s="12" t="s">
        <v>439</v>
      </c>
      <c r="H840" s="13">
        <v>3.7999999999999999E-2</v>
      </c>
      <c r="I840" s="13">
        <v>6.1999999999999998E-3</v>
      </c>
      <c r="J840" s="13">
        <v>0.40400000000000003</v>
      </c>
      <c r="K840" s="13">
        <v>1.22</v>
      </c>
      <c r="L840" s="13">
        <v>0.20200000000000001</v>
      </c>
      <c r="M840" s="13">
        <v>183.5</v>
      </c>
      <c r="N840" s="13">
        <v>0.7</v>
      </c>
      <c r="O840" s="13">
        <v>0.32</v>
      </c>
      <c r="P840" s="13">
        <v>8.1000000000000003E-2</v>
      </c>
      <c r="Q840" s="13">
        <v>0.68</v>
      </c>
      <c r="R840" s="13">
        <v>0.18</v>
      </c>
      <c r="S840" s="13">
        <v>1.63</v>
      </c>
      <c r="T840" s="13">
        <v>17.309999999999999</v>
      </c>
      <c r="U840" s="13">
        <v>0.56699999999999995</v>
      </c>
      <c r="V840" s="13">
        <v>2.62</v>
      </c>
      <c r="W840" s="13">
        <v>0.44400000000000001</v>
      </c>
      <c r="X840" s="13">
        <v>3.97</v>
      </c>
      <c r="Y840" s="13">
        <v>0.58099999999999996</v>
      </c>
      <c r="Z840" s="13">
        <v>193</v>
      </c>
      <c r="AA840" s="13"/>
      <c r="AB840" s="13"/>
      <c r="AC840" s="14">
        <v>2.1621621621621623</v>
      </c>
      <c r="AD840" s="14">
        <v>1.4387211367673181</v>
      </c>
      <c r="AE840" s="14">
        <v>3.4170854271356785</v>
      </c>
      <c r="AF840" s="14">
        <v>4.9861495844875341</v>
      </c>
      <c r="AG840" s="15">
        <v>0.51574020107194551</v>
      </c>
      <c r="AH840" s="15">
        <v>0.52930326680063133</v>
      </c>
      <c r="AI840" s="15">
        <v>0.50365059079269581</v>
      </c>
      <c r="AJ840" s="41">
        <f t="shared" si="26"/>
        <v>2.5259999999999998</v>
      </c>
      <c r="AK840" s="44">
        <f t="shared" si="27"/>
        <v>10.600808781051416</v>
      </c>
      <c r="AL840" s="10"/>
      <c r="AM840" s="10"/>
    </row>
    <row r="841" spans="1:39" s="16" customFormat="1" ht="19" customHeight="1">
      <c r="A841" s="9" t="s">
        <v>905</v>
      </c>
      <c r="B841" s="10" t="s">
        <v>1361</v>
      </c>
      <c r="C841" s="10"/>
      <c r="D841" s="10"/>
      <c r="E841" s="18" t="s">
        <v>183</v>
      </c>
      <c r="F841" s="18" t="s">
        <v>249</v>
      </c>
      <c r="G841" s="12" t="s">
        <v>439</v>
      </c>
      <c r="H841" s="13">
        <v>0.55200000000000005</v>
      </c>
      <c r="I841" s="13">
        <v>2.6800000000000001E-2</v>
      </c>
      <c r="J841" s="13">
        <v>4.1500000000000004</v>
      </c>
      <c r="K841" s="13">
        <v>9.7100000000000009</v>
      </c>
      <c r="L841" s="13">
        <v>1.58</v>
      </c>
      <c r="M841" s="13">
        <v>148.5</v>
      </c>
      <c r="N841" s="13">
        <v>7.76</v>
      </c>
      <c r="O841" s="13">
        <v>1.84</v>
      </c>
      <c r="P841" s="13">
        <v>0.313</v>
      </c>
      <c r="Q841" s="13">
        <v>1.79</v>
      </c>
      <c r="R841" s="13">
        <v>0.26200000000000001</v>
      </c>
      <c r="S841" s="13">
        <v>1.95</v>
      </c>
      <c r="T841" s="13">
        <v>20.9</v>
      </c>
      <c r="U841" s="13">
        <v>0.66800000000000004</v>
      </c>
      <c r="V841" s="13">
        <v>2.68</v>
      </c>
      <c r="W841" s="13">
        <v>0.45</v>
      </c>
      <c r="X841" s="13">
        <v>3.77</v>
      </c>
      <c r="Y841" s="13">
        <v>0.58099999999999996</v>
      </c>
      <c r="Z841" s="13">
        <v>186.2</v>
      </c>
      <c r="AA841" s="13"/>
      <c r="AB841" s="13"/>
      <c r="AC841" s="14">
        <v>12.432432432432433</v>
      </c>
      <c r="AD841" s="14">
        <v>5.5595026642984022</v>
      </c>
      <c r="AE841" s="14">
        <v>8.9949748743718594</v>
      </c>
      <c r="AF841" s="14">
        <v>7.2576177285318559</v>
      </c>
      <c r="AG841" s="15">
        <v>0.51891510575177968</v>
      </c>
      <c r="AH841" s="15">
        <v>0.5257241307497944</v>
      </c>
      <c r="AI841" s="15">
        <v>0.53505756393280246</v>
      </c>
      <c r="AJ841" s="41">
        <f t="shared" si="26"/>
        <v>23.200000000000003</v>
      </c>
      <c r="AK841" s="44">
        <f t="shared" si="27"/>
        <v>7.1052631578947372</v>
      </c>
      <c r="AL841" s="10"/>
      <c r="AM841" s="10"/>
    </row>
    <row r="842" spans="1:39" s="16" customFormat="1" ht="19" customHeight="1">
      <c r="A842" s="9" t="s">
        <v>906</v>
      </c>
      <c r="B842" s="10" t="s">
        <v>1361</v>
      </c>
      <c r="C842" s="10"/>
      <c r="D842" s="10"/>
      <c r="E842" s="18" t="s">
        <v>183</v>
      </c>
      <c r="F842" s="18" t="s">
        <v>249</v>
      </c>
      <c r="G842" s="12" t="s">
        <v>439</v>
      </c>
      <c r="H842" s="13">
        <v>1.2999999999999999E-2</v>
      </c>
      <c r="I842" s="13">
        <v>1.01E-2</v>
      </c>
      <c r="J842" s="13">
        <v>0.1</v>
      </c>
      <c r="K842" s="13">
        <v>0.41</v>
      </c>
      <c r="L842" s="13">
        <v>9.5000000000000001E-2</v>
      </c>
      <c r="M842" s="13">
        <v>294.10000000000002</v>
      </c>
      <c r="N842" s="13">
        <v>0.88</v>
      </c>
      <c r="O842" s="13">
        <v>1.77</v>
      </c>
      <c r="P842" s="13">
        <v>0.44</v>
      </c>
      <c r="Q842" s="13">
        <v>3.78</v>
      </c>
      <c r="R842" s="13">
        <v>0.79</v>
      </c>
      <c r="S842" s="13">
        <v>7.52</v>
      </c>
      <c r="T842" s="13">
        <v>51.5</v>
      </c>
      <c r="U842" s="13">
        <v>1.97</v>
      </c>
      <c r="V842" s="13">
        <v>5.34</v>
      </c>
      <c r="W842" s="13">
        <v>0.94</v>
      </c>
      <c r="X842" s="13">
        <v>5.84</v>
      </c>
      <c r="Y842" s="13">
        <v>0.93</v>
      </c>
      <c r="Z842" s="13">
        <v>210.3</v>
      </c>
      <c r="AA842" s="13"/>
      <c r="AB842" s="13"/>
      <c r="AC842" s="14">
        <v>11.95945945945946</v>
      </c>
      <c r="AD842" s="14">
        <v>7.8152753108348145</v>
      </c>
      <c r="AE842" s="14">
        <v>18.994974874371856</v>
      </c>
      <c r="AF842" s="14">
        <v>21.883656509695292</v>
      </c>
      <c r="AG842" s="15">
        <v>0.50495352145997341</v>
      </c>
      <c r="AH842" s="15">
        <v>0.51852433648930463</v>
      </c>
      <c r="AI842" s="15">
        <v>0.53427307061050533</v>
      </c>
      <c r="AJ842" s="41">
        <f t="shared" si="26"/>
        <v>1.4849999999999999</v>
      </c>
      <c r="AK842" s="44">
        <f t="shared" si="27"/>
        <v>5.7106796116504857</v>
      </c>
      <c r="AL842" s="10"/>
      <c r="AM842" s="10"/>
    </row>
    <row r="843" spans="1:39" s="16" customFormat="1" ht="19" customHeight="1">
      <c r="A843" s="9" t="s">
        <v>907</v>
      </c>
      <c r="B843" s="10" t="s">
        <v>1361</v>
      </c>
      <c r="C843" s="10"/>
      <c r="D843" s="10"/>
      <c r="E843" s="18" t="s">
        <v>183</v>
      </c>
      <c r="F843" s="18" t="s">
        <v>249</v>
      </c>
      <c r="G843" s="12" t="s">
        <v>439</v>
      </c>
      <c r="H843" s="13">
        <v>1E-3</v>
      </c>
      <c r="I843" s="13">
        <v>3.0999999999999999E-3</v>
      </c>
      <c r="J843" s="13">
        <v>0.19600000000000001</v>
      </c>
      <c r="K843" s="13">
        <v>0.93400000000000005</v>
      </c>
      <c r="L843" s="13">
        <v>0.20699999999999999</v>
      </c>
      <c r="M843" s="13">
        <v>297.60000000000002</v>
      </c>
      <c r="N843" s="13">
        <v>1.77</v>
      </c>
      <c r="O843" s="13">
        <v>1.23</v>
      </c>
      <c r="P843" s="13">
        <v>0.498</v>
      </c>
      <c r="Q843" s="13">
        <v>2.63</v>
      </c>
      <c r="R843" s="13">
        <v>0.58399999999999996</v>
      </c>
      <c r="S843" s="13">
        <v>4.4400000000000004</v>
      </c>
      <c r="T843" s="13">
        <v>39.229999999999997</v>
      </c>
      <c r="U843" s="13">
        <v>1.2529999999999999</v>
      </c>
      <c r="V843" s="13">
        <v>4.12</v>
      </c>
      <c r="W843" s="13">
        <v>0.67200000000000004</v>
      </c>
      <c r="X843" s="13">
        <v>4.7300000000000004</v>
      </c>
      <c r="Y843" s="13">
        <v>0.85499999999999998</v>
      </c>
      <c r="Z843" s="13">
        <v>184.5</v>
      </c>
      <c r="AA843" s="13"/>
      <c r="AB843" s="13"/>
      <c r="AC843" s="14">
        <v>8.3108108108108105</v>
      </c>
      <c r="AD843" s="14">
        <v>8.8454706927175852</v>
      </c>
      <c r="AE843" s="14">
        <v>13.216080402010048</v>
      </c>
      <c r="AF843" s="14">
        <v>16.177285318559555</v>
      </c>
      <c r="AG843" s="15">
        <v>0.82180660507537218</v>
      </c>
      <c r="AH843" s="15">
        <v>0.84401062496373724</v>
      </c>
      <c r="AI843" s="15">
        <v>0.85242622475019159</v>
      </c>
      <c r="AJ843" s="41">
        <f t="shared" si="26"/>
        <v>3.1070000000000002</v>
      </c>
      <c r="AK843" s="44">
        <f t="shared" si="27"/>
        <v>7.5860310986489941</v>
      </c>
      <c r="AL843" s="10"/>
      <c r="AM843" s="10"/>
    </row>
    <row r="844" spans="1:39" s="16" customFormat="1" ht="19" customHeight="1">
      <c r="A844" s="9" t="s">
        <v>908</v>
      </c>
      <c r="B844" s="10" t="s">
        <v>1361</v>
      </c>
      <c r="C844" s="10"/>
      <c r="D844" s="10"/>
      <c r="E844" s="18" t="s">
        <v>183</v>
      </c>
      <c r="F844" s="18" t="s">
        <v>249</v>
      </c>
      <c r="G844" s="12" t="s">
        <v>439</v>
      </c>
      <c r="H844" s="13">
        <v>5.3999999999999999E-2</v>
      </c>
      <c r="I844" s="13">
        <v>8.3000000000000001E-3</v>
      </c>
      <c r="J844" s="13">
        <v>0.66300000000000003</v>
      </c>
      <c r="K844" s="13">
        <v>2.76</v>
      </c>
      <c r="L844" s="13">
        <v>0.57699999999999996</v>
      </c>
      <c r="M844" s="13">
        <v>542.5</v>
      </c>
      <c r="N844" s="13">
        <v>5</v>
      </c>
      <c r="O844" s="13">
        <v>4.6900000000000004</v>
      </c>
      <c r="P844" s="13">
        <v>1.3029999999999999</v>
      </c>
      <c r="Q844" s="13">
        <v>8.7899999999999991</v>
      </c>
      <c r="R844" s="13">
        <v>1.411</v>
      </c>
      <c r="S844" s="13">
        <v>10.41</v>
      </c>
      <c r="T844" s="13">
        <v>72.599999999999994</v>
      </c>
      <c r="U844" s="13">
        <v>2.36</v>
      </c>
      <c r="V844" s="13">
        <v>7.03</v>
      </c>
      <c r="W844" s="13">
        <v>0.97699999999999998</v>
      </c>
      <c r="X844" s="13">
        <v>6.13</v>
      </c>
      <c r="Y844" s="13">
        <v>1.0960000000000001</v>
      </c>
      <c r="Z844" s="13">
        <v>232.2</v>
      </c>
      <c r="AA844" s="13"/>
      <c r="AB844" s="13"/>
      <c r="AC844" s="14">
        <v>31.689189189189193</v>
      </c>
      <c r="AD844" s="14">
        <v>23.143872113676732</v>
      </c>
      <c r="AE844" s="14">
        <v>44.170854271356781</v>
      </c>
      <c r="AF844" s="14">
        <v>39.085872576177287</v>
      </c>
      <c r="AG844" s="15">
        <v>0.61017291996974987</v>
      </c>
      <c r="AH844" s="15">
        <v>0.61860376350883239</v>
      </c>
      <c r="AI844" s="15">
        <v>0.68101289000528431</v>
      </c>
      <c r="AJ844" s="41">
        <f t="shared" si="26"/>
        <v>9</v>
      </c>
      <c r="AK844" s="44">
        <f t="shared" si="27"/>
        <v>7.4724517906336096</v>
      </c>
      <c r="AL844" s="10"/>
      <c r="AM844" s="10"/>
    </row>
    <row r="845" spans="1:39" s="16" customFormat="1" ht="19" customHeight="1">
      <c r="A845" s="9" t="s">
        <v>909</v>
      </c>
      <c r="B845" s="10" t="s">
        <v>1361</v>
      </c>
      <c r="C845" s="10"/>
      <c r="D845" s="10"/>
      <c r="E845" s="18" t="s">
        <v>183</v>
      </c>
      <c r="F845" s="18" t="s">
        <v>249</v>
      </c>
      <c r="G845" s="12" t="s">
        <v>439</v>
      </c>
      <c r="H845" s="13">
        <v>0.27400000000000002</v>
      </c>
      <c r="I845" s="13">
        <v>1.21E-2</v>
      </c>
      <c r="J845" s="13">
        <v>1.23</v>
      </c>
      <c r="K845" s="13">
        <v>5.28</v>
      </c>
      <c r="L845" s="13">
        <v>1.35</v>
      </c>
      <c r="M845" s="13">
        <v>858</v>
      </c>
      <c r="N845" s="13">
        <v>10.4</v>
      </c>
      <c r="O845" s="13">
        <v>8.39</v>
      </c>
      <c r="P845" s="13">
        <v>2.27</v>
      </c>
      <c r="Q845" s="13">
        <v>11.63</v>
      </c>
      <c r="R845" s="13">
        <v>1.49</v>
      </c>
      <c r="S845" s="13">
        <v>9.3000000000000007</v>
      </c>
      <c r="T845" s="13">
        <v>54.4</v>
      </c>
      <c r="U845" s="13">
        <v>1.9990000000000001</v>
      </c>
      <c r="V845" s="13">
        <v>5.05</v>
      </c>
      <c r="W845" s="13">
        <v>0.74399999999999999</v>
      </c>
      <c r="X845" s="13">
        <v>4.1100000000000003</v>
      </c>
      <c r="Y845" s="13">
        <v>0.62</v>
      </c>
      <c r="Z845" s="13">
        <v>220.5</v>
      </c>
      <c r="AA845" s="13"/>
      <c r="AB845" s="13"/>
      <c r="AC845" s="14">
        <v>56.689189189189193</v>
      </c>
      <c r="AD845" s="14">
        <v>40.319715808170521</v>
      </c>
      <c r="AE845" s="14">
        <v>58.442211055276381</v>
      </c>
      <c r="AF845" s="14">
        <v>41.274238227146817</v>
      </c>
      <c r="AG845" s="15">
        <v>0.70041215033530724</v>
      </c>
      <c r="AH845" s="15">
        <v>0.70049335599369567</v>
      </c>
      <c r="AI845" s="15">
        <v>0.79060145642691659</v>
      </c>
      <c r="AJ845" s="41">
        <f t="shared" si="26"/>
        <v>18.259999999999998</v>
      </c>
      <c r="AK845" s="44">
        <f t="shared" si="27"/>
        <v>15.772058823529413</v>
      </c>
      <c r="AL845" s="10"/>
      <c r="AM845" s="10"/>
    </row>
    <row r="846" spans="1:39" s="16" customFormat="1" ht="19" customHeight="1">
      <c r="A846" s="9" t="s">
        <v>910</v>
      </c>
      <c r="B846" s="10" t="s">
        <v>1361</v>
      </c>
      <c r="C846" s="10"/>
      <c r="D846" s="10"/>
      <c r="E846" s="18" t="s">
        <v>183</v>
      </c>
      <c r="F846" s="18" t="s">
        <v>249</v>
      </c>
      <c r="G846" s="12" t="s">
        <v>439</v>
      </c>
      <c r="H846" s="13">
        <v>0.32500000000000001</v>
      </c>
      <c r="I846" s="13">
        <v>1.21E-2</v>
      </c>
      <c r="J846" s="13">
        <v>1.91</v>
      </c>
      <c r="K846" s="13">
        <v>6.82</v>
      </c>
      <c r="L846" s="13">
        <v>1.43</v>
      </c>
      <c r="M846" s="13">
        <v>744</v>
      </c>
      <c r="N846" s="13">
        <v>10.7</v>
      </c>
      <c r="O846" s="13">
        <v>6.89</v>
      </c>
      <c r="P846" s="13">
        <v>2.0099999999999998</v>
      </c>
      <c r="Q846" s="13">
        <v>10.33</v>
      </c>
      <c r="R846" s="13">
        <v>1.5</v>
      </c>
      <c r="S846" s="13">
        <v>8.6999999999999993</v>
      </c>
      <c r="T846" s="13">
        <v>52.4</v>
      </c>
      <c r="U846" s="13">
        <v>1.97</v>
      </c>
      <c r="V846" s="13">
        <v>5.2</v>
      </c>
      <c r="W846" s="13">
        <v>0.65900000000000003</v>
      </c>
      <c r="X846" s="13">
        <v>3.68</v>
      </c>
      <c r="Y846" s="13">
        <v>0.78200000000000003</v>
      </c>
      <c r="Z846" s="13">
        <v>231.6</v>
      </c>
      <c r="AA846" s="13"/>
      <c r="AB846" s="13"/>
      <c r="AC846" s="14">
        <v>46.554054054054056</v>
      </c>
      <c r="AD846" s="14">
        <v>35.701598579040848</v>
      </c>
      <c r="AE846" s="14">
        <v>51.909547738693462</v>
      </c>
      <c r="AF846" s="14">
        <v>41.551246537396125</v>
      </c>
      <c r="AG846" s="15">
        <v>0.72517352461243201</v>
      </c>
      <c r="AH846" s="15">
        <v>0.72624856413770233</v>
      </c>
      <c r="AI846" s="15">
        <v>0.79650402114589702</v>
      </c>
      <c r="AJ846" s="41">
        <f t="shared" si="26"/>
        <v>20.86</v>
      </c>
      <c r="AK846" s="44">
        <f t="shared" si="27"/>
        <v>14.198473282442748</v>
      </c>
      <c r="AL846" s="10"/>
      <c r="AM846" s="10"/>
    </row>
    <row r="847" spans="1:39" s="16" customFormat="1" ht="19" customHeight="1">
      <c r="A847" s="9" t="s">
        <v>911</v>
      </c>
      <c r="B847" s="10" t="s">
        <v>1361</v>
      </c>
      <c r="C847" s="10"/>
      <c r="D847" s="10"/>
      <c r="E847" s="18" t="s">
        <v>183</v>
      </c>
      <c r="F847" s="18" t="s">
        <v>249</v>
      </c>
      <c r="G847" s="12" t="s">
        <v>439</v>
      </c>
      <c r="H847" s="13">
        <v>4.3999999999999997E-2</v>
      </c>
      <c r="I847" s="13">
        <v>4.4999999999999997E-3</v>
      </c>
      <c r="J847" s="13">
        <v>0.437</v>
      </c>
      <c r="K847" s="13">
        <v>1.44</v>
      </c>
      <c r="L847" s="13">
        <v>0.2</v>
      </c>
      <c r="M847" s="13">
        <v>136.9</v>
      </c>
      <c r="N847" s="13">
        <v>1.2</v>
      </c>
      <c r="O847" s="13">
        <v>0.67</v>
      </c>
      <c r="P847" s="13">
        <v>0.13</v>
      </c>
      <c r="Q847" s="13">
        <v>1.1599999999999999</v>
      </c>
      <c r="R847" s="13">
        <v>0.24399999999999999</v>
      </c>
      <c r="S847" s="13">
        <v>1.77</v>
      </c>
      <c r="T847" s="13">
        <v>14.86</v>
      </c>
      <c r="U847" s="13">
        <v>0.52100000000000002</v>
      </c>
      <c r="V847" s="13">
        <v>1.96</v>
      </c>
      <c r="W847" s="13">
        <v>0.309</v>
      </c>
      <c r="X847" s="13">
        <v>2.19</v>
      </c>
      <c r="Y847" s="13">
        <v>0.378</v>
      </c>
      <c r="Z847" s="13">
        <v>180.2</v>
      </c>
      <c r="AA847" s="13"/>
      <c r="AB847" s="13"/>
      <c r="AC847" s="14">
        <v>4.5270270270270272</v>
      </c>
      <c r="AD847" s="14">
        <v>2.3090586145648313</v>
      </c>
      <c r="AE847" s="14">
        <v>5.8291457286432156</v>
      </c>
      <c r="AF847" s="14">
        <v>6.7590027700831019</v>
      </c>
      <c r="AG847" s="15">
        <v>0.44592894866504973</v>
      </c>
      <c r="AH847" s="15">
        <v>0.44949613044286141</v>
      </c>
      <c r="AI847" s="15">
        <v>0.44627102584544742</v>
      </c>
      <c r="AJ847" s="41">
        <f t="shared" si="26"/>
        <v>3.2770000000000001</v>
      </c>
      <c r="AK847" s="44">
        <f t="shared" si="27"/>
        <v>9.2126514131897714</v>
      </c>
      <c r="AL847" s="10"/>
      <c r="AM847" s="10"/>
    </row>
    <row r="848" spans="1:39" s="16" customFormat="1" ht="19" customHeight="1">
      <c r="A848" s="9" t="s">
        <v>912</v>
      </c>
      <c r="B848" s="10" t="s">
        <v>1358</v>
      </c>
      <c r="C848" s="10"/>
      <c r="D848" s="10"/>
      <c r="E848" s="18" t="s">
        <v>183</v>
      </c>
      <c r="F848" s="18" t="s">
        <v>249</v>
      </c>
      <c r="G848" s="12" t="s">
        <v>439</v>
      </c>
      <c r="H848" s="13">
        <v>0.25700000000000001</v>
      </c>
      <c r="I848" s="13">
        <v>7.28</v>
      </c>
      <c r="J848" s="13">
        <v>30.09</v>
      </c>
      <c r="K848" s="13">
        <v>127.5</v>
      </c>
      <c r="L848" s="13">
        <v>23.71</v>
      </c>
      <c r="M848" s="13">
        <v>242.5</v>
      </c>
      <c r="N848" s="13">
        <v>143</v>
      </c>
      <c r="O848" s="13">
        <v>33.32</v>
      </c>
      <c r="P848" s="13">
        <v>9.42</v>
      </c>
      <c r="Q848" s="13">
        <v>30</v>
      </c>
      <c r="R848" s="13">
        <v>3.63</v>
      </c>
      <c r="S848" s="13">
        <v>20.03</v>
      </c>
      <c r="T848" s="13">
        <v>105.3</v>
      </c>
      <c r="U848" s="13">
        <v>3.74</v>
      </c>
      <c r="V848" s="13">
        <v>9.7899999999999991</v>
      </c>
      <c r="W848" s="13">
        <v>1.1200000000000001</v>
      </c>
      <c r="X848" s="13">
        <v>6.48</v>
      </c>
      <c r="Y848" s="13">
        <v>0.97099999999999997</v>
      </c>
      <c r="Z848" s="13">
        <v>506.3</v>
      </c>
      <c r="AA848" s="13"/>
      <c r="AB848" s="13"/>
      <c r="AC848" s="14">
        <v>225.13513513513516</v>
      </c>
      <c r="AD848" s="14">
        <v>167.31793960923625</v>
      </c>
      <c r="AE848" s="14">
        <v>150.7537688442211</v>
      </c>
      <c r="AF848" s="14">
        <v>100.55401662049861</v>
      </c>
      <c r="AG848" s="15">
        <v>0.89025208160135161</v>
      </c>
      <c r="AH848" s="15">
        <v>0.90821104698042499</v>
      </c>
      <c r="AI848" s="15">
        <v>0.97225573943689558</v>
      </c>
      <c r="AJ848" s="41">
        <f t="shared" si="26"/>
        <v>324.3</v>
      </c>
      <c r="AK848" s="44">
        <f t="shared" si="27"/>
        <v>2.3029439696106362</v>
      </c>
      <c r="AL848" s="10"/>
      <c r="AM848" s="10"/>
    </row>
    <row r="849" spans="1:39" s="16" customFormat="1" ht="19" customHeight="1">
      <c r="A849" s="9" t="s">
        <v>913</v>
      </c>
      <c r="B849" s="10" t="s">
        <v>1358</v>
      </c>
      <c r="C849" s="10"/>
      <c r="D849" s="10"/>
      <c r="E849" s="18" t="s">
        <v>183</v>
      </c>
      <c r="F849" s="18" t="s">
        <v>249</v>
      </c>
      <c r="G849" s="12" t="s">
        <v>439</v>
      </c>
      <c r="H849" s="13">
        <v>0.73599999999999999</v>
      </c>
      <c r="I849" s="13">
        <v>11.19</v>
      </c>
      <c r="J849" s="13">
        <v>14.74</v>
      </c>
      <c r="K849" s="13">
        <v>87.4</v>
      </c>
      <c r="L849" s="13">
        <v>20.54</v>
      </c>
      <c r="M849" s="13">
        <v>182.3</v>
      </c>
      <c r="N849" s="13">
        <v>158</v>
      </c>
      <c r="O849" s="13">
        <v>50.7</v>
      </c>
      <c r="P849" s="13">
        <v>10.6</v>
      </c>
      <c r="Q849" s="13">
        <v>56.8</v>
      </c>
      <c r="R849" s="13">
        <v>7.23</v>
      </c>
      <c r="S849" s="13">
        <v>41.29</v>
      </c>
      <c r="T849" s="13">
        <v>201.8</v>
      </c>
      <c r="U849" s="13">
        <v>7.14</v>
      </c>
      <c r="V849" s="13">
        <v>17.66</v>
      </c>
      <c r="W849" s="13">
        <v>1.923</v>
      </c>
      <c r="X849" s="13">
        <v>10.58</v>
      </c>
      <c r="Y849" s="13">
        <v>1.57</v>
      </c>
      <c r="Z849" s="13">
        <v>423.6</v>
      </c>
      <c r="AA849" s="13"/>
      <c r="AB849" s="13"/>
      <c r="AC849" s="14">
        <v>342.56756756756761</v>
      </c>
      <c r="AD849" s="14">
        <v>188.27708703374779</v>
      </c>
      <c r="AE849" s="14">
        <v>285.42713567839195</v>
      </c>
      <c r="AF849" s="14">
        <v>200.27700831024933</v>
      </c>
      <c r="AG849" s="15">
        <v>0.59961361476645281</v>
      </c>
      <c r="AH849" s="15">
        <v>0.60211121817057123</v>
      </c>
      <c r="AI849" s="15">
        <v>0.65728886680261123</v>
      </c>
      <c r="AJ849" s="41">
        <f t="shared" si="26"/>
        <v>280.68</v>
      </c>
      <c r="AK849" s="44">
        <f t="shared" si="27"/>
        <v>0.90336967294350845</v>
      </c>
      <c r="AL849" s="10"/>
      <c r="AM849" s="10"/>
    </row>
    <row r="850" spans="1:39" s="16" customFormat="1" ht="19" customHeight="1">
      <c r="A850" s="9" t="s">
        <v>914</v>
      </c>
      <c r="B850" s="10" t="s">
        <v>1358</v>
      </c>
      <c r="C850" s="10"/>
      <c r="D850" s="10"/>
      <c r="E850" s="18" t="s">
        <v>183</v>
      </c>
      <c r="F850" s="18" t="s">
        <v>249</v>
      </c>
      <c r="G850" s="12" t="s">
        <v>439</v>
      </c>
      <c r="H850" s="13">
        <v>0.39700000000000002</v>
      </c>
      <c r="I850" s="13">
        <v>8.4</v>
      </c>
      <c r="J850" s="13">
        <v>30.66</v>
      </c>
      <c r="K850" s="13">
        <v>129.80000000000001</v>
      </c>
      <c r="L850" s="13">
        <v>24.84</v>
      </c>
      <c r="M850" s="13">
        <v>256.2</v>
      </c>
      <c r="N850" s="13">
        <v>164.1</v>
      </c>
      <c r="O850" s="13">
        <v>44.91</v>
      </c>
      <c r="P850" s="13">
        <v>10.93</v>
      </c>
      <c r="Q850" s="13">
        <v>49.1</v>
      </c>
      <c r="R850" s="13">
        <v>6.03</v>
      </c>
      <c r="S850" s="13">
        <v>35.11</v>
      </c>
      <c r="T850" s="13">
        <v>198.6</v>
      </c>
      <c r="U850" s="13">
        <v>6.87</v>
      </c>
      <c r="V850" s="13">
        <v>19.89</v>
      </c>
      <c r="W850" s="13">
        <v>2.476</v>
      </c>
      <c r="X850" s="13">
        <v>14.63</v>
      </c>
      <c r="Y850" s="13">
        <v>2.3029999999999999</v>
      </c>
      <c r="Z850" s="13">
        <v>562.1</v>
      </c>
      <c r="AA850" s="13"/>
      <c r="AB850" s="13"/>
      <c r="AC850" s="14">
        <v>303.44594594594594</v>
      </c>
      <c r="AD850" s="14">
        <v>194.13854351687391</v>
      </c>
      <c r="AE850" s="14">
        <v>246.73366834170855</v>
      </c>
      <c r="AF850" s="14">
        <v>167.03601108033243</v>
      </c>
      <c r="AG850" s="15">
        <v>0.70572786950034483</v>
      </c>
      <c r="AH850" s="15">
        <v>0.70950733464960269</v>
      </c>
      <c r="AI850" s="15">
        <v>0.78064605764828965</v>
      </c>
      <c r="AJ850" s="41">
        <f t="shared" si="26"/>
        <v>349.4</v>
      </c>
      <c r="AK850" s="44">
        <f t="shared" si="27"/>
        <v>1.2900302114803626</v>
      </c>
      <c r="AL850" s="10"/>
      <c r="AM850" s="10"/>
    </row>
    <row r="851" spans="1:39" s="16" customFormat="1" ht="19" customHeight="1">
      <c r="A851" s="9" t="s">
        <v>915</v>
      </c>
      <c r="B851" s="10" t="s">
        <v>1358</v>
      </c>
      <c r="C851" s="10"/>
      <c r="D851" s="10"/>
      <c r="E851" s="18" t="s">
        <v>183</v>
      </c>
      <c r="F851" s="18" t="s">
        <v>249</v>
      </c>
      <c r="G851" s="12" t="s">
        <v>439</v>
      </c>
      <c r="H851" s="13">
        <v>0.95099999999999996</v>
      </c>
      <c r="I851" s="13">
        <v>8.8849999999999998</v>
      </c>
      <c r="J851" s="13">
        <v>38.520000000000003</v>
      </c>
      <c r="K851" s="13">
        <v>170.2</v>
      </c>
      <c r="L851" s="13">
        <v>32.4</v>
      </c>
      <c r="M851" s="13">
        <v>231.1</v>
      </c>
      <c r="N851" s="13">
        <v>190.8</v>
      </c>
      <c r="O851" s="13">
        <v>47.6</v>
      </c>
      <c r="P851" s="13">
        <v>12.09</v>
      </c>
      <c r="Q851" s="13">
        <v>48.56</v>
      </c>
      <c r="R851" s="13">
        <v>6.38</v>
      </c>
      <c r="S851" s="13">
        <v>36.549999999999997</v>
      </c>
      <c r="T851" s="13">
        <v>191.2</v>
      </c>
      <c r="U851" s="13">
        <v>6.57</v>
      </c>
      <c r="V851" s="13">
        <v>16.86</v>
      </c>
      <c r="W851" s="13">
        <v>1.837</v>
      </c>
      <c r="X851" s="13">
        <v>10.210000000000001</v>
      </c>
      <c r="Y851" s="13">
        <v>1.4790000000000001</v>
      </c>
      <c r="Z851" s="13">
        <v>486.9</v>
      </c>
      <c r="AA851" s="13"/>
      <c r="AB851" s="13"/>
      <c r="AC851" s="14">
        <v>321.62162162162167</v>
      </c>
      <c r="AD851" s="14">
        <v>214.74245115452933</v>
      </c>
      <c r="AE851" s="14">
        <v>244.02010050251255</v>
      </c>
      <c r="AF851" s="14">
        <v>176.73130193905817</v>
      </c>
      <c r="AG851" s="15">
        <v>0.7592878769554503</v>
      </c>
      <c r="AH851" s="15">
        <v>0.76653587717972815</v>
      </c>
      <c r="AI851" s="15">
        <v>0.81517325491469805</v>
      </c>
      <c r="AJ851" s="41">
        <f t="shared" si="26"/>
        <v>431.92</v>
      </c>
      <c r="AK851" s="44">
        <f t="shared" si="27"/>
        <v>1.2086820083682008</v>
      </c>
      <c r="AL851" s="10"/>
      <c r="AM851" s="10"/>
    </row>
    <row r="852" spans="1:39" s="16" customFormat="1" ht="19" customHeight="1">
      <c r="A852" s="9" t="s">
        <v>916</v>
      </c>
      <c r="B852" s="10" t="s">
        <v>1358</v>
      </c>
      <c r="C852" s="10"/>
      <c r="D852" s="10"/>
      <c r="E852" s="18" t="s">
        <v>183</v>
      </c>
      <c r="F852" s="18" t="s">
        <v>249</v>
      </c>
      <c r="G852" s="12" t="s">
        <v>439</v>
      </c>
      <c r="H852" s="13">
        <v>0.77400000000000002</v>
      </c>
      <c r="I852" s="13">
        <v>15.78</v>
      </c>
      <c r="J852" s="13">
        <v>24.74</v>
      </c>
      <c r="K852" s="13">
        <v>106.5</v>
      </c>
      <c r="L852" s="13">
        <v>20.43</v>
      </c>
      <c r="M852" s="13">
        <v>147.4</v>
      </c>
      <c r="N852" s="13">
        <v>127.4</v>
      </c>
      <c r="O852" s="13">
        <v>31.76</v>
      </c>
      <c r="P852" s="13">
        <v>8.98</v>
      </c>
      <c r="Q852" s="13">
        <v>35.270000000000003</v>
      </c>
      <c r="R852" s="13">
        <v>4.92</v>
      </c>
      <c r="S852" s="13">
        <v>36.28</v>
      </c>
      <c r="T852" s="13">
        <v>266</v>
      </c>
      <c r="U852" s="13">
        <v>8.8000000000000007</v>
      </c>
      <c r="V852" s="13">
        <v>29.21</v>
      </c>
      <c r="W852" s="13">
        <v>3.6389999999999998</v>
      </c>
      <c r="X852" s="13">
        <v>21.26</v>
      </c>
      <c r="Y852" s="13">
        <v>3.48</v>
      </c>
      <c r="Z852" s="13">
        <v>509.1</v>
      </c>
      <c r="AA852" s="13"/>
      <c r="AB852" s="13"/>
      <c r="AC852" s="14">
        <v>214.59459459459461</v>
      </c>
      <c r="AD852" s="14">
        <v>159.50266429840144</v>
      </c>
      <c r="AE852" s="14">
        <v>177.23618090452263</v>
      </c>
      <c r="AF852" s="14">
        <v>136.28808864265929</v>
      </c>
      <c r="AG852" s="15">
        <v>0.81414056410053881</v>
      </c>
      <c r="AH852" s="15">
        <v>0.81786638936863132</v>
      </c>
      <c r="AI852" s="15">
        <v>0.86470795865554306</v>
      </c>
      <c r="AJ852" s="41">
        <f t="shared" si="26"/>
        <v>279.07000000000005</v>
      </c>
      <c r="AK852" s="44">
        <f t="shared" si="27"/>
        <v>0.5541353383458647</v>
      </c>
      <c r="AL852" s="10"/>
      <c r="AM852" s="10"/>
    </row>
    <row r="853" spans="1:39" s="16" customFormat="1" ht="19" customHeight="1">
      <c r="A853" s="9" t="s">
        <v>917</v>
      </c>
      <c r="B853" s="10" t="s">
        <v>1358</v>
      </c>
      <c r="C853" s="10"/>
      <c r="D853" s="10"/>
      <c r="E853" s="18" t="s">
        <v>183</v>
      </c>
      <c r="F853" s="18" t="s">
        <v>249</v>
      </c>
      <c r="G853" s="12" t="s">
        <v>439</v>
      </c>
      <c r="H853" s="13">
        <v>0.73199999999999998</v>
      </c>
      <c r="I853" s="13">
        <v>8.94</v>
      </c>
      <c r="J853" s="13">
        <v>29.35</v>
      </c>
      <c r="K853" s="13">
        <v>134.5</v>
      </c>
      <c r="L853" s="13">
        <v>28.77</v>
      </c>
      <c r="M853" s="13">
        <v>156.5</v>
      </c>
      <c r="N853" s="13">
        <v>189.2</v>
      </c>
      <c r="O853" s="13">
        <v>59.2</v>
      </c>
      <c r="P853" s="13">
        <v>12.39</v>
      </c>
      <c r="Q853" s="13">
        <v>72.8</v>
      </c>
      <c r="R853" s="13">
        <v>9.61</v>
      </c>
      <c r="S853" s="13">
        <v>68</v>
      </c>
      <c r="T853" s="13">
        <v>421.5</v>
      </c>
      <c r="U853" s="13">
        <v>15.37</v>
      </c>
      <c r="V853" s="13">
        <v>47.8</v>
      </c>
      <c r="W853" s="13">
        <v>5.93</v>
      </c>
      <c r="X853" s="13">
        <v>34</v>
      </c>
      <c r="Y853" s="13">
        <v>5.32</v>
      </c>
      <c r="Z853" s="13">
        <v>502.3</v>
      </c>
      <c r="AA853" s="13"/>
      <c r="AB853" s="13"/>
      <c r="AC853" s="14">
        <v>400.00000000000006</v>
      </c>
      <c r="AD853" s="14">
        <v>220.07104795737126</v>
      </c>
      <c r="AE853" s="14">
        <v>365.8291457286432</v>
      </c>
      <c r="AF853" s="14">
        <v>266.20498614958444</v>
      </c>
      <c r="AG853" s="15">
        <v>0.57472622760520842</v>
      </c>
      <c r="AH853" s="15">
        <v>0.57529919245558081</v>
      </c>
      <c r="AI853" s="15">
        <v>0.63016003363144935</v>
      </c>
      <c r="AJ853" s="41">
        <f t="shared" si="26"/>
        <v>381.82</v>
      </c>
      <c r="AK853" s="44">
        <f t="shared" si="27"/>
        <v>0.37129300118623965</v>
      </c>
      <c r="AL853" s="10"/>
      <c r="AM853" s="10"/>
    </row>
    <row r="854" spans="1:39" s="16" customFormat="1" ht="19" customHeight="1">
      <c r="A854" s="9" t="s">
        <v>918</v>
      </c>
      <c r="B854" s="10" t="s">
        <v>1358</v>
      </c>
      <c r="C854" s="10"/>
      <c r="D854" s="10"/>
      <c r="E854" s="18" t="s">
        <v>183</v>
      </c>
      <c r="F854" s="18" t="s">
        <v>249</v>
      </c>
      <c r="G854" s="12" t="s">
        <v>439</v>
      </c>
      <c r="H854" s="13">
        <v>0.70199999999999996</v>
      </c>
      <c r="I854" s="13">
        <v>9.61</v>
      </c>
      <c r="J854" s="13">
        <v>35.700000000000003</v>
      </c>
      <c r="K854" s="13">
        <v>149.69999999999999</v>
      </c>
      <c r="L854" s="13">
        <v>29.41</v>
      </c>
      <c r="M854" s="13">
        <v>172.5</v>
      </c>
      <c r="N854" s="13">
        <v>189.4</v>
      </c>
      <c r="O854" s="13">
        <v>50.7</v>
      </c>
      <c r="P854" s="13">
        <v>11.54</v>
      </c>
      <c r="Q854" s="13">
        <v>55.3</v>
      </c>
      <c r="R854" s="13">
        <v>6.87</v>
      </c>
      <c r="S854" s="13">
        <v>36.200000000000003</v>
      </c>
      <c r="T854" s="13">
        <v>182.7</v>
      </c>
      <c r="U854" s="13">
        <v>6.42</v>
      </c>
      <c r="V854" s="13">
        <v>18.54</v>
      </c>
      <c r="W854" s="13">
        <v>1.75</v>
      </c>
      <c r="X854" s="13">
        <v>10.6</v>
      </c>
      <c r="Y854" s="13">
        <v>1.6220000000000001</v>
      </c>
      <c r="Z854" s="13">
        <v>484.7</v>
      </c>
      <c r="AA854" s="13"/>
      <c r="AB854" s="13"/>
      <c r="AC854" s="14">
        <v>342.56756756756761</v>
      </c>
      <c r="AD854" s="14">
        <v>204.97335701598578</v>
      </c>
      <c r="AE854" s="14">
        <v>277.8894472361809</v>
      </c>
      <c r="AF854" s="14">
        <v>190.30470914127423</v>
      </c>
      <c r="AG854" s="15">
        <v>0.6607173490683127</v>
      </c>
      <c r="AH854" s="15">
        <v>0.66433673011379357</v>
      </c>
      <c r="AI854" s="15">
        <v>0.72786372079280093</v>
      </c>
      <c r="AJ854" s="41">
        <f t="shared" si="26"/>
        <v>404.21</v>
      </c>
      <c r="AK854" s="44">
        <f t="shared" si="27"/>
        <v>0.94417077175697872</v>
      </c>
      <c r="AL854" s="10"/>
      <c r="AM854" s="10"/>
    </row>
    <row r="855" spans="1:39" s="16" customFormat="1" ht="19" customHeight="1">
      <c r="A855" s="9" t="s">
        <v>919</v>
      </c>
      <c r="B855" s="10" t="s">
        <v>1358</v>
      </c>
      <c r="C855" s="10"/>
      <c r="D855" s="10"/>
      <c r="E855" s="18" t="s">
        <v>183</v>
      </c>
      <c r="F855" s="18" t="s">
        <v>249</v>
      </c>
      <c r="G855" s="12" t="s">
        <v>439</v>
      </c>
      <c r="H855" s="13">
        <v>0.53</v>
      </c>
      <c r="I855" s="13">
        <v>6.7969999999999997</v>
      </c>
      <c r="J855" s="13">
        <v>23.06</v>
      </c>
      <c r="K855" s="13">
        <v>118.1</v>
      </c>
      <c r="L855" s="13">
        <v>26.16</v>
      </c>
      <c r="M855" s="13">
        <v>119.1</v>
      </c>
      <c r="N855" s="13">
        <v>200</v>
      </c>
      <c r="O855" s="13">
        <v>65.900000000000006</v>
      </c>
      <c r="P855" s="13">
        <v>13.95</v>
      </c>
      <c r="Q855" s="13">
        <v>87.7</v>
      </c>
      <c r="R855" s="13">
        <v>11.84</v>
      </c>
      <c r="S855" s="13">
        <v>81.400000000000006</v>
      </c>
      <c r="T855" s="13">
        <v>516.5</v>
      </c>
      <c r="U855" s="13">
        <v>20.16</v>
      </c>
      <c r="V855" s="13">
        <v>69.5</v>
      </c>
      <c r="W855" s="13">
        <v>7.94</v>
      </c>
      <c r="X855" s="13">
        <v>45.62</v>
      </c>
      <c r="Y855" s="13">
        <v>7.06</v>
      </c>
      <c r="Z855" s="13">
        <v>443</v>
      </c>
      <c r="AA855" s="13"/>
      <c r="AB855" s="13"/>
      <c r="AC855" s="14">
        <v>445.27027027027032</v>
      </c>
      <c r="AD855" s="14">
        <v>247.7797513321492</v>
      </c>
      <c r="AE855" s="14">
        <v>440.7035175879397</v>
      </c>
      <c r="AF855" s="14">
        <v>327.97783933518002</v>
      </c>
      <c r="AG855" s="15">
        <v>0.55933878570187112</v>
      </c>
      <c r="AH855" s="15">
        <v>0.55934621635233106</v>
      </c>
      <c r="AI855" s="15">
        <v>0.61617184030698913</v>
      </c>
      <c r="AJ855" s="41">
        <f t="shared" si="26"/>
        <v>367.32</v>
      </c>
      <c r="AK855" s="44">
        <f t="shared" si="27"/>
        <v>0.23059051306873185</v>
      </c>
      <c r="AL855" s="10"/>
      <c r="AM855" s="10"/>
    </row>
    <row r="856" spans="1:39" s="16" customFormat="1" ht="19" customHeight="1">
      <c r="A856" s="9" t="s">
        <v>920</v>
      </c>
      <c r="B856" s="10" t="s">
        <v>1358</v>
      </c>
      <c r="C856" s="10"/>
      <c r="D856" s="10"/>
      <c r="E856" s="18" t="s">
        <v>183</v>
      </c>
      <c r="F856" s="18" t="s">
        <v>249</v>
      </c>
      <c r="G856" s="12" t="s">
        <v>439</v>
      </c>
      <c r="H856" s="13">
        <v>0.46700000000000003</v>
      </c>
      <c r="I856" s="13">
        <v>7.194</v>
      </c>
      <c r="J856" s="13">
        <v>26.65</v>
      </c>
      <c r="K856" s="13">
        <v>109.9</v>
      </c>
      <c r="L856" s="13">
        <v>19.79</v>
      </c>
      <c r="M856" s="13">
        <v>268.89999999999998</v>
      </c>
      <c r="N856" s="13">
        <v>121.7</v>
      </c>
      <c r="O856" s="13">
        <v>29.35</v>
      </c>
      <c r="P856" s="13">
        <v>7.22</v>
      </c>
      <c r="Q856" s="13">
        <v>32.79</v>
      </c>
      <c r="R856" s="13">
        <v>4.03</v>
      </c>
      <c r="S856" s="13">
        <v>23.49</v>
      </c>
      <c r="T856" s="13">
        <v>135.4</v>
      </c>
      <c r="U856" s="13">
        <v>4.7</v>
      </c>
      <c r="V856" s="13">
        <v>14.97</v>
      </c>
      <c r="W856" s="13">
        <v>1.726</v>
      </c>
      <c r="X856" s="13">
        <v>10.57</v>
      </c>
      <c r="Y856" s="13">
        <v>1.6830000000000001</v>
      </c>
      <c r="Z856" s="13">
        <v>482.4</v>
      </c>
      <c r="AA856" s="13"/>
      <c r="AB856" s="13"/>
      <c r="AC856" s="14">
        <v>198.31081081081084</v>
      </c>
      <c r="AD856" s="14">
        <v>128.24156305506216</v>
      </c>
      <c r="AE856" s="14">
        <v>164.77386934673365</v>
      </c>
      <c r="AF856" s="14">
        <v>111.63434903047091</v>
      </c>
      <c r="AG856" s="15">
        <v>0.70640029758026379</v>
      </c>
      <c r="AH856" s="15">
        <v>0.70943308369765756</v>
      </c>
      <c r="AI856" s="15">
        <v>0.78318662370163583</v>
      </c>
      <c r="AJ856" s="41">
        <f t="shared" si="26"/>
        <v>278.04000000000002</v>
      </c>
      <c r="AK856" s="44">
        <f t="shared" si="27"/>
        <v>1.985967503692762</v>
      </c>
      <c r="AL856" s="10"/>
      <c r="AM856" s="10"/>
    </row>
    <row r="857" spans="1:39" s="16" customFormat="1" ht="19" customHeight="1">
      <c r="A857" s="9" t="s">
        <v>921</v>
      </c>
      <c r="B857" s="10" t="s">
        <v>1358</v>
      </c>
      <c r="C857" s="10"/>
      <c r="D857" s="10"/>
      <c r="E857" s="18" t="s">
        <v>183</v>
      </c>
      <c r="F857" s="18" t="s">
        <v>249</v>
      </c>
      <c r="G857" s="12" t="s">
        <v>439</v>
      </c>
      <c r="H857" s="13">
        <v>0.73799999999999999</v>
      </c>
      <c r="I857" s="13">
        <v>15.85</v>
      </c>
      <c r="J857" s="13">
        <v>28.65</v>
      </c>
      <c r="K857" s="13">
        <v>125.2</v>
      </c>
      <c r="L857" s="13">
        <v>24.3</v>
      </c>
      <c r="M857" s="13">
        <v>161.4</v>
      </c>
      <c r="N857" s="13">
        <v>159.1</v>
      </c>
      <c r="O857" s="13">
        <v>44.54</v>
      </c>
      <c r="P857" s="13">
        <v>10.91</v>
      </c>
      <c r="Q857" s="13">
        <v>52.6</v>
      </c>
      <c r="R857" s="13">
        <v>6.51</v>
      </c>
      <c r="S857" s="13">
        <v>39.79</v>
      </c>
      <c r="T857" s="13">
        <v>251.4</v>
      </c>
      <c r="U857" s="13">
        <v>8.69</v>
      </c>
      <c r="V857" s="13">
        <v>28.91</v>
      </c>
      <c r="W857" s="13">
        <v>3.169</v>
      </c>
      <c r="X857" s="13">
        <v>19.25</v>
      </c>
      <c r="Y857" s="13">
        <v>3.085</v>
      </c>
      <c r="Z857" s="13">
        <v>492.7</v>
      </c>
      <c r="AA857" s="13"/>
      <c r="AB857" s="13"/>
      <c r="AC857" s="14">
        <v>300.94594594594594</v>
      </c>
      <c r="AD857" s="14">
        <v>193.78330373001779</v>
      </c>
      <c r="AE857" s="14">
        <v>264.321608040201</v>
      </c>
      <c r="AF857" s="14">
        <v>180.33240997229916</v>
      </c>
      <c r="AG857" s="15">
        <v>0.68563391747323554</v>
      </c>
      <c r="AH857" s="15">
        <v>0.68707757349229359</v>
      </c>
      <c r="AI857" s="15">
        <v>0.76377615487208272</v>
      </c>
      <c r="AJ857" s="41">
        <f t="shared" si="26"/>
        <v>337.25</v>
      </c>
      <c r="AK857" s="44">
        <f t="shared" si="27"/>
        <v>0.64200477326968974</v>
      </c>
      <c r="AL857" s="10"/>
      <c r="AM857" s="10"/>
    </row>
    <row r="858" spans="1:39" s="16" customFormat="1" ht="19" customHeight="1">
      <c r="A858" s="9" t="s">
        <v>922</v>
      </c>
      <c r="B858" s="10" t="s">
        <v>1358</v>
      </c>
      <c r="C858" s="10"/>
      <c r="D858" s="10"/>
      <c r="E858" s="18" t="s">
        <v>183</v>
      </c>
      <c r="F858" s="18" t="s">
        <v>249</v>
      </c>
      <c r="G858" s="12" t="s">
        <v>439</v>
      </c>
      <c r="H858" s="13">
        <v>0.52600000000000002</v>
      </c>
      <c r="I858" s="13">
        <v>11.42</v>
      </c>
      <c r="J858" s="13">
        <v>4.72</v>
      </c>
      <c r="K858" s="13">
        <v>41.27</v>
      </c>
      <c r="L858" s="13">
        <v>10.98</v>
      </c>
      <c r="M858" s="13">
        <v>143.6</v>
      </c>
      <c r="N858" s="13">
        <v>81.900000000000006</v>
      </c>
      <c r="O858" s="13">
        <v>22.49</v>
      </c>
      <c r="P858" s="13">
        <v>6.71</v>
      </c>
      <c r="Q858" s="13">
        <v>27.01</v>
      </c>
      <c r="R858" s="13">
        <v>3.6110000000000002</v>
      </c>
      <c r="S858" s="13">
        <v>22.77</v>
      </c>
      <c r="T858" s="13">
        <v>146.6</v>
      </c>
      <c r="U858" s="13">
        <v>4.6929999999999996</v>
      </c>
      <c r="V858" s="13">
        <v>14.85</v>
      </c>
      <c r="W858" s="13">
        <v>1.601</v>
      </c>
      <c r="X858" s="13">
        <v>9.8000000000000007</v>
      </c>
      <c r="Y858" s="13">
        <v>1.5840000000000001</v>
      </c>
      <c r="Z858" s="13">
        <v>366.9</v>
      </c>
      <c r="AA858" s="13"/>
      <c r="AB858" s="13"/>
      <c r="AC858" s="14">
        <v>151.95945945945945</v>
      </c>
      <c r="AD858" s="14">
        <v>119.18294849023091</v>
      </c>
      <c r="AE858" s="14">
        <v>135.7286432160804</v>
      </c>
      <c r="AF858" s="14">
        <v>100.02770083102493</v>
      </c>
      <c r="AG858" s="15">
        <v>0.82855667218639006</v>
      </c>
      <c r="AH858" s="15">
        <v>0.82987847729738495</v>
      </c>
      <c r="AI858" s="15">
        <v>0.90161723165750163</v>
      </c>
      <c r="AJ858" s="41">
        <f t="shared" si="26"/>
        <v>138.87</v>
      </c>
      <c r="AK858" s="44">
        <f t="shared" si="27"/>
        <v>0.97953615279672579</v>
      </c>
      <c r="AL858" s="10"/>
      <c r="AM858" s="10"/>
    </row>
    <row r="859" spans="1:39" s="16" customFormat="1" ht="19" customHeight="1">
      <c r="A859" s="9" t="s">
        <v>923</v>
      </c>
      <c r="B859" s="10" t="s">
        <v>1358</v>
      </c>
      <c r="C859" s="10"/>
      <c r="D859" s="10"/>
      <c r="E859" s="18" t="s">
        <v>183</v>
      </c>
      <c r="F859" s="18" t="s">
        <v>249</v>
      </c>
      <c r="G859" s="12" t="s">
        <v>439</v>
      </c>
      <c r="H859" s="13">
        <v>0.55400000000000005</v>
      </c>
      <c r="I859" s="13">
        <v>11.47</v>
      </c>
      <c r="J859" s="13">
        <v>19.7</v>
      </c>
      <c r="K859" s="13">
        <v>99.1</v>
      </c>
      <c r="L859" s="13">
        <v>20.55</v>
      </c>
      <c r="M859" s="13">
        <v>163</v>
      </c>
      <c r="N859" s="13">
        <v>135.30000000000001</v>
      </c>
      <c r="O859" s="13">
        <v>32.6</v>
      </c>
      <c r="P859" s="13">
        <v>9.65</v>
      </c>
      <c r="Q859" s="13">
        <v>41.4</v>
      </c>
      <c r="R859" s="13">
        <v>6.21</v>
      </c>
      <c r="S859" s="13">
        <v>49</v>
      </c>
      <c r="T859" s="13">
        <v>357</v>
      </c>
      <c r="U859" s="13">
        <v>10.94</v>
      </c>
      <c r="V859" s="13">
        <v>41</v>
      </c>
      <c r="W859" s="13">
        <v>4.8</v>
      </c>
      <c r="X859" s="13">
        <v>29.7</v>
      </c>
      <c r="Y859" s="13">
        <v>4.83</v>
      </c>
      <c r="Z859" s="13">
        <v>559.6</v>
      </c>
      <c r="AA859" s="13"/>
      <c r="AB859" s="13"/>
      <c r="AC859" s="14">
        <v>220.27027027027029</v>
      </c>
      <c r="AD859" s="14">
        <v>171.40319715808172</v>
      </c>
      <c r="AE859" s="14">
        <v>208.0402010050251</v>
      </c>
      <c r="AF859" s="14">
        <v>172.02216066481995</v>
      </c>
      <c r="AG859" s="15">
        <v>0.80036893166645362</v>
      </c>
      <c r="AH859" s="15">
        <v>0.80069541900914021</v>
      </c>
      <c r="AI859" s="15">
        <v>0.84499381385108252</v>
      </c>
      <c r="AJ859" s="41">
        <f t="shared" si="26"/>
        <v>274.64999999999998</v>
      </c>
      <c r="AK859" s="44">
        <f t="shared" si="27"/>
        <v>0.45658263305322128</v>
      </c>
      <c r="AL859" s="10"/>
      <c r="AM859" s="10"/>
    </row>
    <row r="860" spans="1:39" s="16" customFormat="1" ht="19" customHeight="1">
      <c r="A860" s="9" t="s">
        <v>924</v>
      </c>
      <c r="B860" s="10" t="s">
        <v>1358</v>
      </c>
      <c r="C860" s="10"/>
      <c r="D860" s="10"/>
      <c r="E860" s="18" t="s">
        <v>183</v>
      </c>
      <c r="F860" s="18" t="s">
        <v>249</v>
      </c>
      <c r="G860" s="12" t="s">
        <v>439</v>
      </c>
      <c r="H860" s="13">
        <v>0.42299999999999999</v>
      </c>
      <c r="I860" s="13">
        <v>6.2910000000000004</v>
      </c>
      <c r="J860" s="13">
        <v>23.5</v>
      </c>
      <c r="K860" s="13">
        <v>127</v>
      </c>
      <c r="L860" s="13">
        <v>29.43</v>
      </c>
      <c r="M860" s="13">
        <v>130.30000000000001</v>
      </c>
      <c r="N860" s="13">
        <v>208.4</v>
      </c>
      <c r="O860" s="13">
        <v>59.6</v>
      </c>
      <c r="P860" s="13">
        <v>14.3</v>
      </c>
      <c r="Q860" s="13">
        <v>80.3</v>
      </c>
      <c r="R860" s="13">
        <v>9.99</v>
      </c>
      <c r="S860" s="13">
        <v>53.6</v>
      </c>
      <c r="T860" s="13">
        <v>266.2</v>
      </c>
      <c r="U860" s="13">
        <v>9.33</v>
      </c>
      <c r="V860" s="13">
        <v>26.52</v>
      </c>
      <c r="W860" s="13">
        <v>2.6480000000000001</v>
      </c>
      <c r="X860" s="13">
        <v>15.13</v>
      </c>
      <c r="Y860" s="13">
        <v>2.1469999999999998</v>
      </c>
      <c r="Z860" s="13">
        <v>432.8</v>
      </c>
      <c r="AA860" s="13"/>
      <c r="AB860" s="13"/>
      <c r="AC860" s="14">
        <v>402.70270270270271</v>
      </c>
      <c r="AD860" s="14">
        <v>253.99644760213147</v>
      </c>
      <c r="AE860" s="14">
        <v>403.51758793969844</v>
      </c>
      <c r="AF860" s="14">
        <v>276.7313019390582</v>
      </c>
      <c r="AG860" s="15">
        <v>0.63009192537127934</v>
      </c>
      <c r="AH860" s="15">
        <v>0.63009224722586621</v>
      </c>
      <c r="AI860" s="15">
        <v>0.7147461936151428</v>
      </c>
      <c r="AJ860" s="41">
        <f t="shared" si="26"/>
        <v>388.33000000000004</v>
      </c>
      <c r="AK860" s="44">
        <f t="shared" si="27"/>
        <v>0.48948159278737796</v>
      </c>
      <c r="AL860" s="10"/>
      <c r="AM860" s="10"/>
    </row>
    <row r="861" spans="1:39" s="16" customFormat="1" ht="19" customHeight="1">
      <c r="A861" s="9" t="s">
        <v>925</v>
      </c>
      <c r="B861" s="10" t="s">
        <v>1358</v>
      </c>
      <c r="C861" s="10"/>
      <c r="D861" s="10"/>
      <c r="E861" s="18" t="s">
        <v>183</v>
      </c>
      <c r="F861" s="18" t="s">
        <v>249</v>
      </c>
      <c r="G861" s="12" t="s">
        <v>439</v>
      </c>
      <c r="H861" s="13">
        <v>0.35599999999999998</v>
      </c>
      <c r="I861" s="13">
        <v>10.57</v>
      </c>
      <c r="J861" s="13">
        <v>26.51</v>
      </c>
      <c r="K861" s="13">
        <v>115.3</v>
      </c>
      <c r="L861" s="13">
        <v>23.05</v>
      </c>
      <c r="M861" s="13">
        <v>212.8</v>
      </c>
      <c r="N861" s="13">
        <v>157.69999999999999</v>
      </c>
      <c r="O861" s="13">
        <v>47</v>
      </c>
      <c r="P861" s="13">
        <v>11.92</v>
      </c>
      <c r="Q861" s="13">
        <v>66.900000000000006</v>
      </c>
      <c r="R861" s="13">
        <v>8.17</v>
      </c>
      <c r="S861" s="13">
        <v>45.58</v>
      </c>
      <c r="T861" s="13">
        <v>239.9</v>
      </c>
      <c r="U861" s="13">
        <v>8.24</v>
      </c>
      <c r="V861" s="13">
        <v>25.69</v>
      </c>
      <c r="W861" s="13">
        <v>2.637</v>
      </c>
      <c r="X861" s="13">
        <v>15.41</v>
      </c>
      <c r="Y861" s="13">
        <v>2.528</v>
      </c>
      <c r="Z861" s="13">
        <v>499.6</v>
      </c>
      <c r="AA861" s="13"/>
      <c r="AB861" s="13"/>
      <c r="AC861" s="14">
        <v>317.56756756756761</v>
      </c>
      <c r="AD861" s="14">
        <v>211.72291296625224</v>
      </c>
      <c r="AE861" s="14">
        <v>336.1809045226131</v>
      </c>
      <c r="AF861" s="14">
        <v>226.31578947368422</v>
      </c>
      <c r="AG861" s="15">
        <v>0.64771979440143557</v>
      </c>
      <c r="AH861" s="15">
        <v>0.64798248735210562</v>
      </c>
      <c r="AI861" s="15">
        <v>0.74640088823918294</v>
      </c>
      <c r="AJ861" s="41">
        <f t="shared" si="26"/>
        <v>322.56</v>
      </c>
      <c r="AK861" s="44">
        <f t="shared" si="27"/>
        <v>0.88703626511046274</v>
      </c>
      <c r="AL861" s="10"/>
      <c r="AM861" s="10"/>
    </row>
    <row r="862" spans="1:39" s="16" customFormat="1" ht="19" customHeight="1">
      <c r="A862" s="9" t="s">
        <v>926</v>
      </c>
      <c r="B862" s="10" t="s">
        <v>1358</v>
      </c>
      <c r="C862" s="10"/>
      <c r="D862" s="10"/>
      <c r="E862" s="18" t="s">
        <v>183</v>
      </c>
      <c r="F862" s="18" t="s">
        <v>249</v>
      </c>
      <c r="G862" s="12" t="s">
        <v>439</v>
      </c>
      <c r="H862" s="13">
        <v>0.51900000000000002</v>
      </c>
      <c r="I862" s="13">
        <v>9.11</v>
      </c>
      <c r="J862" s="13">
        <v>22.99</v>
      </c>
      <c r="K862" s="13">
        <v>112.6</v>
      </c>
      <c r="L862" s="13">
        <v>22.22</v>
      </c>
      <c r="M862" s="13">
        <v>224.3</v>
      </c>
      <c r="N862" s="13">
        <v>147.80000000000001</v>
      </c>
      <c r="O862" s="13">
        <v>37.82</v>
      </c>
      <c r="P862" s="13">
        <v>8.86</v>
      </c>
      <c r="Q862" s="13">
        <v>47</v>
      </c>
      <c r="R862" s="13">
        <v>5.8</v>
      </c>
      <c r="S862" s="13">
        <v>34.159999999999997</v>
      </c>
      <c r="T862" s="13">
        <v>217.7</v>
      </c>
      <c r="U862" s="13">
        <v>7.27</v>
      </c>
      <c r="V862" s="13">
        <v>27.51</v>
      </c>
      <c r="W862" s="13">
        <v>3.1</v>
      </c>
      <c r="X862" s="13">
        <v>19.260000000000002</v>
      </c>
      <c r="Y862" s="13">
        <v>3.14</v>
      </c>
      <c r="Z862" s="13">
        <v>440.3</v>
      </c>
      <c r="AA862" s="13"/>
      <c r="AB862" s="13"/>
      <c r="AC862" s="14">
        <v>255.54054054054055</v>
      </c>
      <c r="AD862" s="14">
        <v>157.37122557726465</v>
      </c>
      <c r="AE862" s="14">
        <v>236.18090452261305</v>
      </c>
      <c r="AF862" s="14">
        <v>160.66481994459832</v>
      </c>
      <c r="AG862" s="15">
        <v>0.64008282395352056</v>
      </c>
      <c r="AH862" s="15">
        <v>0.64057949347468768</v>
      </c>
      <c r="AI862" s="15">
        <v>0.71886144351822523</v>
      </c>
      <c r="AJ862" s="41">
        <f t="shared" si="26"/>
        <v>305.61</v>
      </c>
      <c r="AK862" s="44">
        <f t="shared" si="27"/>
        <v>1.030316949931098</v>
      </c>
      <c r="AL862" s="10"/>
      <c r="AM862" s="10"/>
    </row>
    <row r="863" spans="1:39" s="16" customFormat="1" ht="19" customHeight="1">
      <c r="A863" s="9" t="s">
        <v>927</v>
      </c>
      <c r="B863" s="10" t="s">
        <v>1358</v>
      </c>
      <c r="C863" s="10"/>
      <c r="D863" s="10"/>
      <c r="E863" s="18" t="s">
        <v>183</v>
      </c>
      <c r="F863" s="18" t="s">
        <v>249</v>
      </c>
      <c r="G863" s="12" t="s">
        <v>439</v>
      </c>
      <c r="H863" s="13">
        <v>0.69099999999999995</v>
      </c>
      <c r="I863" s="13">
        <v>9.9499999999999993</v>
      </c>
      <c r="J863" s="13">
        <v>33.4</v>
      </c>
      <c r="K863" s="13">
        <v>140.5</v>
      </c>
      <c r="L863" s="13">
        <v>25.59</v>
      </c>
      <c r="M863" s="13">
        <v>203.8</v>
      </c>
      <c r="N863" s="13">
        <v>172.9</v>
      </c>
      <c r="O863" s="13">
        <v>46.3</v>
      </c>
      <c r="P863" s="13">
        <v>9.35</v>
      </c>
      <c r="Q863" s="13">
        <v>62</v>
      </c>
      <c r="R863" s="13">
        <v>7.87</v>
      </c>
      <c r="S863" s="13">
        <v>41</v>
      </c>
      <c r="T863" s="13">
        <v>204.5</v>
      </c>
      <c r="U863" s="13">
        <v>7.58</v>
      </c>
      <c r="V863" s="13">
        <v>21.39</v>
      </c>
      <c r="W863" s="13">
        <v>2.02</v>
      </c>
      <c r="X863" s="13">
        <v>11.63</v>
      </c>
      <c r="Y863" s="13">
        <v>1.744</v>
      </c>
      <c r="Z863" s="13">
        <v>476</v>
      </c>
      <c r="AA863" s="13"/>
      <c r="AB863" s="13"/>
      <c r="AC863" s="14">
        <v>312.83783783783781</v>
      </c>
      <c r="AD863" s="14">
        <v>166.0746003552398</v>
      </c>
      <c r="AE863" s="14">
        <v>311.5577889447236</v>
      </c>
      <c r="AF863" s="14">
        <v>218.00554016620498</v>
      </c>
      <c r="AG863" s="15">
        <v>0.53195311828496639</v>
      </c>
      <c r="AH863" s="15">
        <v>0.53195423612109982</v>
      </c>
      <c r="AI863" s="15">
        <v>0.59878078555796133</v>
      </c>
      <c r="AJ863" s="41">
        <f t="shared" si="26"/>
        <v>372.39</v>
      </c>
      <c r="AK863" s="44">
        <f t="shared" si="27"/>
        <v>0.99657701711491453</v>
      </c>
      <c r="AL863" s="10"/>
      <c r="AM863" s="10"/>
    </row>
    <row r="864" spans="1:39" s="16" customFormat="1" ht="19" customHeight="1">
      <c r="A864" s="9" t="s">
        <v>928</v>
      </c>
      <c r="B864" s="10" t="s">
        <v>1358</v>
      </c>
      <c r="C864" s="10"/>
      <c r="D864" s="10"/>
      <c r="E864" s="18" t="s">
        <v>183</v>
      </c>
      <c r="F864" s="18" t="s">
        <v>249</v>
      </c>
      <c r="G864" s="12" t="s">
        <v>439</v>
      </c>
      <c r="H864" s="13">
        <v>0.52</v>
      </c>
      <c r="I864" s="13">
        <v>7.95</v>
      </c>
      <c r="J864" s="13">
        <v>44.8</v>
      </c>
      <c r="K864" s="13">
        <v>184.2</v>
      </c>
      <c r="L864" s="13">
        <v>30.91</v>
      </c>
      <c r="M864" s="13">
        <v>328.1</v>
      </c>
      <c r="N864" s="13">
        <v>165.2</v>
      </c>
      <c r="O864" s="13">
        <v>29.48</v>
      </c>
      <c r="P864" s="13">
        <v>9.26</v>
      </c>
      <c r="Q864" s="13">
        <v>30.6</v>
      </c>
      <c r="R864" s="13">
        <v>3.72</v>
      </c>
      <c r="S864" s="13">
        <v>20.09</v>
      </c>
      <c r="T864" s="13">
        <v>114.3</v>
      </c>
      <c r="U864" s="13">
        <v>4.0599999999999996</v>
      </c>
      <c r="V864" s="13">
        <v>12.22</v>
      </c>
      <c r="W864" s="13">
        <v>1.3109999999999999</v>
      </c>
      <c r="X864" s="13">
        <v>7.58</v>
      </c>
      <c r="Y864" s="13">
        <v>1.163</v>
      </c>
      <c r="Z864" s="13">
        <v>509</v>
      </c>
      <c r="AA864" s="13"/>
      <c r="AB864" s="13"/>
      <c r="AC864" s="14">
        <v>199.18918918918919</v>
      </c>
      <c r="AD864" s="14">
        <v>164.47602131438722</v>
      </c>
      <c r="AE864" s="14">
        <v>153.76884422110552</v>
      </c>
      <c r="AF864" s="14">
        <v>103.04709141274239</v>
      </c>
      <c r="AG864" s="15">
        <v>0.93198627454495531</v>
      </c>
      <c r="AH864" s="15">
        <v>0.93980020387124341</v>
      </c>
      <c r="AI864" s="15">
        <v>1.0286007505091443</v>
      </c>
      <c r="AJ864" s="41">
        <f t="shared" si="26"/>
        <v>425.11</v>
      </c>
      <c r="AK864" s="44">
        <f t="shared" si="27"/>
        <v>2.8705161854768155</v>
      </c>
      <c r="AL864" s="10"/>
      <c r="AM864" s="10"/>
    </row>
    <row r="865" spans="1:39" s="16" customFormat="1" ht="19" customHeight="1">
      <c r="A865" s="9" t="s">
        <v>929</v>
      </c>
      <c r="B865" s="10" t="s">
        <v>1358</v>
      </c>
      <c r="C865" s="10"/>
      <c r="D865" s="10"/>
      <c r="E865" s="18" t="s">
        <v>183</v>
      </c>
      <c r="F865" s="18" t="s">
        <v>249</v>
      </c>
      <c r="G865" s="12" t="s">
        <v>439</v>
      </c>
      <c r="H865" s="13">
        <v>0.85199999999999998</v>
      </c>
      <c r="I865" s="13">
        <v>10.42</v>
      </c>
      <c r="J865" s="13">
        <v>29.78</v>
      </c>
      <c r="K865" s="13">
        <v>132.5</v>
      </c>
      <c r="L865" s="13">
        <v>25.8</v>
      </c>
      <c r="M865" s="13">
        <v>162.1</v>
      </c>
      <c r="N865" s="13">
        <v>171.1</v>
      </c>
      <c r="O865" s="13">
        <v>47.2</v>
      </c>
      <c r="P865" s="13">
        <v>11.38</v>
      </c>
      <c r="Q865" s="13">
        <v>59.6</v>
      </c>
      <c r="R865" s="13">
        <v>6.84</v>
      </c>
      <c r="S865" s="13">
        <v>34.6</v>
      </c>
      <c r="T865" s="13">
        <v>165.9</v>
      </c>
      <c r="U865" s="13">
        <v>5.81</v>
      </c>
      <c r="V865" s="13">
        <v>17.399999999999999</v>
      </c>
      <c r="W865" s="13">
        <v>1.6419999999999999</v>
      </c>
      <c r="X865" s="13">
        <v>9.42</v>
      </c>
      <c r="Y865" s="13">
        <v>1.5569999999999999</v>
      </c>
      <c r="Z865" s="13">
        <v>442.4</v>
      </c>
      <c r="AA865" s="13"/>
      <c r="AB865" s="13"/>
      <c r="AC865" s="14">
        <v>318.91891891891896</v>
      </c>
      <c r="AD865" s="14">
        <v>202.13143872113679</v>
      </c>
      <c r="AE865" s="14">
        <v>299.4974874371859</v>
      </c>
      <c r="AF865" s="14">
        <v>189.4736842105263</v>
      </c>
      <c r="AG865" s="15">
        <v>0.65370658554211369</v>
      </c>
      <c r="AH865" s="15">
        <v>0.65402919324325004</v>
      </c>
      <c r="AI865" s="15">
        <v>0.75392945687536128</v>
      </c>
      <c r="AJ865" s="41">
        <f t="shared" si="26"/>
        <v>359.18</v>
      </c>
      <c r="AK865" s="44">
        <f t="shared" si="27"/>
        <v>0.97709463532248331</v>
      </c>
      <c r="AL865" s="10"/>
      <c r="AM865" s="10"/>
    </row>
    <row r="866" spans="1:39" s="16" customFormat="1" ht="19" customHeight="1">
      <c r="A866" s="9" t="s">
        <v>930</v>
      </c>
      <c r="B866" s="10" t="s">
        <v>1358</v>
      </c>
      <c r="C866" s="10"/>
      <c r="D866" s="10"/>
      <c r="E866" s="18" t="s">
        <v>183</v>
      </c>
      <c r="F866" s="18" t="s">
        <v>249</v>
      </c>
      <c r="G866" s="12" t="s">
        <v>439</v>
      </c>
      <c r="H866" s="13">
        <v>0.877</v>
      </c>
      <c r="I866" s="13">
        <v>8.73</v>
      </c>
      <c r="J866" s="13">
        <v>31</v>
      </c>
      <c r="K866" s="13">
        <v>133</v>
      </c>
      <c r="L866" s="13">
        <v>24.62</v>
      </c>
      <c r="M866" s="13">
        <v>223.3</v>
      </c>
      <c r="N866" s="13">
        <v>153.9</v>
      </c>
      <c r="O866" s="13">
        <v>36.54</v>
      </c>
      <c r="P866" s="13">
        <v>8.3800000000000008</v>
      </c>
      <c r="Q866" s="13">
        <v>47.5</v>
      </c>
      <c r="R866" s="13">
        <v>5.76</v>
      </c>
      <c r="S866" s="13">
        <v>31.69</v>
      </c>
      <c r="T866" s="13">
        <v>171.2</v>
      </c>
      <c r="U866" s="13">
        <v>6.11</v>
      </c>
      <c r="V866" s="13">
        <v>19.68</v>
      </c>
      <c r="W866" s="13">
        <v>2.0289999999999999</v>
      </c>
      <c r="X866" s="13">
        <v>11.81</v>
      </c>
      <c r="Y866" s="13">
        <v>1.9059999999999999</v>
      </c>
      <c r="Z866" s="13">
        <v>414.2</v>
      </c>
      <c r="AA866" s="13"/>
      <c r="AB866" s="13"/>
      <c r="AC866" s="14">
        <v>246.8918918918919</v>
      </c>
      <c r="AD866" s="14">
        <v>148.84547069271761</v>
      </c>
      <c r="AE866" s="14">
        <v>238.6934673366834</v>
      </c>
      <c r="AF866" s="14">
        <v>159.55678670360109</v>
      </c>
      <c r="AG866" s="15">
        <v>0.61305584224854237</v>
      </c>
      <c r="AH866" s="15">
        <v>0.61314323844688245</v>
      </c>
      <c r="AI866" s="15">
        <v>0.69731013653297902</v>
      </c>
      <c r="AJ866" s="41">
        <f t="shared" si="26"/>
        <v>342.52</v>
      </c>
      <c r="AK866" s="44">
        <f t="shared" si="27"/>
        <v>1.3043224299065421</v>
      </c>
      <c r="AL866" s="10"/>
      <c r="AM866" s="10"/>
    </row>
    <row r="867" spans="1:39" s="16" customFormat="1" ht="19" customHeight="1">
      <c r="A867" s="9" t="s">
        <v>931</v>
      </c>
      <c r="B867" s="10" t="s">
        <v>1358</v>
      </c>
      <c r="C867" s="10"/>
      <c r="D867" s="10"/>
      <c r="E867" s="18" t="s">
        <v>183</v>
      </c>
      <c r="F867" s="18" t="s">
        <v>249</v>
      </c>
      <c r="G867" s="12" t="s">
        <v>439</v>
      </c>
      <c r="H867" s="13">
        <v>0.56999999999999995</v>
      </c>
      <c r="I867" s="13">
        <v>8.83</v>
      </c>
      <c r="J867" s="13">
        <v>20.13</v>
      </c>
      <c r="K867" s="13">
        <v>104.5</v>
      </c>
      <c r="L867" s="13">
        <v>21.86</v>
      </c>
      <c r="M867" s="13">
        <v>168.5</v>
      </c>
      <c r="N867" s="13">
        <v>140.69999999999999</v>
      </c>
      <c r="O867" s="13">
        <v>36.549999999999997</v>
      </c>
      <c r="P867" s="13">
        <v>10.67</v>
      </c>
      <c r="Q867" s="13">
        <v>47.6</v>
      </c>
      <c r="R867" s="13">
        <v>6.21</v>
      </c>
      <c r="S867" s="13">
        <v>33.81</v>
      </c>
      <c r="T867" s="13">
        <v>210.1</v>
      </c>
      <c r="U867" s="13">
        <v>6.86</v>
      </c>
      <c r="V867" s="13">
        <v>24.33</v>
      </c>
      <c r="W867" s="13">
        <v>2.4820000000000002</v>
      </c>
      <c r="X867" s="13">
        <v>16.190000000000001</v>
      </c>
      <c r="Y867" s="13">
        <v>2.528</v>
      </c>
      <c r="Z867" s="13">
        <v>444.6</v>
      </c>
      <c r="AA867" s="13"/>
      <c r="AB867" s="13"/>
      <c r="AC867" s="14">
        <v>246.95945945945945</v>
      </c>
      <c r="AD867" s="14">
        <v>189.52042628774424</v>
      </c>
      <c r="AE867" s="14">
        <v>239.19597989949747</v>
      </c>
      <c r="AF867" s="14">
        <v>172.02216066481995</v>
      </c>
      <c r="AG867" s="15">
        <v>0.77967008468585808</v>
      </c>
      <c r="AH867" s="15">
        <v>0.7797695167551183</v>
      </c>
      <c r="AI867" s="15">
        <v>0.86571999470704197</v>
      </c>
      <c r="AJ867" s="41">
        <f t="shared" si="26"/>
        <v>287.19</v>
      </c>
      <c r="AK867" s="44">
        <f t="shared" si="27"/>
        <v>0.80199904807234657</v>
      </c>
      <c r="AL867" s="10"/>
      <c r="AM867" s="10"/>
    </row>
    <row r="868" spans="1:39" s="16" customFormat="1" ht="19" customHeight="1">
      <c r="A868" s="9" t="s">
        <v>932</v>
      </c>
      <c r="B868" s="10" t="s">
        <v>1358</v>
      </c>
      <c r="C868" s="10"/>
      <c r="D868" s="10"/>
      <c r="E868" s="18" t="s">
        <v>183</v>
      </c>
      <c r="F868" s="18" t="s">
        <v>249</v>
      </c>
      <c r="G868" s="12" t="s">
        <v>439</v>
      </c>
      <c r="H868" s="13">
        <v>0.48199999999999998</v>
      </c>
      <c r="I868" s="13">
        <v>9.68</v>
      </c>
      <c r="J868" s="13">
        <v>25.82</v>
      </c>
      <c r="K868" s="13">
        <v>110.6</v>
      </c>
      <c r="L868" s="13">
        <v>21.26</v>
      </c>
      <c r="M868" s="13">
        <v>252.6</v>
      </c>
      <c r="N868" s="13">
        <v>147.6</v>
      </c>
      <c r="O868" s="13">
        <v>39.78</v>
      </c>
      <c r="P868" s="13">
        <v>9.3800000000000008</v>
      </c>
      <c r="Q868" s="13">
        <v>54.1</v>
      </c>
      <c r="R868" s="13">
        <v>6.73</v>
      </c>
      <c r="S868" s="13">
        <v>37.94</v>
      </c>
      <c r="T868" s="13">
        <v>243.3</v>
      </c>
      <c r="U868" s="13">
        <v>8.25</v>
      </c>
      <c r="V868" s="13">
        <v>34.659999999999997</v>
      </c>
      <c r="W868" s="13">
        <v>3.766</v>
      </c>
      <c r="X868" s="13">
        <v>23.33</v>
      </c>
      <c r="Y868" s="13">
        <v>3.4980000000000002</v>
      </c>
      <c r="Z868" s="13">
        <v>443.3</v>
      </c>
      <c r="AA868" s="13"/>
      <c r="AB868" s="13"/>
      <c r="AC868" s="14">
        <v>268.7837837837838</v>
      </c>
      <c r="AD868" s="14">
        <v>166.60746003552401</v>
      </c>
      <c r="AE868" s="14">
        <v>271.85929648241205</v>
      </c>
      <c r="AF868" s="14">
        <v>186.42659279778394</v>
      </c>
      <c r="AG868" s="15">
        <v>0.61633068512961153</v>
      </c>
      <c r="AH868" s="15">
        <v>0.61634065772242341</v>
      </c>
      <c r="AI868" s="15">
        <v>0.70025536910426545</v>
      </c>
      <c r="AJ868" s="41">
        <f t="shared" si="26"/>
        <v>305.27999999999997</v>
      </c>
      <c r="AK868" s="44">
        <f t="shared" si="27"/>
        <v>1.0382244143033292</v>
      </c>
      <c r="AL868" s="10"/>
      <c r="AM868" s="10"/>
    </row>
    <row r="869" spans="1:39" s="16" customFormat="1" ht="19" customHeight="1">
      <c r="A869" s="9" t="s">
        <v>933</v>
      </c>
      <c r="B869" s="10" t="s">
        <v>1358</v>
      </c>
      <c r="C869" s="10"/>
      <c r="D869" s="10"/>
      <c r="E869" s="18" t="s">
        <v>183</v>
      </c>
      <c r="F869" s="18" t="s">
        <v>249</v>
      </c>
      <c r="G869" s="12" t="s">
        <v>439</v>
      </c>
      <c r="H869" s="13">
        <v>0.41299999999999998</v>
      </c>
      <c r="I869" s="13">
        <v>8.4600000000000009</v>
      </c>
      <c r="J869" s="13">
        <v>14.41</v>
      </c>
      <c r="K869" s="13">
        <v>81.2</v>
      </c>
      <c r="L869" s="13">
        <v>19.059999999999999</v>
      </c>
      <c r="M869" s="13">
        <v>169.2</v>
      </c>
      <c r="N869" s="13">
        <v>145.1</v>
      </c>
      <c r="O869" s="13">
        <v>45.9</v>
      </c>
      <c r="P869" s="13">
        <v>8.14</v>
      </c>
      <c r="Q869" s="13">
        <v>69.7</v>
      </c>
      <c r="R869" s="13">
        <v>8.09</v>
      </c>
      <c r="S869" s="13">
        <v>44.27</v>
      </c>
      <c r="T869" s="13">
        <v>265.3</v>
      </c>
      <c r="U869" s="13">
        <v>9.36</v>
      </c>
      <c r="V869" s="13">
        <v>37.31</v>
      </c>
      <c r="W869" s="13">
        <v>4.1500000000000004</v>
      </c>
      <c r="X869" s="13">
        <v>28.94</v>
      </c>
      <c r="Y869" s="13">
        <v>4.3899999999999997</v>
      </c>
      <c r="Z869" s="13">
        <v>380.3</v>
      </c>
      <c r="AA869" s="13"/>
      <c r="AB869" s="13"/>
      <c r="AC869" s="14">
        <v>310.13513513513516</v>
      </c>
      <c r="AD869" s="14">
        <v>144.58259325044406</v>
      </c>
      <c r="AE869" s="14">
        <v>350.25125628140705</v>
      </c>
      <c r="AF869" s="14">
        <v>224.09972299168976</v>
      </c>
      <c r="AG869" s="15">
        <v>0.43787272157535367</v>
      </c>
      <c r="AH869" s="15">
        <v>0.4386828680056658</v>
      </c>
      <c r="AI869" s="15">
        <v>0.51951918536582953</v>
      </c>
      <c r="AJ869" s="41">
        <f t="shared" si="26"/>
        <v>259.77</v>
      </c>
      <c r="AK869" s="44">
        <f t="shared" si="27"/>
        <v>0.63776856388993586</v>
      </c>
      <c r="AL869" s="10"/>
      <c r="AM869" s="10"/>
    </row>
    <row r="870" spans="1:39" s="16" customFormat="1" ht="19" customHeight="1">
      <c r="A870" s="9" t="s">
        <v>934</v>
      </c>
      <c r="B870" s="10" t="s">
        <v>1358</v>
      </c>
      <c r="C870" s="10"/>
      <c r="D870" s="10"/>
      <c r="E870" s="18" t="s">
        <v>183</v>
      </c>
      <c r="F870" s="18" t="s">
        <v>249</v>
      </c>
      <c r="G870" s="12" t="s">
        <v>439</v>
      </c>
      <c r="H870" s="13">
        <v>0.66900000000000004</v>
      </c>
      <c r="I870" s="13">
        <v>11.23</v>
      </c>
      <c r="J870" s="13">
        <v>23.52</v>
      </c>
      <c r="K870" s="13">
        <v>120.8</v>
      </c>
      <c r="L870" s="13">
        <v>26.06</v>
      </c>
      <c r="M870" s="13">
        <v>157.69999999999999</v>
      </c>
      <c r="N870" s="13">
        <v>191.8</v>
      </c>
      <c r="O870" s="13">
        <v>57.4</v>
      </c>
      <c r="P870" s="13">
        <v>14.61</v>
      </c>
      <c r="Q870" s="13">
        <v>80.8</v>
      </c>
      <c r="R870" s="13">
        <v>9.8699999999999992</v>
      </c>
      <c r="S870" s="13">
        <v>51.8</v>
      </c>
      <c r="T870" s="13">
        <v>291</v>
      </c>
      <c r="U870" s="13">
        <v>10.029999999999999</v>
      </c>
      <c r="V870" s="13">
        <v>35.81</v>
      </c>
      <c r="W870" s="13">
        <v>3.53</v>
      </c>
      <c r="X870" s="13">
        <v>21.16</v>
      </c>
      <c r="Y870" s="13">
        <v>3.47</v>
      </c>
      <c r="Z870" s="13">
        <v>412.2</v>
      </c>
      <c r="AA870" s="13"/>
      <c r="AB870" s="13"/>
      <c r="AC870" s="14">
        <v>387.83783783783787</v>
      </c>
      <c r="AD870" s="14">
        <v>259.50266429840144</v>
      </c>
      <c r="AE870" s="14">
        <v>406.03015075376879</v>
      </c>
      <c r="AF870" s="14">
        <v>273.40720221606648</v>
      </c>
      <c r="AG870" s="15">
        <v>0.65376780025803161</v>
      </c>
      <c r="AH870" s="15">
        <v>0.65393952935160193</v>
      </c>
      <c r="AI870" s="15">
        <v>0.75180472881955984</v>
      </c>
      <c r="AJ870" s="41">
        <f t="shared" si="26"/>
        <v>362.18</v>
      </c>
      <c r="AK870" s="44">
        <f t="shared" si="27"/>
        <v>0.54192439862542952</v>
      </c>
      <c r="AL870" s="10"/>
      <c r="AM870" s="10"/>
    </row>
    <row r="871" spans="1:39" s="16" customFormat="1" ht="19" customHeight="1">
      <c r="A871" s="9" t="s">
        <v>935</v>
      </c>
      <c r="B871" s="10" t="s">
        <v>1358</v>
      </c>
      <c r="C871" s="10"/>
      <c r="D871" s="10"/>
      <c r="E871" s="18" t="s">
        <v>183</v>
      </c>
      <c r="F871" s="18" t="s">
        <v>249</v>
      </c>
      <c r="G871" s="12" t="s">
        <v>439</v>
      </c>
      <c r="H871" s="13">
        <v>0.53700000000000003</v>
      </c>
      <c r="I871" s="13">
        <v>6.65</v>
      </c>
      <c r="J871" s="13">
        <v>44</v>
      </c>
      <c r="K871" s="13">
        <v>181.3</v>
      </c>
      <c r="L871" s="13">
        <v>33</v>
      </c>
      <c r="M871" s="13">
        <v>278.60000000000002</v>
      </c>
      <c r="N871" s="13">
        <v>200.1</v>
      </c>
      <c r="O871" s="13">
        <v>46</v>
      </c>
      <c r="P871" s="13">
        <v>10.9</v>
      </c>
      <c r="Q871" s="13">
        <v>61.9</v>
      </c>
      <c r="R871" s="13">
        <v>7.72</v>
      </c>
      <c r="S871" s="13">
        <v>38.96</v>
      </c>
      <c r="T871" s="13">
        <v>197.3</v>
      </c>
      <c r="U871" s="13">
        <v>6.62</v>
      </c>
      <c r="V871" s="13">
        <v>21.34</v>
      </c>
      <c r="W871" s="13">
        <v>1.92</v>
      </c>
      <c r="X871" s="13">
        <v>10.48</v>
      </c>
      <c r="Y871" s="13">
        <v>1.5840000000000001</v>
      </c>
      <c r="Z871" s="13">
        <v>414.4</v>
      </c>
      <c r="AA871" s="13"/>
      <c r="AB871" s="13"/>
      <c r="AC871" s="14">
        <v>310.81081081081084</v>
      </c>
      <c r="AD871" s="14">
        <v>193.60568383658972</v>
      </c>
      <c r="AE871" s="14">
        <v>311.05527638190955</v>
      </c>
      <c r="AF871" s="14">
        <v>213.85041551246536</v>
      </c>
      <c r="AG871" s="15">
        <v>0.62266036956792603</v>
      </c>
      <c r="AH871" s="15">
        <v>0.62266041768098201</v>
      </c>
      <c r="AI871" s="15">
        <v>0.70558714471393258</v>
      </c>
      <c r="AJ871" s="41">
        <f t="shared" si="26"/>
        <v>458.4</v>
      </c>
      <c r="AK871" s="44">
        <f t="shared" si="27"/>
        <v>1.4120628484541309</v>
      </c>
      <c r="AL871" s="10"/>
      <c r="AM871" s="10"/>
    </row>
    <row r="872" spans="1:39" s="16" customFormat="1" ht="19" customHeight="1">
      <c r="A872" s="9" t="s">
        <v>936</v>
      </c>
      <c r="B872" s="10" t="s">
        <v>1358</v>
      </c>
      <c r="C872" s="10"/>
      <c r="D872" s="10"/>
      <c r="E872" s="18" t="s">
        <v>183</v>
      </c>
      <c r="F872" s="18" t="s">
        <v>249</v>
      </c>
      <c r="G872" s="12" t="s">
        <v>439</v>
      </c>
      <c r="H872" s="13">
        <v>0.41</v>
      </c>
      <c r="I872" s="13">
        <v>6.8289999999999997</v>
      </c>
      <c r="J872" s="13">
        <v>24.84</v>
      </c>
      <c r="K872" s="13">
        <v>108.6</v>
      </c>
      <c r="L872" s="13">
        <v>21.02</v>
      </c>
      <c r="M872" s="13">
        <v>220.1</v>
      </c>
      <c r="N872" s="13">
        <v>137.5</v>
      </c>
      <c r="O872" s="13">
        <v>35.96</v>
      </c>
      <c r="P872" s="13">
        <v>7.87</v>
      </c>
      <c r="Q872" s="13">
        <v>49.8</v>
      </c>
      <c r="R872" s="13">
        <v>6</v>
      </c>
      <c r="S872" s="13">
        <v>30.05</v>
      </c>
      <c r="T872" s="13">
        <v>163.5</v>
      </c>
      <c r="U872" s="13">
        <v>5.7</v>
      </c>
      <c r="V872" s="13">
        <v>18.97</v>
      </c>
      <c r="W872" s="13">
        <v>1.81</v>
      </c>
      <c r="X872" s="13">
        <v>10.87</v>
      </c>
      <c r="Y872" s="13">
        <v>1.6479999999999999</v>
      </c>
      <c r="Z872" s="13">
        <v>421.3</v>
      </c>
      <c r="AA872" s="13"/>
      <c r="AB872" s="13"/>
      <c r="AC872" s="14">
        <v>242.972972972973</v>
      </c>
      <c r="AD872" s="14">
        <v>139.78685612788632</v>
      </c>
      <c r="AE872" s="14">
        <v>250.251256281407</v>
      </c>
      <c r="AF872" s="14">
        <v>166.2049861495845</v>
      </c>
      <c r="AG872" s="15">
        <v>0.56682882890488073</v>
      </c>
      <c r="AH872" s="15">
        <v>0.56689055402968969</v>
      </c>
      <c r="AI872" s="15">
        <v>0.65294962451908778</v>
      </c>
      <c r="AJ872" s="41">
        <f t="shared" si="26"/>
        <v>291.96000000000004</v>
      </c>
      <c r="AK872" s="44">
        <f t="shared" si="27"/>
        <v>1.346177370030581</v>
      </c>
      <c r="AL872" s="10"/>
      <c r="AM872" s="10"/>
    </row>
    <row r="873" spans="1:39" s="16" customFormat="1" ht="19" customHeight="1">
      <c r="A873" s="9" t="s">
        <v>937</v>
      </c>
      <c r="B873" s="10" t="s">
        <v>1358</v>
      </c>
      <c r="C873" s="10"/>
      <c r="D873" s="10"/>
      <c r="E873" s="18" t="s">
        <v>183</v>
      </c>
      <c r="F873" s="18" t="s">
        <v>249</v>
      </c>
      <c r="G873" s="12" t="s">
        <v>439</v>
      </c>
      <c r="H873" s="13">
        <v>0.627</v>
      </c>
      <c r="I873" s="13">
        <v>6.4</v>
      </c>
      <c r="J873" s="13">
        <v>30.01</v>
      </c>
      <c r="K873" s="13">
        <v>173.9</v>
      </c>
      <c r="L873" s="13">
        <v>37.630000000000003</v>
      </c>
      <c r="M873" s="13">
        <v>175.5</v>
      </c>
      <c r="N873" s="13">
        <v>243.7</v>
      </c>
      <c r="O873" s="13">
        <v>62</v>
      </c>
      <c r="P873" s="13">
        <v>14.06</v>
      </c>
      <c r="Q873" s="13">
        <v>91</v>
      </c>
      <c r="R873" s="13">
        <v>11.8</v>
      </c>
      <c r="S873" s="13">
        <v>61.3</v>
      </c>
      <c r="T873" s="13">
        <v>341.5</v>
      </c>
      <c r="U873" s="13">
        <v>11.83</v>
      </c>
      <c r="V873" s="13">
        <v>39.340000000000003</v>
      </c>
      <c r="W873" s="13">
        <v>3.63</v>
      </c>
      <c r="X873" s="13">
        <v>20.85</v>
      </c>
      <c r="Y873" s="13">
        <v>3.06</v>
      </c>
      <c r="Z873" s="13">
        <v>408.6</v>
      </c>
      <c r="AA873" s="13"/>
      <c r="AB873" s="13"/>
      <c r="AC873" s="14">
        <v>418.91891891891896</v>
      </c>
      <c r="AD873" s="14">
        <v>249.73357015985792</v>
      </c>
      <c r="AE873" s="14">
        <v>457.286432160804</v>
      </c>
      <c r="AF873" s="14">
        <v>326.86980609418282</v>
      </c>
      <c r="AG873" s="15">
        <v>0.57003434149795673</v>
      </c>
      <c r="AH873" s="15">
        <v>0.570581624067521</v>
      </c>
      <c r="AI873" s="15">
        <v>0.64753812225901475</v>
      </c>
      <c r="AJ873" s="41">
        <f t="shared" si="26"/>
        <v>485.24</v>
      </c>
      <c r="AK873" s="44">
        <f t="shared" si="27"/>
        <v>0.51390922401171302</v>
      </c>
      <c r="AL873" s="10"/>
      <c r="AM873" s="10"/>
    </row>
    <row r="874" spans="1:39" s="16" customFormat="1" ht="19" customHeight="1">
      <c r="A874" s="9" t="s">
        <v>938</v>
      </c>
      <c r="B874" s="10" t="s">
        <v>1362</v>
      </c>
      <c r="C874" s="10"/>
      <c r="D874" s="10"/>
      <c r="E874" s="18" t="s">
        <v>183</v>
      </c>
      <c r="F874" s="18" t="s">
        <v>249</v>
      </c>
      <c r="G874" s="12" t="s">
        <v>439</v>
      </c>
      <c r="H874" s="13">
        <v>1.6899999999999998E-2</v>
      </c>
      <c r="I874" s="13">
        <v>2.5999999999999999E-3</v>
      </c>
      <c r="J874" s="13">
        <v>0.98</v>
      </c>
      <c r="K874" s="13">
        <v>1.31</v>
      </c>
      <c r="L874" s="13">
        <v>0.15</v>
      </c>
      <c r="M874" s="13">
        <v>661.7</v>
      </c>
      <c r="N874" s="13">
        <v>0.54</v>
      </c>
      <c r="O874" s="13">
        <v>0.124</v>
      </c>
      <c r="P874" s="13">
        <v>4.0599999999999997E-2</v>
      </c>
      <c r="Q874" s="13">
        <v>0.187</v>
      </c>
      <c r="R874" s="13">
        <v>5.1200000000000002E-2</v>
      </c>
      <c r="S874" s="13">
        <v>0.63200000000000001</v>
      </c>
      <c r="T874" s="13">
        <v>10.02</v>
      </c>
      <c r="U874" s="13">
        <v>0.27600000000000002</v>
      </c>
      <c r="V874" s="13">
        <v>1.5669999999999999</v>
      </c>
      <c r="W874" s="13">
        <v>0.375</v>
      </c>
      <c r="X874" s="13">
        <v>3.68</v>
      </c>
      <c r="Y874" s="13">
        <v>0.71699999999999997</v>
      </c>
      <c r="Z874" s="13">
        <v>172.2</v>
      </c>
      <c r="AA874" s="13"/>
      <c r="AB874" s="13"/>
      <c r="AC874" s="14">
        <v>0.83783783783783783</v>
      </c>
      <c r="AD874" s="14">
        <v>0.72113676731793963</v>
      </c>
      <c r="AE874" s="14">
        <v>0.93969849246231152</v>
      </c>
      <c r="AF874" s="14">
        <v>1.4182825484764543</v>
      </c>
      <c r="AG874" s="15">
        <v>0.81138906139394706</v>
      </c>
      <c r="AH874" s="15">
        <v>0.81272456886085864</v>
      </c>
      <c r="AI874" s="15">
        <v>0.7221987612868852</v>
      </c>
      <c r="AJ874" s="41">
        <f t="shared" si="26"/>
        <v>2.98</v>
      </c>
      <c r="AK874" s="44">
        <f t="shared" si="27"/>
        <v>66.037924151696615</v>
      </c>
      <c r="AL874" s="10"/>
      <c r="AM874" s="10"/>
    </row>
    <row r="875" spans="1:39" s="16" customFormat="1" ht="19" customHeight="1">
      <c r="A875" s="9" t="s">
        <v>939</v>
      </c>
      <c r="B875" s="10" t="s">
        <v>1362</v>
      </c>
      <c r="C875" s="10"/>
      <c r="D875" s="10"/>
      <c r="E875" s="18" t="s">
        <v>183</v>
      </c>
      <c r="F875" s="18" t="s">
        <v>249</v>
      </c>
      <c r="G875" s="12" t="s">
        <v>439</v>
      </c>
      <c r="H875" s="13">
        <v>0.21299999999999999</v>
      </c>
      <c r="I875" s="13">
        <v>7.8E-2</v>
      </c>
      <c r="J875" s="13">
        <v>4.07</v>
      </c>
      <c r="K875" s="13">
        <v>3.54</v>
      </c>
      <c r="L875" s="13">
        <v>0.98</v>
      </c>
      <c r="M875" s="13">
        <v>1491</v>
      </c>
      <c r="N875" s="13">
        <v>3.19</v>
      </c>
      <c r="O875" s="13">
        <v>1.02</v>
      </c>
      <c r="P875" s="13">
        <v>0.29899999999999999</v>
      </c>
      <c r="Q875" s="13">
        <v>1.66</v>
      </c>
      <c r="R875" s="13">
        <v>0.44400000000000001</v>
      </c>
      <c r="S875" s="13">
        <v>4.3499999999999996</v>
      </c>
      <c r="T875" s="13">
        <v>47.9</v>
      </c>
      <c r="U875" s="13">
        <v>1.5429999999999999</v>
      </c>
      <c r="V875" s="13">
        <v>6.6</v>
      </c>
      <c r="W875" s="13">
        <v>1.266</v>
      </c>
      <c r="X875" s="13">
        <v>8.48</v>
      </c>
      <c r="Y875" s="13">
        <v>1.385</v>
      </c>
      <c r="Z875" s="13">
        <v>183.2</v>
      </c>
      <c r="AA875" s="13"/>
      <c r="AB875" s="13"/>
      <c r="AC875" s="14">
        <v>6.8918918918918921</v>
      </c>
      <c r="AD875" s="14">
        <v>5.3108348134991124</v>
      </c>
      <c r="AE875" s="14">
        <v>8.3417085427135671</v>
      </c>
      <c r="AF875" s="14">
        <v>12.299168975069252</v>
      </c>
      <c r="AG875" s="15">
        <v>0.69725273894341311</v>
      </c>
      <c r="AH875" s="15">
        <v>0.70043212965755541</v>
      </c>
      <c r="AI875" s="15">
        <v>0.63529957760596434</v>
      </c>
      <c r="AJ875" s="41">
        <f t="shared" si="26"/>
        <v>11.78</v>
      </c>
      <c r="AK875" s="44">
        <f t="shared" si="27"/>
        <v>31.127348643006265</v>
      </c>
      <c r="AL875" s="10"/>
      <c r="AM875" s="10"/>
    </row>
    <row r="876" spans="1:39" s="16" customFormat="1" ht="19" customHeight="1">
      <c r="A876" s="9" t="s">
        <v>940</v>
      </c>
      <c r="B876" s="10" t="s">
        <v>1362</v>
      </c>
      <c r="C876" s="10"/>
      <c r="D876" s="10"/>
      <c r="E876" s="18" t="s">
        <v>183</v>
      </c>
      <c r="F876" s="18" t="s">
        <v>249</v>
      </c>
      <c r="G876" s="12" t="s">
        <v>439</v>
      </c>
      <c r="H876" s="13">
        <v>2.06E-2</v>
      </c>
      <c r="I876" s="13">
        <v>2.3400000000000001E-2</v>
      </c>
      <c r="J876" s="13">
        <v>0.66200000000000003</v>
      </c>
      <c r="K876" s="13">
        <v>2.5299999999999998</v>
      </c>
      <c r="L876" s="13">
        <v>0.51900000000000002</v>
      </c>
      <c r="M876" s="13">
        <v>1494</v>
      </c>
      <c r="N876" s="13">
        <v>3.68</v>
      </c>
      <c r="O876" s="13">
        <v>2.2200000000000002</v>
      </c>
      <c r="P876" s="13">
        <v>0.69799999999999995</v>
      </c>
      <c r="Q876" s="13">
        <v>5.76</v>
      </c>
      <c r="R876" s="13">
        <v>1.27</v>
      </c>
      <c r="S876" s="13">
        <v>11.93</v>
      </c>
      <c r="T876" s="13">
        <v>106.4</v>
      </c>
      <c r="U876" s="13">
        <v>3.42</v>
      </c>
      <c r="V876" s="13">
        <v>12.45</v>
      </c>
      <c r="W876" s="13">
        <v>1.968</v>
      </c>
      <c r="X876" s="13">
        <v>12.54</v>
      </c>
      <c r="Y876" s="13">
        <v>2.0659999999999998</v>
      </c>
      <c r="Z876" s="13">
        <v>196.5</v>
      </c>
      <c r="AA876" s="13"/>
      <c r="AB876" s="13"/>
      <c r="AC876" s="14">
        <v>15.000000000000002</v>
      </c>
      <c r="AD876" s="14">
        <v>12.397868561278864</v>
      </c>
      <c r="AE876" s="14">
        <v>28.94472361809045</v>
      </c>
      <c r="AF876" s="14">
        <v>35.180055401662052</v>
      </c>
      <c r="AG876" s="15">
        <v>0.56424833475002723</v>
      </c>
      <c r="AH876" s="15">
        <v>0.59499962873166357</v>
      </c>
      <c r="AI876" s="15">
        <v>0.62209113924668202</v>
      </c>
      <c r="AJ876" s="41">
        <f t="shared" si="26"/>
        <v>7.391</v>
      </c>
      <c r="AK876" s="44">
        <f t="shared" si="27"/>
        <v>14.041353383458645</v>
      </c>
      <c r="AL876" s="10"/>
      <c r="AM876" s="10"/>
    </row>
    <row r="877" spans="1:39" s="16" customFormat="1" ht="19" customHeight="1">
      <c r="A877" s="9" t="s">
        <v>941</v>
      </c>
      <c r="B877" s="10" t="s">
        <v>1362</v>
      </c>
      <c r="C877" s="10"/>
      <c r="D877" s="10"/>
      <c r="E877" s="18" t="s">
        <v>183</v>
      </c>
      <c r="F877" s="18" t="s">
        <v>249</v>
      </c>
      <c r="G877" s="12" t="s">
        <v>439</v>
      </c>
      <c r="H877" s="13">
        <v>1.5699999999999999E-2</v>
      </c>
      <c r="I877" s="13">
        <v>3.0800000000000001E-2</v>
      </c>
      <c r="J877" s="13">
        <v>1.7969999999999999</v>
      </c>
      <c r="K877" s="13">
        <v>3.47</v>
      </c>
      <c r="L877" s="13">
        <v>0.96799999999999997</v>
      </c>
      <c r="M877" s="13">
        <v>1871</v>
      </c>
      <c r="N877" s="13">
        <v>5.95</v>
      </c>
      <c r="O877" s="13">
        <v>3.18</v>
      </c>
      <c r="P877" s="13">
        <v>1.04</v>
      </c>
      <c r="Q877" s="13">
        <v>7.53</v>
      </c>
      <c r="R877" s="13">
        <v>1.613</v>
      </c>
      <c r="S877" s="13">
        <v>13.52</v>
      </c>
      <c r="T877" s="13">
        <v>104.4</v>
      </c>
      <c r="U877" s="13">
        <v>3.4780000000000002</v>
      </c>
      <c r="V877" s="13">
        <v>11.51</v>
      </c>
      <c r="W877" s="13">
        <v>1.476</v>
      </c>
      <c r="X877" s="13">
        <v>8.11</v>
      </c>
      <c r="Y877" s="13">
        <v>1.131</v>
      </c>
      <c r="Z877" s="13">
        <v>201.5</v>
      </c>
      <c r="AA877" s="13"/>
      <c r="AB877" s="13"/>
      <c r="AC877" s="14">
        <v>21.486486486486488</v>
      </c>
      <c r="AD877" s="14">
        <v>18.47246891651865</v>
      </c>
      <c r="AE877" s="14">
        <v>37.8391959798995</v>
      </c>
      <c r="AF877" s="14">
        <v>44.681440443213297</v>
      </c>
      <c r="AG877" s="15">
        <v>0.62274779314962547</v>
      </c>
      <c r="AH877" s="15">
        <v>0.647845269971978</v>
      </c>
      <c r="AI877" s="15">
        <v>0.67355379336993404</v>
      </c>
      <c r="AJ877" s="41">
        <f t="shared" si="26"/>
        <v>12.185</v>
      </c>
      <c r="AK877" s="44">
        <f t="shared" si="27"/>
        <v>17.921455938697317</v>
      </c>
      <c r="AL877" s="10"/>
      <c r="AM877" s="10"/>
    </row>
    <row r="878" spans="1:39" s="16" customFormat="1" ht="19" customHeight="1">
      <c r="A878" s="9" t="s">
        <v>942</v>
      </c>
      <c r="B878" s="10" t="s">
        <v>1362</v>
      </c>
      <c r="C878" s="10"/>
      <c r="D878" s="10"/>
      <c r="E878" s="18" t="s">
        <v>183</v>
      </c>
      <c r="F878" s="18" t="s">
        <v>249</v>
      </c>
      <c r="G878" s="12" t="s">
        <v>439</v>
      </c>
      <c r="H878" s="13">
        <v>2.7300000000000001E-2</v>
      </c>
      <c r="I878" s="13">
        <v>4.5600000000000002E-2</v>
      </c>
      <c r="J878" s="13">
        <v>2.093</v>
      </c>
      <c r="K878" s="13">
        <v>8.09</v>
      </c>
      <c r="L878" s="13">
        <v>1.6559999999999999</v>
      </c>
      <c r="M878" s="13">
        <v>2013</v>
      </c>
      <c r="N878" s="13">
        <v>11.07</v>
      </c>
      <c r="O878" s="13">
        <v>6.52</v>
      </c>
      <c r="P878" s="13">
        <v>2.105</v>
      </c>
      <c r="Q878" s="13">
        <v>14.51</v>
      </c>
      <c r="R878" s="13">
        <v>3.1120000000000001</v>
      </c>
      <c r="S878" s="13">
        <v>23.78</v>
      </c>
      <c r="T878" s="13">
        <v>177.1</v>
      </c>
      <c r="U878" s="13">
        <v>5.96</v>
      </c>
      <c r="V878" s="13">
        <v>17.93</v>
      </c>
      <c r="W878" s="13">
        <v>2.2839999999999998</v>
      </c>
      <c r="X878" s="13">
        <v>11.43</v>
      </c>
      <c r="Y878" s="13">
        <v>1.575</v>
      </c>
      <c r="Z878" s="13">
        <v>233.2</v>
      </c>
      <c r="AA878" s="13"/>
      <c r="AB878" s="13"/>
      <c r="AC878" s="14">
        <v>44.054054054054056</v>
      </c>
      <c r="AD878" s="14">
        <v>37.388987566607462</v>
      </c>
      <c r="AE878" s="14">
        <v>72.914572864321599</v>
      </c>
      <c r="AF878" s="14">
        <v>86.204986149584485</v>
      </c>
      <c r="AG878" s="15">
        <v>0.63929941817131286</v>
      </c>
      <c r="AH878" s="15">
        <v>0.65969561470433602</v>
      </c>
      <c r="AI878" s="15">
        <v>0.6785403156241292</v>
      </c>
      <c r="AJ878" s="41">
        <f t="shared" si="26"/>
        <v>22.908999999999999</v>
      </c>
      <c r="AK878" s="44">
        <f t="shared" si="27"/>
        <v>11.366459627329194</v>
      </c>
      <c r="AL878" s="10"/>
      <c r="AM878" s="10"/>
    </row>
    <row r="879" spans="1:39" s="16" customFormat="1" ht="19" customHeight="1">
      <c r="A879" s="9" t="s">
        <v>943</v>
      </c>
      <c r="B879" s="10" t="s">
        <v>1362</v>
      </c>
      <c r="C879" s="10"/>
      <c r="D879" s="10"/>
      <c r="E879" s="18" t="s">
        <v>183</v>
      </c>
      <c r="F879" s="18" t="s">
        <v>249</v>
      </c>
      <c r="G879" s="12" t="s">
        <v>439</v>
      </c>
      <c r="H879" s="13">
        <v>1.0999999999999999E-2</v>
      </c>
      <c r="I879" s="13">
        <v>4.1500000000000002E-2</v>
      </c>
      <c r="J879" s="13">
        <v>1.454</v>
      </c>
      <c r="K879" s="13">
        <v>6.4</v>
      </c>
      <c r="L879" s="13">
        <v>1.2230000000000001</v>
      </c>
      <c r="M879" s="13">
        <v>2079</v>
      </c>
      <c r="N879" s="13">
        <v>9.39</v>
      </c>
      <c r="O879" s="13">
        <v>5.46</v>
      </c>
      <c r="P879" s="13">
        <v>1.6910000000000001</v>
      </c>
      <c r="Q879" s="13">
        <v>12.48</v>
      </c>
      <c r="R879" s="13">
        <v>2.806</v>
      </c>
      <c r="S879" s="13">
        <v>23.34</v>
      </c>
      <c r="T879" s="13">
        <v>192.8</v>
      </c>
      <c r="U879" s="13">
        <v>6.02</v>
      </c>
      <c r="V879" s="13">
        <v>19.760000000000002</v>
      </c>
      <c r="W879" s="13">
        <v>2.6920000000000002</v>
      </c>
      <c r="X879" s="13">
        <v>15.95</v>
      </c>
      <c r="Y879" s="13">
        <v>2.4620000000000002</v>
      </c>
      <c r="Z879" s="13">
        <v>244.8</v>
      </c>
      <c r="AA879" s="13"/>
      <c r="AB879" s="13"/>
      <c r="AC879" s="14">
        <v>36.891891891891895</v>
      </c>
      <c r="AD879" s="14">
        <v>30.035523978685617</v>
      </c>
      <c r="AE879" s="14">
        <v>62.713567839195981</v>
      </c>
      <c r="AF879" s="14">
        <v>77.72853185595568</v>
      </c>
      <c r="AG879" s="15">
        <v>0.60308991213483099</v>
      </c>
      <c r="AH879" s="15">
        <v>0.62443752632313487</v>
      </c>
      <c r="AI879" s="15">
        <v>0.63506928173117705</v>
      </c>
      <c r="AJ879" s="41">
        <f t="shared" si="26"/>
        <v>18.466999999999999</v>
      </c>
      <c r="AK879" s="44">
        <f t="shared" si="27"/>
        <v>10.783195020746888</v>
      </c>
      <c r="AL879" s="10"/>
      <c r="AM879" s="10"/>
    </row>
    <row r="880" spans="1:39" s="16" customFormat="1" ht="19" customHeight="1">
      <c r="A880" s="9" t="s">
        <v>944</v>
      </c>
      <c r="B880" s="10" t="s">
        <v>1362</v>
      </c>
      <c r="C880" s="10"/>
      <c r="D880" s="10"/>
      <c r="E880" s="18" t="s">
        <v>183</v>
      </c>
      <c r="F880" s="18" t="s">
        <v>249</v>
      </c>
      <c r="G880" s="12" t="s">
        <v>439</v>
      </c>
      <c r="H880" s="13">
        <v>7.7000000000000002E-3</v>
      </c>
      <c r="I880" s="13">
        <v>4.4000000000000003E-3</v>
      </c>
      <c r="J880" s="13">
        <v>0.20100000000000001</v>
      </c>
      <c r="K880" s="13">
        <v>0.36899999999999999</v>
      </c>
      <c r="L880" s="13">
        <v>8.5999999999999993E-2</v>
      </c>
      <c r="M880" s="13">
        <v>1255</v>
      </c>
      <c r="N880" s="13">
        <v>0.36899999999999999</v>
      </c>
      <c r="O880" s="13">
        <v>0.22</v>
      </c>
      <c r="P880" s="13">
        <v>5.8999999999999997E-2</v>
      </c>
      <c r="Q880" s="13">
        <v>0.57499999999999996</v>
      </c>
      <c r="R880" s="13">
        <v>0.151</v>
      </c>
      <c r="S880" s="13">
        <v>1.93</v>
      </c>
      <c r="T880" s="13">
        <v>26.23</v>
      </c>
      <c r="U880" s="13">
        <v>0.74099999999999999</v>
      </c>
      <c r="V880" s="13">
        <v>3.69</v>
      </c>
      <c r="W880" s="13">
        <v>0.68600000000000005</v>
      </c>
      <c r="X880" s="13">
        <v>5.87</v>
      </c>
      <c r="Y880" s="13">
        <v>1.0229999999999999</v>
      </c>
      <c r="Z880" s="13">
        <v>155.80000000000001</v>
      </c>
      <c r="AA880" s="13"/>
      <c r="AB880" s="13"/>
      <c r="AC880" s="14">
        <v>1.4864864864864866</v>
      </c>
      <c r="AD880" s="14">
        <v>1.0479573712255772</v>
      </c>
      <c r="AE880" s="14">
        <v>2.8894472361809043</v>
      </c>
      <c r="AF880" s="14">
        <v>4.1828254847645425</v>
      </c>
      <c r="AG880" s="15">
        <v>0.47896400523488053</v>
      </c>
      <c r="AH880" s="15">
        <v>0.50565668122968832</v>
      </c>
      <c r="AI880" s="15">
        <v>0.49935920289374514</v>
      </c>
      <c r="AJ880" s="41">
        <f t="shared" si="26"/>
        <v>1.0249999999999999</v>
      </c>
      <c r="AK880" s="44">
        <f t="shared" si="27"/>
        <v>47.8459778879146</v>
      </c>
      <c r="AL880" s="10"/>
      <c r="AM880" s="10"/>
    </row>
    <row r="881" spans="1:39" s="16" customFormat="1" ht="19" customHeight="1">
      <c r="A881" s="9" t="s">
        <v>945</v>
      </c>
      <c r="B881" s="10" t="s">
        <v>1362</v>
      </c>
      <c r="C881" s="10"/>
      <c r="D881" s="10"/>
      <c r="E881" s="18" t="s">
        <v>183</v>
      </c>
      <c r="F881" s="18" t="s">
        <v>249</v>
      </c>
      <c r="G881" s="12" t="s">
        <v>439</v>
      </c>
      <c r="H881" s="13">
        <v>2.18E-2</v>
      </c>
      <c r="I881" s="13">
        <v>7.1000000000000004E-3</v>
      </c>
      <c r="J881" s="13">
        <v>1.3420000000000001</v>
      </c>
      <c r="K881" s="13">
        <v>0.40300000000000002</v>
      </c>
      <c r="L881" s="13">
        <v>0.36699999999999999</v>
      </c>
      <c r="M881" s="13">
        <v>1674</v>
      </c>
      <c r="N881" s="13">
        <v>1.49</v>
      </c>
      <c r="O881" s="13">
        <v>0.52800000000000002</v>
      </c>
      <c r="P881" s="13">
        <v>0.16500000000000001</v>
      </c>
      <c r="Q881" s="13">
        <v>1.27</v>
      </c>
      <c r="R881" s="13">
        <v>0.28100000000000003</v>
      </c>
      <c r="S881" s="13">
        <v>4</v>
      </c>
      <c r="T881" s="13">
        <v>51.76</v>
      </c>
      <c r="U881" s="13">
        <v>1.421</v>
      </c>
      <c r="V881" s="13">
        <v>6.79</v>
      </c>
      <c r="W881" s="13">
        <v>1.2589999999999999</v>
      </c>
      <c r="X881" s="13">
        <v>10.039999999999999</v>
      </c>
      <c r="Y881" s="13">
        <v>1.6839999999999999</v>
      </c>
      <c r="Z881" s="13">
        <v>170</v>
      </c>
      <c r="AA881" s="13"/>
      <c r="AB881" s="13"/>
      <c r="AC881" s="14">
        <v>3.567567567567568</v>
      </c>
      <c r="AD881" s="14">
        <v>2.9307282415630556</v>
      </c>
      <c r="AE881" s="14">
        <v>6.3819095477386929</v>
      </c>
      <c r="AF881" s="14">
        <v>7.7839335180055409</v>
      </c>
      <c r="AG881" s="15">
        <v>0.58912206291814628</v>
      </c>
      <c r="AH881" s="15">
        <v>0.6142060974364012</v>
      </c>
      <c r="AI881" s="15">
        <v>0.63337517700793788</v>
      </c>
      <c r="AJ881" s="41">
        <f t="shared" si="26"/>
        <v>3.6020000000000003</v>
      </c>
      <c r="AK881" s="44">
        <f t="shared" si="27"/>
        <v>32.341576506955178</v>
      </c>
      <c r="AL881" s="10"/>
      <c r="AM881" s="10"/>
    </row>
    <row r="882" spans="1:39" s="16" customFormat="1" ht="19" customHeight="1">
      <c r="A882" s="9" t="s">
        <v>946</v>
      </c>
      <c r="B882" s="10" t="s">
        <v>1362</v>
      </c>
      <c r="C882" s="10"/>
      <c r="D882" s="10"/>
      <c r="E882" s="18" t="s">
        <v>183</v>
      </c>
      <c r="F882" s="18" t="s">
        <v>249</v>
      </c>
      <c r="G882" s="12" t="s">
        <v>439</v>
      </c>
      <c r="H882" s="13">
        <v>1.9400000000000001E-2</v>
      </c>
      <c r="I882" s="13">
        <v>3.7000000000000002E-3</v>
      </c>
      <c r="J882" s="13">
        <v>0.68200000000000005</v>
      </c>
      <c r="K882" s="13">
        <v>0.29599999999999999</v>
      </c>
      <c r="L882" s="13">
        <v>0.20699999999999999</v>
      </c>
      <c r="M882" s="13">
        <v>1283</v>
      </c>
      <c r="N882" s="13">
        <v>0.59</v>
      </c>
      <c r="O882" s="13">
        <v>0.27400000000000002</v>
      </c>
      <c r="P882" s="13">
        <v>7.5999999999999998E-2</v>
      </c>
      <c r="Q882" s="13">
        <v>0.79900000000000004</v>
      </c>
      <c r="R882" s="13">
        <v>0.17699999999999999</v>
      </c>
      <c r="S882" s="13">
        <v>2.25</v>
      </c>
      <c r="T882" s="13">
        <v>28.58</v>
      </c>
      <c r="U882" s="13">
        <v>0.81399999999999995</v>
      </c>
      <c r="V882" s="13">
        <v>3.5</v>
      </c>
      <c r="W882" s="13">
        <v>0.56100000000000005</v>
      </c>
      <c r="X882" s="13">
        <v>4.18</v>
      </c>
      <c r="Y882" s="13">
        <v>0.59099999999999997</v>
      </c>
      <c r="Z882" s="13">
        <v>166.8</v>
      </c>
      <c r="AA882" s="13"/>
      <c r="AB882" s="13"/>
      <c r="AC882" s="14">
        <v>1.8513513513513515</v>
      </c>
      <c r="AD882" s="14">
        <v>1.3499111900532861</v>
      </c>
      <c r="AE882" s="14">
        <v>4.0150753768844218</v>
      </c>
      <c r="AF882" s="14">
        <v>4.9030470914127422</v>
      </c>
      <c r="AG882" s="15">
        <v>0.46021581879000084</v>
      </c>
      <c r="AH882" s="15">
        <v>0.49512393614975908</v>
      </c>
      <c r="AI882" s="15">
        <v>0.52701617467637896</v>
      </c>
      <c r="AJ882" s="41">
        <f t="shared" si="26"/>
        <v>1.7749999999999999</v>
      </c>
      <c r="AK882" s="44">
        <f t="shared" si="27"/>
        <v>44.891532540237932</v>
      </c>
      <c r="AL882" s="10"/>
      <c r="AM882" s="10"/>
    </row>
    <row r="883" spans="1:39" s="16" customFormat="1" ht="19" customHeight="1">
      <c r="A883" s="9" t="s">
        <v>947</v>
      </c>
      <c r="B883" s="10" t="s">
        <v>1362</v>
      </c>
      <c r="C883" s="10"/>
      <c r="D883" s="10"/>
      <c r="E883" s="18" t="s">
        <v>183</v>
      </c>
      <c r="F883" s="18" t="s">
        <v>249</v>
      </c>
      <c r="G883" s="12" t="s">
        <v>439</v>
      </c>
      <c r="H883" s="13">
        <v>0.53900000000000003</v>
      </c>
      <c r="I883" s="13">
        <v>0.46300000000000002</v>
      </c>
      <c r="J883" s="13">
        <v>3.12</v>
      </c>
      <c r="K883" s="13">
        <v>0.34699999999999998</v>
      </c>
      <c r="L883" s="13">
        <v>0.90500000000000003</v>
      </c>
      <c r="M883" s="13">
        <v>1452</v>
      </c>
      <c r="N883" s="13">
        <v>2.72</v>
      </c>
      <c r="O883" s="13">
        <v>0.749</v>
      </c>
      <c r="P883" s="13">
        <v>0.17399999999999999</v>
      </c>
      <c r="Q883" s="13">
        <v>1.23</v>
      </c>
      <c r="R883" s="13">
        <v>0.28499999999999998</v>
      </c>
      <c r="S883" s="13">
        <v>3.28</v>
      </c>
      <c r="T883" s="13">
        <v>43.18</v>
      </c>
      <c r="U883" s="13">
        <v>1.2050000000000001</v>
      </c>
      <c r="V883" s="13">
        <v>5.61</v>
      </c>
      <c r="W883" s="13">
        <v>0.96799999999999997</v>
      </c>
      <c r="X883" s="13">
        <v>7.36</v>
      </c>
      <c r="Y883" s="13">
        <v>1.071</v>
      </c>
      <c r="Z883" s="13">
        <v>162.4</v>
      </c>
      <c r="AA883" s="13"/>
      <c r="AB883" s="13"/>
      <c r="AC883" s="14">
        <v>5.0608108108108114</v>
      </c>
      <c r="AD883" s="14">
        <v>3.0905861456483126</v>
      </c>
      <c r="AE883" s="14">
        <v>6.1809045226130648</v>
      </c>
      <c r="AF883" s="14">
        <v>7.8947368421052628</v>
      </c>
      <c r="AG883" s="15">
        <v>0.54984244912506897</v>
      </c>
      <c r="AH883" s="15">
        <v>0.55259224368577342</v>
      </c>
      <c r="AI883" s="15">
        <v>0.5265604457618166</v>
      </c>
      <c r="AJ883" s="41">
        <f t="shared" si="26"/>
        <v>7.0920000000000005</v>
      </c>
      <c r="AK883" s="44">
        <f t="shared" si="27"/>
        <v>33.626679018063918</v>
      </c>
      <c r="AL883" s="10"/>
      <c r="AM883" s="10"/>
    </row>
    <row r="884" spans="1:39" s="16" customFormat="1" ht="19" customHeight="1">
      <c r="A884" s="9" t="s">
        <v>948</v>
      </c>
      <c r="B884" s="10" t="s">
        <v>1362</v>
      </c>
      <c r="C884" s="10"/>
      <c r="D884" s="10"/>
      <c r="E884" s="18" t="s">
        <v>183</v>
      </c>
      <c r="F884" s="18" t="s">
        <v>249</v>
      </c>
      <c r="G884" s="12" t="s">
        <v>439</v>
      </c>
      <c r="H884" s="13">
        <v>0.17699999999999999</v>
      </c>
      <c r="I884" s="13">
        <v>0.106</v>
      </c>
      <c r="J884" s="13">
        <v>1.81</v>
      </c>
      <c r="K884" s="13">
        <v>6.37</v>
      </c>
      <c r="L884" s="13">
        <v>1.1399999999999999</v>
      </c>
      <c r="M884" s="13">
        <v>1714</v>
      </c>
      <c r="N884" s="13">
        <v>7.77</v>
      </c>
      <c r="O884" s="13">
        <v>4.18</v>
      </c>
      <c r="P884" s="13">
        <v>1.198</v>
      </c>
      <c r="Q884" s="13">
        <v>9.6999999999999993</v>
      </c>
      <c r="R884" s="13">
        <v>2.06</v>
      </c>
      <c r="S884" s="13">
        <v>20.75</v>
      </c>
      <c r="T884" s="13">
        <v>210.9</v>
      </c>
      <c r="U884" s="13">
        <v>6.17</v>
      </c>
      <c r="V884" s="13">
        <v>21.95</v>
      </c>
      <c r="W884" s="13">
        <v>2.9609999999999999</v>
      </c>
      <c r="X884" s="13">
        <v>17.43</v>
      </c>
      <c r="Y884" s="13">
        <v>2.4580000000000002</v>
      </c>
      <c r="Z884" s="13">
        <v>204.3</v>
      </c>
      <c r="AA884" s="13"/>
      <c r="AB884" s="13"/>
      <c r="AC884" s="14">
        <v>28.243243243243242</v>
      </c>
      <c r="AD884" s="14">
        <v>21.27886323268206</v>
      </c>
      <c r="AE884" s="14">
        <v>48.743718592964818</v>
      </c>
      <c r="AF884" s="14">
        <v>57.063711911357345</v>
      </c>
      <c r="AG884" s="15">
        <v>0.55279134869495028</v>
      </c>
      <c r="AH884" s="15">
        <v>0.57349787242310968</v>
      </c>
      <c r="AI884" s="15">
        <v>0.59596218846780302</v>
      </c>
      <c r="AJ884" s="41">
        <f t="shared" si="26"/>
        <v>17.09</v>
      </c>
      <c r="AK884" s="44">
        <f t="shared" si="27"/>
        <v>8.1270744428639166</v>
      </c>
      <c r="AL884" s="10"/>
      <c r="AM884" s="10"/>
    </row>
    <row r="885" spans="1:39" s="16" customFormat="1" ht="19" customHeight="1">
      <c r="A885" s="9" t="s">
        <v>949</v>
      </c>
      <c r="B885" s="10" t="s">
        <v>1362</v>
      </c>
      <c r="C885" s="10"/>
      <c r="D885" s="10"/>
      <c r="E885" s="18" t="s">
        <v>183</v>
      </c>
      <c r="F885" s="18" t="s">
        <v>249</v>
      </c>
      <c r="G885" s="12" t="s">
        <v>439</v>
      </c>
      <c r="H885" s="13">
        <v>2.8500000000000001E-2</v>
      </c>
      <c r="I885" s="13">
        <v>4.9799999999999997E-2</v>
      </c>
      <c r="J885" s="13">
        <v>1.222</v>
      </c>
      <c r="K885" s="13">
        <v>4.6100000000000003</v>
      </c>
      <c r="L885" s="13">
        <v>1.014</v>
      </c>
      <c r="M885" s="13">
        <v>1813</v>
      </c>
      <c r="N885" s="13">
        <v>6.86</v>
      </c>
      <c r="O885" s="13">
        <v>4.24</v>
      </c>
      <c r="P885" s="13">
        <v>1.27</v>
      </c>
      <c r="Q885" s="13">
        <v>10.24</v>
      </c>
      <c r="R885" s="13">
        <v>2.2810000000000001</v>
      </c>
      <c r="S885" s="13">
        <v>23.35</v>
      </c>
      <c r="T885" s="13">
        <v>243.2</v>
      </c>
      <c r="U885" s="13">
        <v>7.13</v>
      </c>
      <c r="V885" s="13">
        <v>25.81</v>
      </c>
      <c r="W885" s="13">
        <v>3.6629999999999998</v>
      </c>
      <c r="X885" s="13">
        <v>22.01</v>
      </c>
      <c r="Y885" s="13">
        <v>3.198</v>
      </c>
      <c r="Z885" s="13">
        <v>201.4</v>
      </c>
      <c r="AA885" s="13"/>
      <c r="AB885" s="13"/>
      <c r="AC885" s="14">
        <v>28.648648648648653</v>
      </c>
      <c r="AD885" s="14">
        <v>22.557726465364123</v>
      </c>
      <c r="AE885" s="14">
        <v>51.457286432160799</v>
      </c>
      <c r="AF885" s="14">
        <v>63.18559556786704</v>
      </c>
      <c r="AG885" s="15">
        <v>0.56319738213175563</v>
      </c>
      <c r="AH885" s="15">
        <v>0.58751615829660431</v>
      </c>
      <c r="AI885" s="15">
        <v>0.60490411328258498</v>
      </c>
      <c r="AJ885" s="41">
        <f t="shared" si="26"/>
        <v>13.706000000000001</v>
      </c>
      <c r="AK885" s="44">
        <f t="shared" si="27"/>
        <v>7.4547697368421053</v>
      </c>
      <c r="AL885" s="10"/>
      <c r="AM885" s="10"/>
    </row>
    <row r="886" spans="1:39" s="16" customFormat="1" ht="19" customHeight="1">
      <c r="A886" s="9" t="s">
        <v>950</v>
      </c>
      <c r="B886" s="10" t="s">
        <v>1362</v>
      </c>
      <c r="C886" s="10"/>
      <c r="D886" s="10"/>
      <c r="E886" s="18" t="s">
        <v>183</v>
      </c>
      <c r="F886" s="18" t="s">
        <v>249</v>
      </c>
      <c r="G886" s="12" t="s">
        <v>439</v>
      </c>
      <c r="H886" s="13">
        <v>4.0000000000000002E-4</v>
      </c>
      <c r="I886" s="13">
        <v>7.1999999999999998E-3</v>
      </c>
      <c r="J886" s="13">
        <v>0.29799999999999999</v>
      </c>
      <c r="K886" s="13">
        <v>0.57399999999999995</v>
      </c>
      <c r="L886" s="13">
        <v>0.16200000000000001</v>
      </c>
      <c r="M886" s="13">
        <v>1489</v>
      </c>
      <c r="N886" s="13">
        <v>0.99</v>
      </c>
      <c r="O886" s="13">
        <v>0.54100000000000004</v>
      </c>
      <c r="P886" s="13">
        <v>0.187</v>
      </c>
      <c r="Q886" s="13">
        <v>1.488</v>
      </c>
      <c r="R886" s="13">
        <v>0.35799999999999998</v>
      </c>
      <c r="S886" s="13">
        <v>4.22</v>
      </c>
      <c r="T886" s="13">
        <v>52.8</v>
      </c>
      <c r="U886" s="13">
        <v>1.4730000000000001</v>
      </c>
      <c r="V886" s="13">
        <v>6.32</v>
      </c>
      <c r="W886" s="13">
        <v>1.159</v>
      </c>
      <c r="X886" s="13">
        <v>8.5</v>
      </c>
      <c r="Y886" s="13">
        <v>1.345</v>
      </c>
      <c r="Z886" s="13">
        <v>164.2</v>
      </c>
      <c r="AA886" s="13"/>
      <c r="AB886" s="13"/>
      <c r="AC886" s="14">
        <v>3.6554054054054057</v>
      </c>
      <c r="AD886" s="14">
        <v>3.321492007104796</v>
      </c>
      <c r="AE886" s="14">
        <v>7.4773869346733663</v>
      </c>
      <c r="AF886" s="14">
        <v>9.9168975069252081</v>
      </c>
      <c r="AG886" s="15">
        <v>0.59670420603233743</v>
      </c>
      <c r="AH886" s="15">
        <v>0.63531704821399371</v>
      </c>
      <c r="AI886" s="15">
        <v>0.6515047259200919</v>
      </c>
      <c r="AJ886" s="41">
        <f t="shared" si="26"/>
        <v>2.024</v>
      </c>
      <c r="AK886" s="44">
        <f t="shared" si="27"/>
        <v>28.200757575757578</v>
      </c>
      <c r="AL886" s="10"/>
      <c r="AM886" s="10"/>
    </row>
    <row r="887" spans="1:39" s="16" customFormat="1" ht="19" customHeight="1">
      <c r="A887" s="9" t="s">
        <v>951</v>
      </c>
      <c r="B887" s="10" t="s">
        <v>952</v>
      </c>
      <c r="C887" s="10"/>
      <c r="D887" s="10"/>
      <c r="E887" s="37" t="s">
        <v>953</v>
      </c>
      <c r="F887" s="37" t="s">
        <v>249</v>
      </c>
      <c r="G887" s="12" t="s">
        <v>954</v>
      </c>
      <c r="H887" s="13">
        <v>12.91</v>
      </c>
      <c r="I887" s="13">
        <v>5.41</v>
      </c>
      <c r="J887" s="13">
        <v>1461.94</v>
      </c>
      <c r="K887" s="13">
        <v>3853.66</v>
      </c>
      <c r="L887" s="13">
        <v>451.7</v>
      </c>
      <c r="M887" s="13">
        <v>237.13</v>
      </c>
      <c r="N887" s="13">
        <v>1810.86</v>
      </c>
      <c r="O887" s="13">
        <v>317.2</v>
      </c>
      <c r="P887" s="13">
        <v>31.04</v>
      </c>
      <c r="Q887" s="13">
        <v>262.20999999999998</v>
      </c>
      <c r="R887" s="13">
        <v>31.13</v>
      </c>
      <c r="S887" s="13">
        <v>169.74</v>
      </c>
      <c r="T887" s="13">
        <v>813.53</v>
      </c>
      <c r="U887" s="13">
        <v>29.94</v>
      </c>
      <c r="V887" s="13">
        <v>71.2</v>
      </c>
      <c r="W887" s="13">
        <v>8.17</v>
      </c>
      <c r="X887" s="13">
        <v>46.72</v>
      </c>
      <c r="Y887" s="13">
        <v>5.88</v>
      </c>
      <c r="Z887" s="13">
        <v>340.55</v>
      </c>
      <c r="AA887" s="13"/>
      <c r="AB887" s="13"/>
      <c r="AC887" s="14">
        <v>2143.2432432432433</v>
      </c>
      <c r="AD887" s="14">
        <v>551.33214920071055</v>
      </c>
      <c r="AE887" s="14">
        <v>1317.6381909547738</v>
      </c>
      <c r="AF887" s="14">
        <v>862.32686980609412</v>
      </c>
      <c r="AG887" s="15">
        <v>0.31860793828579664</v>
      </c>
      <c r="AH887" s="15">
        <v>0.32807980568412493</v>
      </c>
      <c r="AI887" s="15">
        <v>0.34845099016890102</v>
      </c>
      <c r="AJ887" s="41">
        <f t="shared" si="26"/>
        <v>7578.16</v>
      </c>
      <c r="AK887" s="44">
        <f t="shared" si="27"/>
        <v>0.29148279719248216</v>
      </c>
      <c r="AL887" s="10"/>
      <c r="AM887" s="10"/>
    </row>
    <row r="888" spans="1:39" s="16" customFormat="1" ht="19" customHeight="1">
      <c r="A888" s="9" t="s">
        <v>955</v>
      </c>
      <c r="B888" s="10" t="s">
        <v>952</v>
      </c>
      <c r="C888" s="10"/>
      <c r="D888" s="10"/>
      <c r="E888" s="37" t="s">
        <v>953</v>
      </c>
      <c r="F888" s="37" t="s">
        <v>249</v>
      </c>
      <c r="G888" s="12" t="s">
        <v>954</v>
      </c>
      <c r="H888" s="13">
        <v>956.79</v>
      </c>
      <c r="I888" s="13">
        <v>186.98</v>
      </c>
      <c r="J888" s="13">
        <v>11077.16</v>
      </c>
      <c r="K888" s="13">
        <v>29985.79</v>
      </c>
      <c r="L888" s="13">
        <v>2479.3200000000002</v>
      </c>
      <c r="M888" s="13">
        <v>133.06</v>
      </c>
      <c r="N888" s="13">
        <v>9044.07</v>
      </c>
      <c r="O888" s="13">
        <v>1329.4</v>
      </c>
      <c r="P888" s="13">
        <v>75.209999999999994</v>
      </c>
      <c r="Q888" s="13">
        <v>1207.31</v>
      </c>
      <c r="R888" s="13">
        <v>158.38</v>
      </c>
      <c r="S888" s="13">
        <v>943.29</v>
      </c>
      <c r="T888" s="13">
        <v>4122.12</v>
      </c>
      <c r="U888" s="13">
        <v>178.45</v>
      </c>
      <c r="V888" s="13">
        <v>451.62</v>
      </c>
      <c r="W888" s="13">
        <v>47.49</v>
      </c>
      <c r="X888" s="13">
        <v>220.93</v>
      </c>
      <c r="Y888" s="13">
        <v>21.89</v>
      </c>
      <c r="Z888" s="13">
        <v>183.16</v>
      </c>
      <c r="AA888" s="13"/>
      <c r="AB888" s="13"/>
      <c r="AC888" s="14">
        <v>8982.4324324324334</v>
      </c>
      <c r="AD888" s="14">
        <v>1335.8792184724689</v>
      </c>
      <c r="AE888" s="14">
        <v>6066.8844221105519</v>
      </c>
      <c r="AF888" s="14">
        <v>4387.2576177285318</v>
      </c>
      <c r="AG888" s="15">
        <v>0.17753353609126818</v>
      </c>
      <c r="AH888" s="15">
        <v>0.18096198588816398</v>
      </c>
      <c r="AI888" s="15">
        <v>0.18884558789095743</v>
      </c>
      <c r="AJ888" s="41">
        <f t="shared" si="26"/>
        <v>52586.34</v>
      </c>
      <c r="AK888" s="44">
        <f t="shared" si="27"/>
        <v>3.2279506661620723E-2</v>
      </c>
      <c r="AL888" s="10"/>
      <c r="AM888" s="10"/>
    </row>
    <row r="889" spans="1:39" s="16" customFormat="1" ht="19" customHeight="1">
      <c r="A889" s="9" t="s">
        <v>956</v>
      </c>
      <c r="B889" s="10" t="s">
        <v>952</v>
      </c>
      <c r="C889" s="10"/>
      <c r="D889" s="10"/>
      <c r="E889" s="37" t="s">
        <v>953</v>
      </c>
      <c r="F889" s="37" t="s">
        <v>249</v>
      </c>
      <c r="G889" s="12" t="s">
        <v>954</v>
      </c>
      <c r="H889" s="13">
        <v>1244.57</v>
      </c>
      <c r="I889" s="13">
        <v>235.29</v>
      </c>
      <c r="J889" s="13">
        <v>16541.689999999999</v>
      </c>
      <c r="K889" s="13">
        <v>35129.94</v>
      </c>
      <c r="L889" s="13">
        <v>4137.9799999999996</v>
      </c>
      <c r="M889" s="13">
        <v>151.68</v>
      </c>
      <c r="N889" s="13">
        <v>13091.13</v>
      </c>
      <c r="O889" s="13">
        <v>2122.1999999999998</v>
      </c>
      <c r="P889" s="13">
        <v>92.32</v>
      </c>
      <c r="Q889" s="13">
        <v>1792.03</v>
      </c>
      <c r="R889" s="13">
        <v>249.43</v>
      </c>
      <c r="S889" s="13">
        <v>1377.93</v>
      </c>
      <c r="T889" s="13">
        <v>5793.54</v>
      </c>
      <c r="U889" s="13">
        <v>268.68</v>
      </c>
      <c r="V889" s="13">
        <v>621.85</v>
      </c>
      <c r="W889" s="13">
        <v>71.13</v>
      </c>
      <c r="X889" s="13">
        <v>308.39</v>
      </c>
      <c r="Y889" s="13">
        <v>34.520000000000003</v>
      </c>
      <c r="Z889" s="13">
        <v>235.7</v>
      </c>
      <c r="AA889" s="13"/>
      <c r="AB889" s="13"/>
      <c r="AC889" s="14">
        <v>14339.189189189188</v>
      </c>
      <c r="AD889" s="14">
        <v>1639.7868561278863</v>
      </c>
      <c r="AE889" s="14">
        <v>9005.1758793969839</v>
      </c>
      <c r="AF889" s="14">
        <v>6909.4182825484768</v>
      </c>
      <c r="AG889" s="15">
        <v>0.14048673856069013</v>
      </c>
      <c r="AH889" s="15">
        <v>0.14430421075100885</v>
      </c>
      <c r="AI889" s="15">
        <v>0.14586704215476365</v>
      </c>
      <c r="AJ889" s="41">
        <f t="shared" si="26"/>
        <v>68900.740000000005</v>
      </c>
      <c r="AK889" s="44">
        <f t="shared" si="27"/>
        <v>2.6180884226224381E-2</v>
      </c>
      <c r="AL889" s="10"/>
      <c r="AM889" s="10"/>
    </row>
    <row r="890" spans="1:39" s="16" customFormat="1" ht="19" customHeight="1">
      <c r="A890" s="9" t="s">
        <v>957</v>
      </c>
      <c r="B890" s="10" t="s">
        <v>952</v>
      </c>
      <c r="C890" s="10"/>
      <c r="D890" s="10"/>
      <c r="E890" s="37" t="s">
        <v>953</v>
      </c>
      <c r="F890" s="37" t="s">
        <v>249</v>
      </c>
      <c r="G890" s="12" t="s">
        <v>954</v>
      </c>
      <c r="H890" s="13">
        <v>122.42</v>
      </c>
      <c r="I890" s="13">
        <v>23.36</v>
      </c>
      <c r="J890" s="13">
        <v>5386.6</v>
      </c>
      <c r="K890" s="13">
        <v>12674.45</v>
      </c>
      <c r="L890" s="13">
        <v>1541.56</v>
      </c>
      <c r="M890" s="13">
        <v>162.68</v>
      </c>
      <c r="N890" s="13">
        <v>6369.42</v>
      </c>
      <c r="O890" s="13">
        <v>1060.93</v>
      </c>
      <c r="P890" s="13">
        <v>39.65</v>
      </c>
      <c r="Q890" s="13">
        <v>888.43</v>
      </c>
      <c r="R890" s="13">
        <v>105.67</v>
      </c>
      <c r="S890" s="13">
        <v>576.79999999999995</v>
      </c>
      <c r="T890" s="13">
        <v>2498.0300000000002</v>
      </c>
      <c r="U890" s="13">
        <v>100.74</v>
      </c>
      <c r="V890" s="13">
        <v>240.96</v>
      </c>
      <c r="W890" s="13">
        <v>26.08</v>
      </c>
      <c r="X890" s="13">
        <v>127.83</v>
      </c>
      <c r="Y890" s="13">
        <v>14.45</v>
      </c>
      <c r="Z890" s="13">
        <v>171.67</v>
      </c>
      <c r="AA890" s="13"/>
      <c r="AB890" s="13"/>
      <c r="AC890" s="14">
        <v>7168.4459459459467</v>
      </c>
      <c r="AD890" s="14">
        <v>704.26287744227352</v>
      </c>
      <c r="AE890" s="14">
        <v>4464.4723618090447</v>
      </c>
      <c r="AF890" s="14">
        <v>2927.146814404432</v>
      </c>
      <c r="AG890" s="15">
        <v>0.12108103208681219</v>
      </c>
      <c r="AH890" s="15">
        <v>0.12449078918011515</v>
      </c>
      <c r="AI890" s="15">
        <v>0.13242499101993863</v>
      </c>
      <c r="AJ890" s="41">
        <f t="shared" si="26"/>
        <v>25972.030000000006</v>
      </c>
      <c r="AK890" s="44">
        <f t="shared" si="27"/>
        <v>6.5123317173933062E-2</v>
      </c>
      <c r="AL890" s="10"/>
      <c r="AM890" s="10"/>
    </row>
    <row r="891" spans="1:39" s="16" customFormat="1" ht="19" customHeight="1">
      <c r="A891" s="9" t="s">
        <v>958</v>
      </c>
      <c r="B891" s="10" t="s">
        <v>952</v>
      </c>
      <c r="C891" s="10"/>
      <c r="D891" s="10"/>
      <c r="E891" s="37" t="s">
        <v>953</v>
      </c>
      <c r="F891" s="37" t="s">
        <v>249</v>
      </c>
      <c r="G891" s="12" t="s">
        <v>954</v>
      </c>
      <c r="H891" s="13">
        <v>11.72</v>
      </c>
      <c r="I891" s="13">
        <v>5.32</v>
      </c>
      <c r="J891" s="13">
        <v>1368.07</v>
      </c>
      <c r="K891" s="13">
        <v>3759.59</v>
      </c>
      <c r="L891" s="13">
        <v>437.69</v>
      </c>
      <c r="M891" s="13">
        <v>257.12</v>
      </c>
      <c r="N891" s="13">
        <v>1724.46</v>
      </c>
      <c r="O891" s="13">
        <v>293.69</v>
      </c>
      <c r="P891" s="13">
        <v>28.87</v>
      </c>
      <c r="Q891" s="13">
        <v>249.18</v>
      </c>
      <c r="R891" s="13">
        <v>29.09</v>
      </c>
      <c r="S891" s="13">
        <v>156.93</v>
      </c>
      <c r="T891" s="13">
        <v>742.46</v>
      </c>
      <c r="U891" s="13">
        <v>27.37</v>
      </c>
      <c r="V891" s="13">
        <v>65.7</v>
      </c>
      <c r="W891" s="13">
        <v>7.54</v>
      </c>
      <c r="X891" s="13">
        <v>40.729999999999997</v>
      </c>
      <c r="Y891" s="13">
        <v>4.95</v>
      </c>
      <c r="Z891" s="13">
        <v>356.67</v>
      </c>
      <c r="AA891" s="13"/>
      <c r="AB891" s="13"/>
      <c r="AC891" s="14">
        <v>1984.3918918918919</v>
      </c>
      <c r="AD891" s="14">
        <v>512.78863232682068</v>
      </c>
      <c r="AE891" s="14">
        <v>1252.1608040201004</v>
      </c>
      <c r="AF891" s="14">
        <v>805.81717451523548</v>
      </c>
      <c r="AG891" s="15">
        <v>0.31687334056047411</v>
      </c>
      <c r="AH891" s="15">
        <v>0.32530790332549153</v>
      </c>
      <c r="AI891" s="15">
        <v>0.34895914727881311</v>
      </c>
      <c r="AJ891" s="41">
        <f t="shared" si="26"/>
        <v>7289.8099999999995</v>
      </c>
      <c r="AK891" s="44">
        <f t="shared" si="27"/>
        <v>0.34630821862457234</v>
      </c>
      <c r="AL891" s="10"/>
      <c r="AM891" s="10"/>
    </row>
    <row r="892" spans="1:39" s="16" customFormat="1" ht="19" customHeight="1">
      <c r="A892" s="9" t="s">
        <v>959</v>
      </c>
      <c r="B892" s="10" t="s">
        <v>952</v>
      </c>
      <c r="C892" s="10"/>
      <c r="D892" s="10"/>
      <c r="E892" s="37" t="s">
        <v>953</v>
      </c>
      <c r="F892" s="37" t="s">
        <v>249</v>
      </c>
      <c r="G892" s="12" t="s">
        <v>954</v>
      </c>
      <c r="H892" s="13">
        <v>14.44</v>
      </c>
      <c r="I892" s="13">
        <v>5.53</v>
      </c>
      <c r="J892" s="13">
        <v>1635.26</v>
      </c>
      <c r="K892" s="13">
        <v>3899.57</v>
      </c>
      <c r="L892" s="13">
        <v>477.23</v>
      </c>
      <c r="M892" s="13">
        <v>240.53</v>
      </c>
      <c r="N892" s="13">
        <v>1984.5</v>
      </c>
      <c r="O892" s="13">
        <v>341.41</v>
      </c>
      <c r="P892" s="13">
        <v>30.6</v>
      </c>
      <c r="Q892" s="13">
        <v>283.27999999999997</v>
      </c>
      <c r="R892" s="13">
        <v>34.07</v>
      </c>
      <c r="S892" s="13">
        <v>187.45</v>
      </c>
      <c r="T892" s="13">
        <v>894.1</v>
      </c>
      <c r="U892" s="13">
        <v>32.729999999999997</v>
      </c>
      <c r="V892" s="13">
        <v>78.34</v>
      </c>
      <c r="W892" s="13">
        <v>8.83</v>
      </c>
      <c r="X892" s="13">
        <v>48.23</v>
      </c>
      <c r="Y892" s="13">
        <v>5.94</v>
      </c>
      <c r="Z892" s="13">
        <v>298.14</v>
      </c>
      <c r="AA892" s="13"/>
      <c r="AB892" s="13"/>
      <c r="AC892" s="14">
        <v>2306.8243243243246</v>
      </c>
      <c r="AD892" s="14">
        <v>543.51687388987568</v>
      </c>
      <c r="AE892" s="14">
        <v>1423.5175879396984</v>
      </c>
      <c r="AF892" s="14">
        <v>943.7673130193906</v>
      </c>
      <c r="AG892" s="15">
        <v>0.29140324756987429</v>
      </c>
      <c r="AH892" s="15">
        <v>0.29993306934881409</v>
      </c>
      <c r="AI892" s="15">
        <v>0.31738157180056409</v>
      </c>
      <c r="AJ892" s="41">
        <f t="shared" si="26"/>
        <v>7996.5599999999995</v>
      </c>
      <c r="AK892" s="44">
        <f t="shared" si="27"/>
        <v>0.26901912537747458</v>
      </c>
      <c r="AL892" s="10"/>
      <c r="AM892" s="10"/>
    </row>
    <row r="893" spans="1:39" s="16" customFormat="1" ht="19" customHeight="1">
      <c r="A893" s="9" t="s">
        <v>960</v>
      </c>
      <c r="B893" s="10" t="s">
        <v>952</v>
      </c>
      <c r="C893" s="10"/>
      <c r="D893" s="10"/>
      <c r="E893" s="37" t="s">
        <v>953</v>
      </c>
      <c r="F893" s="37" t="s">
        <v>249</v>
      </c>
      <c r="G893" s="12" t="s">
        <v>954</v>
      </c>
      <c r="H893" s="13">
        <v>8.6</v>
      </c>
      <c r="I893" s="13">
        <v>3.95</v>
      </c>
      <c r="J893" s="13">
        <v>1669.63</v>
      </c>
      <c r="K893" s="13">
        <v>3977.22</v>
      </c>
      <c r="L893" s="13">
        <v>443.73</v>
      </c>
      <c r="M893" s="13">
        <v>282.81</v>
      </c>
      <c r="N893" s="13">
        <v>1716.81</v>
      </c>
      <c r="O893" s="13">
        <v>274.47000000000003</v>
      </c>
      <c r="P893" s="13">
        <v>18.100000000000001</v>
      </c>
      <c r="Q893" s="13">
        <v>233.53</v>
      </c>
      <c r="R893" s="13">
        <v>28.83</v>
      </c>
      <c r="S893" s="13">
        <v>159.12</v>
      </c>
      <c r="T893" s="13">
        <v>800.93</v>
      </c>
      <c r="U893" s="13">
        <v>29.6</v>
      </c>
      <c r="V893" s="13">
        <v>72.13</v>
      </c>
      <c r="W893" s="13">
        <v>8.02</v>
      </c>
      <c r="X893" s="13">
        <v>43.12</v>
      </c>
      <c r="Y893" s="13">
        <v>4.99</v>
      </c>
      <c r="Z893" s="13">
        <v>233.14</v>
      </c>
      <c r="AA893" s="13"/>
      <c r="AB893" s="13"/>
      <c r="AC893" s="14">
        <v>1854.5270270270273</v>
      </c>
      <c r="AD893" s="14">
        <v>321.49200710479579</v>
      </c>
      <c r="AE893" s="14">
        <v>1173.5175879396984</v>
      </c>
      <c r="AF893" s="14">
        <v>798.61495844875344</v>
      </c>
      <c r="AG893" s="15">
        <v>0.21234297904050436</v>
      </c>
      <c r="AH893" s="15">
        <v>0.21792587334019556</v>
      </c>
      <c r="AI893" s="15">
        <v>0.22956319238114667</v>
      </c>
      <c r="AJ893" s="41">
        <f t="shared" si="26"/>
        <v>7807.3899999999994</v>
      </c>
      <c r="AK893" s="44">
        <f t="shared" si="27"/>
        <v>0.35310201890302528</v>
      </c>
      <c r="AL893" s="10"/>
      <c r="AM893" s="10"/>
    </row>
    <row r="894" spans="1:39" s="16" customFormat="1" ht="19" customHeight="1">
      <c r="A894" s="9" t="s">
        <v>961</v>
      </c>
      <c r="B894" s="10" t="s">
        <v>952</v>
      </c>
      <c r="C894" s="10"/>
      <c r="D894" s="10"/>
      <c r="E894" s="37" t="s">
        <v>953</v>
      </c>
      <c r="F894" s="37" t="s">
        <v>249</v>
      </c>
      <c r="G894" s="12" t="s">
        <v>954</v>
      </c>
      <c r="H894" s="13">
        <v>17.45</v>
      </c>
      <c r="I894" s="13">
        <v>5.87</v>
      </c>
      <c r="J894" s="13">
        <v>1769.47</v>
      </c>
      <c r="K894" s="13">
        <v>4210.24</v>
      </c>
      <c r="L894" s="13">
        <v>489.74</v>
      </c>
      <c r="M894" s="13">
        <v>295.39999999999998</v>
      </c>
      <c r="N894" s="13">
        <v>1857.57</v>
      </c>
      <c r="O894" s="13">
        <v>308.89</v>
      </c>
      <c r="P894" s="13">
        <v>19.670000000000002</v>
      </c>
      <c r="Q894" s="13">
        <v>267.51</v>
      </c>
      <c r="R894" s="13">
        <v>32.15</v>
      </c>
      <c r="S894" s="13">
        <v>182.29</v>
      </c>
      <c r="T894" s="13">
        <v>854.04</v>
      </c>
      <c r="U894" s="13">
        <v>31.66</v>
      </c>
      <c r="V894" s="13">
        <v>78.88</v>
      </c>
      <c r="W894" s="13">
        <v>8.81</v>
      </c>
      <c r="X894" s="13">
        <v>46.05</v>
      </c>
      <c r="Y894" s="13">
        <v>5.41</v>
      </c>
      <c r="Z894" s="13">
        <v>232.88</v>
      </c>
      <c r="AA894" s="13"/>
      <c r="AB894" s="13"/>
      <c r="AC894" s="14">
        <v>2087.0945945945946</v>
      </c>
      <c r="AD894" s="14">
        <v>349.37833037300186</v>
      </c>
      <c r="AE894" s="14">
        <v>1344.2713567839194</v>
      </c>
      <c r="AF894" s="14">
        <v>890.58171745152356</v>
      </c>
      <c r="AG894" s="15">
        <v>0.20363804696065302</v>
      </c>
      <c r="AH894" s="15">
        <v>0.20858420859221791</v>
      </c>
      <c r="AI894" s="15">
        <v>0.22235314918795687</v>
      </c>
      <c r="AJ894" s="41">
        <f t="shared" si="26"/>
        <v>8327.02</v>
      </c>
      <c r="AK894" s="44">
        <f t="shared" si="27"/>
        <v>0.34588543862114185</v>
      </c>
      <c r="AL894" s="10"/>
      <c r="AM894" s="10"/>
    </row>
    <row r="895" spans="1:39" s="16" customFormat="1" ht="19" customHeight="1">
      <c r="A895" s="9" t="s">
        <v>962</v>
      </c>
      <c r="B895" s="10" t="s">
        <v>952</v>
      </c>
      <c r="C895" s="10"/>
      <c r="D895" s="10"/>
      <c r="E895" s="37" t="s">
        <v>953</v>
      </c>
      <c r="F895" s="37" t="s">
        <v>249</v>
      </c>
      <c r="G895" s="12" t="s">
        <v>954</v>
      </c>
      <c r="H895" s="13">
        <v>65.37</v>
      </c>
      <c r="I895" s="13">
        <v>14.56</v>
      </c>
      <c r="J895" s="13">
        <v>5532.88</v>
      </c>
      <c r="K895" s="13">
        <v>14210.76</v>
      </c>
      <c r="L895" s="13">
        <v>1486.32</v>
      </c>
      <c r="M895" s="13">
        <v>795.48</v>
      </c>
      <c r="N895" s="13">
        <v>5175.25</v>
      </c>
      <c r="O895" s="13">
        <v>777.88</v>
      </c>
      <c r="P895" s="13">
        <v>53.16</v>
      </c>
      <c r="Q895" s="13">
        <v>536.76</v>
      </c>
      <c r="R895" s="13">
        <v>64.16</v>
      </c>
      <c r="S895" s="13">
        <v>338.91</v>
      </c>
      <c r="T895" s="13">
        <v>1395.92</v>
      </c>
      <c r="U895" s="13">
        <v>55.71</v>
      </c>
      <c r="V895" s="13">
        <v>124.44</v>
      </c>
      <c r="W895" s="13">
        <v>14.18</v>
      </c>
      <c r="X895" s="13">
        <v>69.849999999999994</v>
      </c>
      <c r="Y895" s="13">
        <v>7.1</v>
      </c>
      <c r="Z895" s="13">
        <v>164.55</v>
      </c>
      <c r="AA895" s="13"/>
      <c r="AB895" s="13"/>
      <c r="AC895" s="14">
        <v>5255.9459459459458</v>
      </c>
      <c r="AD895" s="14">
        <v>944.22735346358797</v>
      </c>
      <c r="AE895" s="14">
        <v>2697.286432160804</v>
      </c>
      <c r="AF895" s="14">
        <v>1777.2853185595566</v>
      </c>
      <c r="AG895" s="15">
        <v>0.23744493020543661</v>
      </c>
      <c r="AH895" s="15">
        <v>0.25077693980769228</v>
      </c>
      <c r="AI895" s="15">
        <v>0.2578637336329993</v>
      </c>
      <c r="AJ895" s="41">
        <f t="shared" si="26"/>
        <v>26405.21</v>
      </c>
      <c r="AK895" s="44">
        <f t="shared" si="27"/>
        <v>0.56986073700498596</v>
      </c>
      <c r="AL895" s="10"/>
      <c r="AM895" s="10"/>
    </row>
    <row r="896" spans="1:39" s="16" customFormat="1" ht="19" customHeight="1">
      <c r="A896" s="9" t="s">
        <v>963</v>
      </c>
      <c r="B896" s="10" t="s">
        <v>952</v>
      </c>
      <c r="C896" s="10"/>
      <c r="D896" s="10"/>
      <c r="E896" s="37" t="s">
        <v>953</v>
      </c>
      <c r="F896" s="37" t="s">
        <v>249</v>
      </c>
      <c r="G896" s="12" t="s">
        <v>954</v>
      </c>
      <c r="H896" s="13">
        <v>199.76</v>
      </c>
      <c r="I896" s="13">
        <v>28.32</v>
      </c>
      <c r="J896" s="13">
        <v>19069.439999999999</v>
      </c>
      <c r="K896" s="13">
        <v>42370.07</v>
      </c>
      <c r="L896" s="13">
        <v>4622.95</v>
      </c>
      <c r="M896" s="13">
        <v>1319.01</v>
      </c>
      <c r="N896" s="13">
        <v>16220.14</v>
      </c>
      <c r="O896" s="13">
        <v>2140.1999999999998</v>
      </c>
      <c r="P896" s="13">
        <v>157.04</v>
      </c>
      <c r="Q896" s="13">
        <v>1302.6600000000001</v>
      </c>
      <c r="R896" s="13">
        <v>130.28</v>
      </c>
      <c r="S896" s="13">
        <v>591.79</v>
      </c>
      <c r="T896" s="13">
        <v>1590.94</v>
      </c>
      <c r="U896" s="13">
        <v>84.31</v>
      </c>
      <c r="V896" s="13">
        <v>158.21</v>
      </c>
      <c r="W896" s="13">
        <v>13.94</v>
      </c>
      <c r="X896" s="13">
        <v>54.07</v>
      </c>
      <c r="Y896" s="13">
        <v>4.66</v>
      </c>
      <c r="Z896" s="13">
        <v>183.49</v>
      </c>
      <c r="AA896" s="13"/>
      <c r="AB896" s="13"/>
      <c r="AC896" s="14">
        <v>14460.81081081081</v>
      </c>
      <c r="AD896" s="14">
        <v>2789.3428063943161</v>
      </c>
      <c r="AE896" s="14">
        <v>6546.0301507537688</v>
      </c>
      <c r="AF896" s="14">
        <v>3608.8642659279781</v>
      </c>
      <c r="AG896" s="15">
        <v>0.26556518531252471</v>
      </c>
      <c r="AH896" s="15">
        <v>0.28669265655340348</v>
      </c>
      <c r="AI896" s="15">
        <v>0.30637261721625048</v>
      </c>
      <c r="AJ896" s="41">
        <f t="shared" si="26"/>
        <v>82282.599999999991</v>
      </c>
      <c r="AK896" s="44">
        <f t="shared" si="27"/>
        <v>0.82907589223980793</v>
      </c>
      <c r="AL896" s="10"/>
      <c r="AM896" s="10"/>
    </row>
    <row r="897" spans="1:39" s="16" customFormat="1" ht="19" customHeight="1">
      <c r="A897" s="9" t="s">
        <v>964</v>
      </c>
      <c r="B897" s="10" t="s">
        <v>952</v>
      </c>
      <c r="C897" s="10"/>
      <c r="D897" s="10"/>
      <c r="E897" s="37" t="s">
        <v>953</v>
      </c>
      <c r="F897" s="37" t="s">
        <v>249</v>
      </c>
      <c r="G897" s="12" t="s">
        <v>954</v>
      </c>
      <c r="H897" s="13">
        <v>202.37</v>
      </c>
      <c r="I897" s="13">
        <v>28.97</v>
      </c>
      <c r="J897" s="13">
        <v>17364.57</v>
      </c>
      <c r="K897" s="13">
        <v>39920.910000000003</v>
      </c>
      <c r="L897" s="13">
        <v>4223.83</v>
      </c>
      <c r="M897" s="13">
        <v>959.59</v>
      </c>
      <c r="N897" s="13">
        <v>14756.41</v>
      </c>
      <c r="O897" s="13">
        <v>1972.09</v>
      </c>
      <c r="P897" s="13">
        <v>152.78</v>
      </c>
      <c r="Q897" s="13">
        <v>1207.68</v>
      </c>
      <c r="R897" s="13">
        <v>127.8</v>
      </c>
      <c r="S897" s="13">
        <v>605.34</v>
      </c>
      <c r="T897" s="13">
        <v>1784.15</v>
      </c>
      <c r="U897" s="13">
        <v>89.78</v>
      </c>
      <c r="V897" s="13">
        <v>171.42</v>
      </c>
      <c r="W897" s="13">
        <v>16.86</v>
      </c>
      <c r="X897" s="13">
        <v>73.38</v>
      </c>
      <c r="Y897" s="13">
        <v>6.5</v>
      </c>
      <c r="Z897" s="13">
        <v>207.68</v>
      </c>
      <c r="AA897" s="13"/>
      <c r="AB897" s="13"/>
      <c r="AC897" s="14">
        <v>13324.932432432433</v>
      </c>
      <c r="AD897" s="14">
        <v>2713.6767317939612</v>
      </c>
      <c r="AE897" s="14">
        <v>6068.7437185929648</v>
      </c>
      <c r="AF897" s="14">
        <v>3540.1662049861493</v>
      </c>
      <c r="AG897" s="15">
        <v>0.2798517115230349</v>
      </c>
      <c r="AH897" s="15">
        <v>0.30177009821902723</v>
      </c>
      <c r="AI897" s="15">
        <v>0.31679152186283077</v>
      </c>
      <c r="AJ897" s="41">
        <f t="shared" si="26"/>
        <v>76265.72</v>
      </c>
      <c r="AK897" s="44">
        <f t="shared" si="27"/>
        <v>0.5378415491970967</v>
      </c>
      <c r="AL897" s="10"/>
      <c r="AM897" s="10"/>
    </row>
    <row r="898" spans="1:39" s="16" customFormat="1" ht="19" customHeight="1">
      <c r="A898" s="9" t="s">
        <v>963</v>
      </c>
      <c r="B898" s="10" t="s">
        <v>952</v>
      </c>
      <c r="C898" s="10"/>
      <c r="D898" s="10"/>
      <c r="E898" s="37" t="s">
        <v>953</v>
      </c>
      <c r="F898" s="37" t="s">
        <v>249</v>
      </c>
      <c r="G898" s="12" t="s">
        <v>954</v>
      </c>
      <c r="H898" s="13">
        <v>375.44</v>
      </c>
      <c r="I898" s="13">
        <v>50.72</v>
      </c>
      <c r="J898" s="13">
        <v>20011.080000000002</v>
      </c>
      <c r="K898" s="13">
        <v>45190.7</v>
      </c>
      <c r="L898" s="13">
        <v>5003.84</v>
      </c>
      <c r="M898" s="13">
        <v>666.19</v>
      </c>
      <c r="N898" s="13">
        <v>17919.36</v>
      </c>
      <c r="O898" s="13">
        <v>2444.14</v>
      </c>
      <c r="P898" s="13">
        <v>184.75</v>
      </c>
      <c r="Q898" s="13">
        <v>1544.49</v>
      </c>
      <c r="R898" s="13">
        <v>168.33</v>
      </c>
      <c r="S898" s="13">
        <v>819.9</v>
      </c>
      <c r="T898" s="13">
        <v>2598.65</v>
      </c>
      <c r="U898" s="13">
        <v>125.05</v>
      </c>
      <c r="V898" s="13">
        <v>248.99</v>
      </c>
      <c r="W898" s="13">
        <v>26.02</v>
      </c>
      <c r="X898" s="13">
        <v>113.09</v>
      </c>
      <c r="Y898" s="13">
        <v>10.31</v>
      </c>
      <c r="Z898" s="13">
        <v>239.05</v>
      </c>
      <c r="AA898" s="13"/>
      <c r="AB898" s="13"/>
      <c r="AC898" s="14">
        <v>16514.45945945946</v>
      </c>
      <c r="AD898" s="14">
        <v>3281.5275310834818</v>
      </c>
      <c r="AE898" s="14">
        <v>7761.2562814070352</v>
      </c>
      <c r="AF898" s="14">
        <v>4662.880886426593</v>
      </c>
      <c r="AG898" s="15">
        <v>0.27035475008131327</v>
      </c>
      <c r="AH898" s="15">
        <v>0.28985303919507172</v>
      </c>
      <c r="AI898" s="15">
        <v>0.3028877459772128</v>
      </c>
      <c r="AJ898" s="41">
        <f t="shared" si="26"/>
        <v>88124.98</v>
      </c>
      <c r="AK898" s="44">
        <f t="shared" si="27"/>
        <v>0.25636003309410654</v>
      </c>
      <c r="AL898" s="10"/>
      <c r="AM898" s="10"/>
    </row>
    <row r="899" spans="1:39" s="16" customFormat="1" ht="19" customHeight="1">
      <c r="A899" s="9" t="s">
        <v>965</v>
      </c>
      <c r="B899" s="10" t="s">
        <v>952</v>
      </c>
      <c r="C899" s="10"/>
      <c r="D899" s="10"/>
      <c r="E899" s="37" t="s">
        <v>953</v>
      </c>
      <c r="F899" s="37" t="s">
        <v>249</v>
      </c>
      <c r="G899" s="12" t="s">
        <v>954</v>
      </c>
      <c r="H899" s="13">
        <v>153.93</v>
      </c>
      <c r="I899" s="13">
        <v>23.3</v>
      </c>
      <c r="J899" s="13">
        <v>17933.22</v>
      </c>
      <c r="K899" s="13">
        <v>37845.730000000003</v>
      </c>
      <c r="L899" s="13">
        <v>4218.6499999999996</v>
      </c>
      <c r="M899" s="13">
        <v>1160.3599999999999</v>
      </c>
      <c r="N899" s="13">
        <v>14726.42</v>
      </c>
      <c r="O899" s="13">
        <v>1915.47</v>
      </c>
      <c r="P899" s="13">
        <v>140.06</v>
      </c>
      <c r="Q899" s="13">
        <v>1136.92</v>
      </c>
      <c r="R899" s="13">
        <v>119.36</v>
      </c>
      <c r="S899" s="13">
        <v>579.04</v>
      </c>
      <c r="T899" s="13">
        <v>1677.48</v>
      </c>
      <c r="U899" s="13">
        <v>79.16</v>
      </c>
      <c r="V899" s="13">
        <v>158.66999999999999</v>
      </c>
      <c r="W899" s="13">
        <v>15.06</v>
      </c>
      <c r="X899" s="13">
        <v>62.68</v>
      </c>
      <c r="Y899" s="13">
        <v>5.31</v>
      </c>
      <c r="Z899" s="13">
        <v>208.67</v>
      </c>
      <c r="AA899" s="13"/>
      <c r="AB899" s="13"/>
      <c r="AC899" s="14">
        <v>12942.364864864865</v>
      </c>
      <c r="AD899" s="14">
        <v>2487.7442273534639</v>
      </c>
      <c r="AE899" s="14">
        <v>5713.1658291457288</v>
      </c>
      <c r="AF899" s="14">
        <v>3306.3711911357341</v>
      </c>
      <c r="AG899" s="15">
        <v>0.26670313143674446</v>
      </c>
      <c r="AH899" s="15">
        <v>0.28930803305604896</v>
      </c>
      <c r="AI899" s="15">
        <v>0.30293266029588867</v>
      </c>
      <c r="AJ899" s="41">
        <f t="shared" si="26"/>
        <v>74724.02</v>
      </c>
      <c r="AK899" s="44">
        <f t="shared" si="27"/>
        <v>0.69172806829291544</v>
      </c>
      <c r="AL899" s="10"/>
      <c r="AM899" s="10"/>
    </row>
    <row r="900" spans="1:39" s="16" customFormat="1" ht="19" customHeight="1">
      <c r="A900" s="9" t="s">
        <v>966</v>
      </c>
      <c r="B900" s="10" t="s">
        <v>967</v>
      </c>
      <c r="C900" s="10"/>
      <c r="D900" s="10"/>
      <c r="E900" s="37" t="s">
        <v>953</v>
      </c>
      <c r="F900" s="37" t="s">
        <v>249</v>
      </c>
      <c r="G900" s="12" t="s">
        <v>954</v>
      </c>
      <c r="H900" s="13">
        <v>688.23</v>
      </c>
      <c r="I900" s="13">
        <v>84.77</v>
      </c>
      <c r="J900" s="13">
        <v>15235.12</v>
      </c>
      <c r="K900" s="13">
        <v>40872.93</v>
      </c>
      <c r="L900" s="13">
        <v>4430.5200000000004</v>
      </c>
      <c r="M900" s="13">
        <v>158.07</v>
      </c>
      <c r="N900" s="13">
        <v>15233.75</v>
      </c>
      <c r="O900" s="13">
        <v>2259.19</v>
      </c>
      <c r="P900" s="13">
        <v>130.16</v>
      </c>
      <c r="Q900" s="13">
        <v>1594</v>
      </c>
      <c r="R900" s="13">
        <v>186</v>
      </c>
      <c r="S900" s="13">
        <v>987.83</v>
      </c>
      <c r="T900" s="13">
        <v>3544.44</v>
      </c>
      <c r="U900" s="13">
        <v>163.71</v>
      </c>
      <c r="V900" s="13">
        <v>350.77</v>
      </c>
      <c r="W900" s="13">
        <v>38.46</v>
      </c>
      <c r="X900" s="13">
        <v>192.73</v>
      </c>
      <c r="Y900" s="13">
        <v>18.309999999999999</v>
      </c>
      <c r="Z900" s="13">
        <v>341.05</v>
      </c>
      <c r="AA900" s="13"/>
      <c r="AB900" s="13"/>
      <c r="AC900" s="14">
        <v>15264.797297297298</v>
      </c>
      <c r="AD900" s="14">
        <v>2311.9005328596804</v>
      </c>
      <c r="AE900" s="14">
        <v>8010.0502512562807</v>
      </c>
      <c r="AF900" s="14">
        <v>5152.3545706371187</v>
      </c>
      <c r="AG900" s="15">
        <v>0.19866085292604668</v>
      </c>
      <c r="AH900" s="15">
        <v>0.20907687678629119</v>
      </c>
      <c r="AI900" s="15">
        <v>0.21752367751972634</v>
      </c>
      <c r="AJ900" s="41">
        <f t="shared" si="26"/>
        <v>75772.320000000007</v>
      </c>
      <c r="AK900" s="44">
        <f t="shared" si="27"/>
        <v>4.4596607644649081E-2</v>
      </c>
      <c r="AL900" s="10"/>
      <c r="AM900" s="10"/>
    </row>
    <row r="901" spans="1:39" s="16" customFormat="1" ht="19" customHeight="1">
      <c r="A901" s="9" t="s">
        <v>968</v>
      </c>
      <c r="B901" s="10" t="s">
        <v>967</v>
      </c>
      <c r="C901" s="10"/>
      <c r="D901" s="10"/>
      <c r="E901" s="37" t="s">
        <v>953</v>
      </c>
      <c r="F901" s="37" t="s">
        <v>249</v>
      </c>
      <c r="G901" s="12" t="s">
        <v>954</v>
      </c>
      <c r="H901" s="13">
        <v>899.41</v>
      </c>
      <c r="I901" s="13">
        <v>106.5</v>
      </c>
      <c r="J901" s="13">
        <v>20488.419999999998</v>
      </c>
      <c r="K901" s="13">
        <v>53004.97</v>
      </c>
      <c r="L901" s="13">
        <v>5121.0200000000004</v>
      </c>
      <c r="M901" s="13">
        <v>241.49</v>
      </c>
      <c r="N901" s="13">
        <v>18436.169999999998</v>
      </c>
      <c r="O901" s="13">
        <v>2780.95</v>
      </c>
      <c r="P901" s="13">
        <v>167.35</v>
      </c>
      <c r="Q901" s="13">
        <v>1803.74</v>
      </c>
      <c r="R901" s="13">
        <v>221.61</v>
      </c>
      <c r="S901" s="13">
        <v>1167.82</v>
      </c>
      <c r="T901" s="13">
        <v>4129.08</v>
      </c>
      <c r="U901" s="13">
        <v>192.25</v>
      </c>
      <c r="V901" s="13">
        <v>414.06</v>
      </c>
      <c r="W901" s="13">
        <v>44.46</v>
      </c>
      <c r="X901" s="13">
        <v>240.84</v>
      </c>
      <c r="Y901" s="13">
        <v>22.09</v>
      </c>
      <c r="Z901" s="13">
        <v>444.25</v>
      </c>
      <c r="AA901" s="13"/>
      <c r="AB901" s="13"/>
      <c r="AC901" s="14">
        <v>18790.202702702703</v>
      </c>
      <c r="AD901" s="14">
        <v>2972.4689165186501</v>
      </c>
      <c r="AE901" s="14">
        <v>9064.0201005025119</v>
      </c>
      <c r="AF901" s="14">
        <v>6138.7811634349036</v>
      </c>
      <c r="AG901" s="15">
        <v>0.21343039707261943</v>
      </c>
      <c r="AH901" s="15">
        <v>0.22776718759738285</v>
      </c>
      <c r="AI901" s="15">
        <v>0.22968658369436243</v>
      </c>
      <c r="AJ901" s="41">
        <f t="shared" si="26"/>
        <v>97050.58</v>
      </c>
      <c r="AK901" s="44">
        <f t="shared" si="27"/>
        <v>5.8485183140069945E-2</v>
      </c>
      <c r="AL901" s="10"/>
      <c r="AM901" s="10"/>
    </row>
    <row r="902" spans="1:39" s="16" customFormat="1" ht="19" customHeight="1">
      <c r="A902" s="9" t="s">
        <v>969</v>
      </c>
      <c r="B902" s="10" t="s">
        <v>970</v>
      </c>
      <c r="C902" s="10"/>
      <c r="D902" s="10"/>
      <c r="E902" s="37" t="s">
        <v>953</v>
      </c>
      <c r="F902" s="37" t="s">
        <v>249</v>
      </c>
      <c r="G902" s="12" t="s">
        <v>954</v>
      </c>
      <c r="H902" s="13">
        <v>18.350000000000001</v>
      </c>
      <c r="I902" s="13">
        <v>1.61</v>
      </c>
      <c r="J902" s="13">
        <v>22735.01</v>
      </c>
      <c r="K902" s="13">
        <v>51115.12</v>
      </c>
      <c r="L902" s="13">
        <v>3904.74</v>
      </c>
      <c r="M902" s="13">
        <v>4881.1899999999996</v>
      </c>
      <c r="N902" s="13">
        <v>10356.92</v>
      </c>
      <c r="O902" s="13">
        <v>902.93</v>
      </c>
      <c r="P902" s="13">
        <v>57.06</v>
      </c>
      <c r="Q902" s="13">
        <v>411.98</v>
      </c>
      <c r="R902" s="13">
        <v>28.11</v>
      </c>
      <c r="S902" s="13">
        <v>101.4</v>
      </c>
      <c r="T902" s="13">
        <v>283.75</v>
      </c>
      <c r="U902" s="13">
        <v>11.32</v>
      </c>
      <c r="V902" s="13">
        <v>18.190000000000001</v>
      </c>
      <c r="W902" s="13">
        <v>1.3480000000000001</v>
      </c>
      <c r="X902" s="13">
        <v>4.74</v>
      </c>
      <c r="Y902" s="13">
        <v>0.34499999999999997</v>
      </c>
      <c r="Z902" s="13">
        <v>106.15</v>
      </c>
      <c r="AA902" s="13"/>
      <c r="AB902" s="13"/>
      <c r="AC902" s="14">
        <v>6100.8783783783783</v>
      </c>
      <c r="AD902" s="14">
        <v>1013.499111900533</v>
      </c>
      <c r="AE902" s="14">
        <v>2070.2512562814072</v>
      </c>
      <c r="AF902" s="14">
        <v>778.67036011080336</v>
      </c>
      <c r="AG902" s="15">
        <v>0.24806829831741647</v>
      </c>
      <c r="AH902" s="15">
        <v>0.28517776455547289</v>
      </c>
      <c r="AI902" s="15">
        <v>0.32994679440506131</v>
      </c>
      <c r="AJ902" s="41">
        <f t="shared" ref="AJ902:AJ965" si="28">J902+K902+L902+N902</f>
        <v>88111.790000000008</v>
      </c>
      <c r="AK902" s="44">
        <f t="shared" ref="AK902:AK929" si="29">M902/T902</f>
        <v>17.202431718061671</v>
      </c>
      <c r="AL902" s="10"/>
      <c r="AM902" s="10"/>
    </row>
    <row r="903" spans="1:39" s="16" customFormat="1" ht="19" customHeight="1">
      <c r="A903" s="9" t="s">
        <v>971</v>
      </c>
      <c r="B903" s="10" t="s">
        <v>970</v>
      </c>
      <c r="C903" s="10"/>
      <c r="D903" s="10"/>
      <c r="E903" s="37" t="s">
        <v>953</v>
      </c>
      <c r="F903" s="37" t="s">
        <v>249</v>
      </c>
      <c r="G903" s="12" t="s">
        <v>954</v>
      </c>
      <c r="H903" s="13">
        <v>4.83</v>
      </c>
      <c r="I903" s="13">
        <v>0.63500000000000001</v>
      </c>
      <c r="J903" s="13">
        <v>24451.79</v>
      </c>
      <c r="K903" s="13">
        <v>42257.34</v>
      </c>
      <c r="L903" s="13">
        <v>3832.52</v>
      </c>
      <c r="M903" s="13">
        <v>4951.07</v>
      </c>
      <c r="N903" s="13">
        <v>11186.18</v>
      </c>
      <c r="O903" s="13">
        <v>1012.83</v>
      </c>
      <c r="P903" s="13">
        <v>62.16</v>
      </c>
      <c r="Q903" s="13">
        <v>454.27</v>
      </c>
      <c r="R903" s="13">
        <v>32.53</v>
      </c>
      <c r="S903" s="13">
        <v>113.27</v>
      </c>
      <c r="T903" s="13">
        <v>335.92</v>
      </c>
      <c r="U903" s="13">
        <v>13.13</v>
      </c>
      <c r="V903" s="13">
        <v>21.09</v>
      </c>
      <c r="W903" s="13">
        <v>1.69</v>
      </c>
      <c r="X903" s="13">
        <v>5.51</v>
      </c>
      <c r="Y903" s="13">
        <v>0.35799999999999998</v>
      </c>
      <c r="Z903" s="13">
        <v>94.46</v>
      </c>
      <c r="AA903" s="13"/>
      <c r="AB903" s="13"/>
      <c r="AC903" s="14">
        <v>6843.4459459459467</v>
      </c>
      <c r="AD903" s="14">
        <v>1104.0852575488454</v>
      </c>
      <c r="AE903" s="14">
        <v>2282.7638190954772</v>
      </c>
      <c r="AF903" s="14">
        <v>901.1080332409972</v>
      </c>
      <c r="AG903" s="15">
        <v>0.24195921110166024</v>
      </c>
      <c r="AH903" s="15">
        <v>0.27934101062533961</v>
      </c>
      <c r="AI903" s="15">
        <v>0.31712252930450902</v>
      </c>
      <c r="AJ903" s="41">
        <f t="shared" si="28"/>
        <v>81727.830000000016</v>
      </c>
      <c r="AK903" s="44">
        <f t="shared" si="29"/>
        <v>14.738836627768515</v>
      </c>
      <c r="AL903" s="10"/>
      <c r="AM903" s="10"/>
    </row>
    <row r="904" spans="1:39" s="16" customFormat="1" ht="19" customHeight="1">
      <c r="A904" s="9" t="s">
        <v>972</v>
      </c>
      <c r="B904" s="10" t="s">
        <v>970</v>
      </c>
      <c r="C904" s="10"/>
      <c r="D904" s="10"/>
      <c r="E904" s="37" t="s">
        <v>953</v>
      </c>
      <c r="F904" s="37" t="s">
        <v>249</v>
      </c>
      <c r="G904" s="12" t="s">
        <v>954</v>
      </c>
      <c r="H904" s="13">
        <v>6.8</v>
      </c>
      <c r="I904" s="13">
        <v>0.57299999999999995</v>
      </c>
      <c r="J904" s="13">
        <v>23590.080000000002</v>
      </c>
      <c r="K904" s="13">
        <v>39846.04</v>
      </c>
      <c r="L904" s="13">
        <v>3623.28</v>
      </c>
      <c r="M904" s="13">
        <v>3613.59</v>
      </c>
      <c r="N904" s="13">
        <v>10889.19</v>
      </c>
      <c r="O904" s="13">
        <v>956.59</v>
      </c>
      <c r="P904" s="13">
        <v>56.72</v>
      </c>
      <c r="Q904" s="13">
        <v>424.19</v>
      </c>
      <c r="R904" s="13">
        <v>30.55</v>
      </c>
      <c r="S904" s="13">
        <v>107.99</v>
      </c>
      <c r="T904" s="13">
        <v>327.99</v>
      </c>
      <c r="U904" s="13">
        <v>12.39</v>
      </c>
      <c r="V904" s="13">
        <v>19.75</v>
      </c>
      <c r="W904" s="13">
        <v>1.5529999999999999</v>
      </c>
      <c r="X904" s="13">
        <v>4.5999999999999996</v>
      </c>
      <c r="Y904" s="13">
        <v>0.38800000000000001</v>
      </c>
      <c r="Z904" s="13">
        <v>83.59</v>
      </c>
      <c r="AA904" s="13"/>
      <c r="AB904" s="13"/>
      <c r="AC904" s="14">
        <v>6463.4459459459467</v>
      </c>
      <c r="AD904" s="14">
        <v>1007.4600355239787</v>
      </c>
      <c r="AE904" s="14">
        <v>2131.6080402010048</v>
      </c>
      <c r="AF904" s="14">
        <v>846.26038781163436</v>
      </c>
      <c r="AG904" s="15">
        <v>0.23442785517060136</v>
      </c>
      <c r="AH904" s="15">
        <v>0.27142015358776195</v>
      </c>
      <c r="AI904" s="15">
        <v>0.30696138286206109</v>
      </c>
      <c r="AJ904" s="41">
        <f t="shared" si="28"/>
        <v>77948.590000000011</v>
      </c>
      <c r="AK904" s="44">
        <f t="shared" si="29"/>
        <v>11.017378578615201</v>
      </c>
      <c r="AL904" s="10"/>
      <c r="AM904" s="10"/>
    </row>
    <row r="905" spans="1:39" s="16" customFormat="1" ht="19" customHeight="1">
      <c r="A905" s="9" t="s">
        <v>969</v>
      </c>
      <c r="B905" s="10" t="s">
        <v>970</v>
      </c>
      <c r="C905" s="10"/>
      <c r="D905" s="10"/>
      <c r="E905" s="37" t="s">
        <v>953</v>
      </c>
      <c r="F905" s="37" t="s">
        <v>249</v>
      </c>
      <c r="G905" s="12" t="s">
        <v>954</v>
      </c>
      <c r="H905" s="13">
        <v>5.28</v>
      </c>
      <c r="I905" s="13">
        <v>0.88900000000000001</v>
      </c>
      <c r="J905" s="13">
        <v>25761.82</v>
      </c>
      <c r="K905" s="13">
        <v>45000.85</v>
      </c>
      <c r="L905" s="13">
        <v>3974.06</v>
      </c>
      <c r="M905" s="13">
        <v>4651.5600000000004</v>
      </c>
      <c r="N905" s="13">
        <v>12121.62</v>
      </c>
      <c r="O905" s="13">
        <v>1039.5</v>
      </c>
      <c r="P905" s="13">
        <v>64.55</v>
      </c>
      <c r="Q905" s="13">
        <v>476.62</v>
      </c>
      <c r="R905" s="13">
        <v>34.44</v>
      </c>
      <c r="S905" s="13">
        <v>125.93</v>
      </c>
      <c r="T905" s="13">
        <v>373.95</v>
      </c>
      <c r="U905" s="13">
        <v>14</v>
      </c>
      <c r="V905" s="13">
        <v>23.69</v>
      </c>
      <c r="W905" s="13">
        <v>1.73</v>
      </c>
      <c r="X905" s="13">
        <v>5.12</v>
      </c>
      <c r="Y905" s="13">
        <v>0.39300000000000002</v>
      </c>
      <c r="Z905" s="13">
        <v>93.1</v>
      </c>
      <c r="AA905" s="13"/>
      <c r="AB905" s="13"/>
      <c r="AC905" s="14">
        <v>7023.6486486486492</v>
      </c>
      <c r="AD905" s="14">
        <v>1146.5364120781528</v>
      </c>
      <c r="AE905" s="14">
        <v>2395.075376884422</v>
      </c>
      <c r="AF905" s="14">
        <v>954.01662049861488</v>
      </c>
      <c r="AG905" s="15">
        <v>0.24345896725926469</v>
      </c>
      <c r="AH905" s="15">
        <v>0.27954187231488542</v>
      </c>
      <c r="AI905" s="15">
        <v>0.31756114046433404</v>
      </c>
      <c r="AJ905" s="41">
        <f t="shared" si="28"/>
        <v>86858.349999999991</v>
      </c>
      <c r="AK905" s="44">
        <f t="shared" si="29"/>
        <v>12.438989169675091</v>
      </c>
      <c r="AL905" s="10"/>
      <c r="AM905" s="10"/>
    </row>
    <row r="906" spans="1:39" s="16" customFormat="1" ht="19" customHeight="1">
      <c r="A906" s="9" t="s">
        <v>971</v>
      </c>
      <c r="B906" s="10" t="s">
        <v>970</v>
      </c>
      <c r="C906" s="10"/>
      <c r="D906" s="10"/>
      <c r="E906" s="37" t="s">
        <v>953</v>
      </c>
      <c r="F906" s="37" t="s">
        <v>249</v>
      </c>
      <c r="G906" s="12" t="s">
        <v>954</v>
      </c>
      <c r="H906" s="13">
        <v>4.66</v>
      </c>
      <c r="I906" s="13">
        <v>0.61099999999999999</v>
      </c>
      <c r="J906" s="13">
        <v>25000.21</v>
      </c>
      <c r="K906" s="13">
        <v>44002.16</v>
      </c>
      <c r="L906" s="13">
        <v>3965.52</v>
      </c>
      <c r="M906" s="13">
        <v>4974.51</v>
      </c>
      <c r="N906" s="13">
        <v>11385.72</v>
      </c>
      <c r="O906" s="13">
        <v>1021.7</v>
      </c>
      <c r="P906" s="13">
        <v>65.209999999999994</v>
      </c>
      <c r="Q906" s="13">
        <v>474.96</v>
      </c>
      <c r="R906" s="13">
        <v>33.200000000000003</v>
      </c>
      <c r="S906" s="13">
        <v>113.98</v>
      </c>
      <c r="T906" s="13">
        <v>351.12</v>
      </c>
      <c r="U906" s="13">
        <v>14.03</v>
      </c>
      <c r="V906" s="13">
        <v>24.34</v>
      </c>
      <c r="W906" s="13">
        <v>1.65</v>
      </c>
      <c r="X906" s="13">
        <v>5.7</v>
      </c>
      <c r="Y906" s="13">
        <v>0.40600000000000003</v>
      </c>
      <c r="Z906" s="13">
        <v>92.58</v>
      </c>
      <c r="AA906" s="13"/>
      <c r="AB906" s="13"/>
      <c r="AC906" s="14">
        <v>6903.3783783783792</v>
      </c>
      <c r="AD906" s="14">
        <v>1158.2593250444049</v>
      </c>
      <c r="AE906" s="14">
        <v>2386.7336683417084</v>
      </c>
      <c r="AF906" s="14">
        <v>919.66759002770095</v>
      </c>
      <c r="AG906" s="15">
        <v>0.24935314433658165</v>
      </c>
      <c r="AH906" s="15">
        <v>0.28534678689813125</v>
      </c>
      <c r="AI906" s="15">
        <v>0.32851438644155184</v>
      </c>
      <c r="AJ906" s="41">
        <f t="shared" si="28"/>
        <v>84353.61</v>
      </c>
      <c r="AK906" s="44">
        <f t="shared" si="29"/>
        <v>14.167549555707451</v>
      </c>
      <c r="AL906" s="10"/>
      <c r="AM906" s="10"/>
    </row>
    <row r="907" spans="1:39" s="16" customFormat="1" ht="19" customHeight="1">
      <c r="A907" s="9" t="s">
        <v>973</v>
      </c>
      <c r="B907" s="10" t="s">
        <v>970</v>
      </c>
      <c r="C907" s="10"/>
      <c r="D907" s="10"/>
      <c r="E907" s="37" t="s">
        <v>953</v>
      </c>
      <c r="F907" s="37" t="s">
        <v>249</v>
      </c>
      <c r="G907" s="12" t="s">
        <v>954</v>
      </c>
      <c r="H907" s="13">
        <v>22.72</v>
      </c>
      <c r="I907" s="13">
        <v>9.52</v>
      </c>
      <c r="J907" s="13">
        <v>25806.76</v>
      </c>
      <c r="K907" s="13">
        <v>50073.8</v>
      </c>
      <c r="L907" s="13">
        <v>4422.46</v>
      </c>
      <c r="M907" s="13">
        <v>8209.9</v>
      </c>
      <c r="N907" s="13">
        <v>12077.98</v>
      </c>
      <c r="O907" s="13">
        <v>1111.57</v>
      </c>
      <c r="P907" s="13">
        <v>77.569999999999993</v>
      </c>
      <c r="Q907" s="13">
        <v>522.20000000000005</v>
      </c>
      <c r="R907" s="13">
        <v>37.01</v>
      </c>
      <c r="S907" s="13">
        <v>144.99</v>
      </c>
      <c r="T907" s="13">
        <v>406.81</v>
      </c>
      <c r="U907" s="13">
        <v>17.149999999999999</v>
      </c>
      <c r="V907" s="13">
        <v>28.39</v>
      </c>
      <c r="W907" s="13">
        <v>2.0699999999999998</v>
      </c>
      <c r="X907" s="13">
        <v>8.5299999999999994</v>
      </c>
      <c r="Y907" s="13">
        <v>0.42599999999999999</v>
      </c>
      <c r="Z907" s="13">
        <v>121.42</v>
      </c>
      <c r="AA907" s="13"/>
      <c r="AB907" s="13"/>
      <c r="AC907" s="14">
        <v>7510.6081081081084</v>
      </c>
      <c r="AD907" s="14">
        <v>1377.797513321492</v>
      </c>
      <c r="AE907" s="14">
        <v>2624.1206030150756</v>
      </c>
      <c r="AF907" s="14">
        <v>1025.207756232687</v>
      </c>
      <c r="AG907" s="15">
        <v>0.27189627913953257</v>
      </c>
      <c r="AH907" s="15">
        <v>0.31035300168928043</v>
      </c>
      <c r="AI907" s="15">
        <v>0.35628540712635282</v>
      </c>
      <c r="AJ907" s="41">
        <f t="shared" si="28"/>
        <v>92381</v>
      </c>
      <c r="AK907" s="44">
        <f t="shared" si="29"/>
        <v>20.18116565472825</v>
      </c>
      <c r="AL907" s="10"/>
      <c r="AM907" s="10"/>
    </row>
    <row r="908" spans="1:39" s="16" customFormat="1" ht="19" customHeight="1">
      <c r="A908" s="9" t="s">
        <v>974</v>
      </c>
      <c r="B908" s="10" t="s">
        <v>970</v>
      </c>
      <c r="C908" s="10"/>
      <c r="D908" s="10"/>
      <c r="E908" s="37" t="s">
        <v>953</v>
      </c>
      <c r="F908" s="37" t="s">
        <v>249</v>
      </c>
      <c r="G908" s="12" t="s">
        <v>954</v>
      </c>
      <c r="H908" s="13">
        <v>4.8499999999999996</v>
      </c>
      <c r="I908" s="13">
        <v>0.752</v>
      </c>
      <c r="J908" s="13">
        <v>23955.39</v>
      </c>
      <c r="K908" s="13">
        <v>47005.07</v>
      </c>
      <c r="L908" s="13">
        <v>3837.55</v>
      </c>
      <c r="M908" s="13">
        <v>4766.88</v>
      </c>
      <c r="N908" s="13">
        <v>10879.94</v>
      </c>
      <c r="O908" s="13">
        <v>982.07</v>
      </c>
      <c r="P908" s="13">
        <v>61.69</v>
      </c>
      <c r="Q908" s="13">
        <v>444.59</v>
      </c>
      <c r="R908" s="13">
        <v>31.38</v>
      </c>
      <c r="S908" s="13">
        <v>111.11</v>
      </c>
      <c r="T908" s="13">
        <v>322.45999999999998</v>
      </c>
      <c r="U908" s="13">
        <v>12.9</v>
      </c>
      <c r="V908" s="13">
        <v>20.83</v>
      </c>
      <c r="W908" s="13">
        <v>1.5229999999999999</v>
      </c>
      <c r="X908" s="13">
        <v>4.95</v>
      </c>
      <c r="Y908" s="13">
        <v>0.43099999999999999</v>
      </c>
      <c r="Z908" s="13">
        <v>97.58</v>
      </c>
      <c r="AA908" s="13"/>
      <c r="AB908" s="13"/>
      <c r="AC908" s="14">
        <v>6635.6081081081084</v>
      </c>
      <c r="AD908" s="14">
        <v>1095.7371225577265</v>
      </c>
      <c r="AE908" s="14">
        <v>2234.1206030150752</v>
      </c>
      <c r="AF908" s="14">
        <v>869.2520775623268</v>
      </c>
      <c r="AG908" s="15">
        <v>0.24707342428266266</v>
      </c>
      <c r="AH908" s="15">
        <v>0.28458545777176114</v>
      </c>
      <c r="AI908" s="15">
        <v>0.32514018152956331</v>
      </c>
      <c r="AJ908" s="41">
        <f t="shared" si="28"/>
        <v>85677.95</v>
      </c>
      <c r="AK908" s="44">
        <f t="shared" si="29"/>
        <v>14.782856788438878</v>
      </c>
      <c r="AL908" s="10"/>
      <c r="AM908" s="10"/>
    </row>
    <row r="909" spans="1:39" s="16" customFormat="1" ht="19" customHeight="1">
      <c r="A909" s="9" t="s">
        <v>975</v>
      </c>
      <c r="B909" s="10" t="s">
        <v>970</v>
      </c>
      <c r="C909" s="10"/>
      <c r="D909" s="10"/>
      <c r="E909" s="37" t="s">
        <v>953</v>
      </c>
      <c r="F909" s="37" t="s">
        <v>249</v>
      </c>
      <c r="G909" s="12" t="s">
        <v>954</v>
      </c>
      <c r="H909" s="13">
        <v>15.63</v>
      </c>
      <c r="I909" s="13">
        <v>1.95</v>
      </c>
      <c r="J909" s="13">
        <v>27888.71</v>
      </c>
      <c r="K909" s="13">
        <v>45710.73</v>
      </c>
      <c r="L909" s="13">
        <v>4216.2</v>
      </c>
      <c r="M909" s="13">
        <v>4374.3100000000004</v>
      </c>
      <c r="N909" s="13">
        <v>12799.5</v>
      </c>
      <c r="O909" s="13">
        <v>1108.8900000000001</v>
      </c>
      <c r="P909" s="13">
        <v>65.040000000000006</v>
      </c>
      <c r="Q909" s="13">
        <v>506.62</v>
      </c>
      <c r="R909" s="13">
        <v>36.049999999999997</v>
      </c>
      <c r="S909" s="13">
        <v>130.94</v>
      </c>
      <c r="T909" s="13">
        <v>399.04</v>
      </c>
      <c r="U909" s="13">
        <v>15.22</v>
      </c>
      <c r="V909" s="13">
        <v>24.77</v>
      </c>
      <c r="W909" s="13">
        <v>1.49</v>
      </c>
      <c r="X909" s="13">
        <v>6.38</v>
      </c>
      <c r="Y909" s="13">
        <v>0.45100000000000001</v>
      </c>
      <c r="Z909" s="13">
        <v>99</v>
      </c>
      <c r="AA909" s="13"/>
      <c r="AB909" s="13"/>
      <c r="AC909" s="14">
        <v>7492.5000000000009</v>
      </c>
      <c r="AD909" s="14">
        <v>1155.2397868561281</v>
      </c>
      <c r="AE909" s="14">
        <v>2545.8291457286432</v>
      </c>
      <c r="AF909" s="14">
        <v>998.61495844875333</v>
      </c>
      <c r="AG909" s="15">
        <v>0.23016575170733233</v>
      </c>
      <c r="AH909" s="15">
        <v>0.26451124207134619</v>
      </c>
      <c r="AI909" s="15">
        <v>0.30184798517470901</v>
      </c>
      <c r="AJ909" s="41">
        <f t="shared" si="28"/>
        <v>90615.14</v>
      </c>
      <c r="AK909" s="44">
        <f t="shared" si="29"/>
        <v>10.96208400160385</v>
      </c>
      <c r="AL909" s="10"/>
      <c r="AM909" s="10"/>
    </row>
    <row r="910" spans="1:39" s="16" customFormat="1" ht="19" customHeight="1">
      <c r="A910" s="9" t="s">
        <v>976</v>
      </c>
      <c r="B910" s="10" t="s">
        <v>970</v>
      </c>
      <c r="C910" s="10"/>
      <c r="D910" s="10"/>
      <c r="E910" s="37" t="s">
        <v>953</v>
      </c>
      <c r="F910" s="37" t="s">
        <v>249</v>
      </c>
      <c r="G910" s="12" t="s">
        <v>954</v>
      </c>
      <c r="H910" s="13">
        <v>7.73</v>
      </c>
      <c r="I910" s="13">
        <v>0.71299999999999997</v>
      </c>
      <c r="J910" s="13">
        <v>27219.919999999998</v>
      </c>
      <c r="K910" s="13">
        <v>42941.91</v>
      </c>
      <c r="L910" s="13">
        <v>4044.13</v>
      </c>
      <c r="M910" s="13">
        <v>5617.34</v>
      </c>
      <c r="N910" s="13">
        <v>12300.18</v>
      </c>
      <c r="O910" s="13">
        <v>1084.0999999999999</v>
      </c>
      <c r="P910" s="13">
        <v>64.010000000000005</v>
      </c>
      <c r="Q910" s="13">
        <v>493.69</v>
      </c>
      <c r="R910" s="13">
        <v>35.43</v>
      </c>
      <c r="S910" s="13">
        <v>131.07</v>
      </c>
      <c r="T910" s="13">
        <v>385.15</v>
      </c>
      <c r="U910" s="13">
        <v>15.12</v>
      </c>
      <c r="V910" s="13">
        <v>26.14</v>
      </c>
      <c r="W910" s="13">
        <v>1.93</v>
      </c>
      <c r="X910" s="13">
        <v>7.14</v>
      </c>
      <c r="Y910" s="13">
        <v>0.48499999999999999</v>
      </c>
      <c r="Z910" s="13">
        <v>100.56</v>
      </c>
      <c r="AA910" s="13"/>
      <c r="AB910" s="13"/>
      <c r="AC910" s="14">
        <v>7325</v>
      </c>
      <c r="AD910" s="14">
        <v>1136.9449378330376</v>
      </c>
      <c r="AE910" s="14">
        <v>2480.8542713567836</v>
      </c>
      <c r="AF910" s="14">
        <v>981.44044321329636</v>
      </c>
      <c r="AG910" s="15">
        <v>0.23189105331783083</v>
      </c>
      <c r="AH910" s="15">
        <v>0.26670735403148504</v>
      </c>
      <c r="AI910" s="15">
        <v>0.30332836897681825</v>
      </c>
      <c r="AJ910" s="41">
        <f t="shared" si="28"/>
        <v>86506.140000000014</v>
      </c>
      <c r="AK910" s="44">
        <f t="shared" si="29"/>
        <v>14.584811112553552</v>
      </c>
      <c r="AL910" s="10"/>
      <c r="AM910" s="10"/>
    </row>
    <row r="911" spans="1:39" s="16" customFormat="1" ht="19" customHeight="1">
      <c r="A911" s="9" t="s">
        <v>977</v>
      </c>
      <c r="B911" s="10" t="s">
        <v>970</v>
      </c>
      <c r="C911" s="10"/>
      <c r="D911" s="10"/>
      <c r="E911" s="37" t="s">
        <v>953</v>
      </c>
      <c r="F911" s="37" t="s">
        <v>249</v>
      </c>
      <c r="G911" s="12" t="s">
        <v>954</v>
      </c>
      <c r="H911" s="13">
        <v>3.74</v>
      </c>
      <c r="I911" s="13">
        <v>0.59299999999999997</v>
      </c>
      <c r="J911" s="13">
        <v>22639.32</v>
      </c>
      <c r="K911" s="13">
        <v>38329.96</v>
      </c>
      <c r="L911" s="13">
        <v>3468.49</v>
      </c>
      <c r="M911" s="13">
        <v>4618.3500000000004</v>
      </c>
      <c r="N911" s="13">
        <v>10764.87</v>
      </c>
      <c r="O911" s="13">
        <v>944.45</v>
      </c>
      <c r="P911" s="13">
        <v>56.17</v>
      </c>
      <c r="Q911" s="13">
        <v>422.24</v>
      </c>
      <c r="R911" s="13">
        <v>31.39</v>
      </c>
      <c r="S911" s="13">
        <v>111.92</v>
      </c>
      <c r="T911" s="13">
        <v>332.38</v>
      </c>
      <c r="U911" s="13">
        <v>12.51</v>
      </c>
      <c r="V911" s="13">
        <v>21.12</v>
      </c>
      <c r="W911" s="13">
        <v>1.71</v>
      </c>
      <c r="X911" s="13">
        <v>5.77</v>
      </c>
      <c r="Y911" s="13">
        <v>0.503</v>
      </c>
      <c r="Z911" s="13">
        <v>91.38</v>
      </c>
      <c r="AA911" s="13"/>
      <c r="AB911" s="13"/>
      <c r="AC911" s="14">
        <v>6381.4189189189192</v>
      </c>
      <c r="AD911" s="14">
        <v>997.69094138543528</v>
      </c>
      <c r="AE911" s="14">
        <v>2121.8090452261304</v>
      </c>
      <c r="AF911" s="14">
        <v>869.52908587257616</v>
      </c>
      <c r="AG911" s="15">
        <v>0.23466169449821339</v>
      </c>
      <c r="AH911" s="15">
        <v>0.27113416970062032</v>
      </c>
      <c r="AI911" s="15">
        <v>0.30382475363433009</v>
      </c>
      <c r="AJ911" s="41">
        <f t="shared" si="28"/>
        <v>75202.64</v>
      </c>
      <c r="AK911" s="44">
        <f t="shared" si="29"/>
        <v>13.894789096816897</v>
      </c>
      <c r="AL911" s="10"/>
      <c r="AM911" s="10"/>
    </row>
    <row r="912" spans="1:39" s="16" customFormat="1" ht="19" customHeight="1">
      <c r="A912" s="9" t="s">
        <v>978</v>
      </c>
      <c r="B912" s="10" t="s">
        <v>970</v>
      </c>
      <c r="C912" s="10"/>
      <c r="D912" s="10"/>
      <c r="E912" s="37" t="s">
        <v>953</v>
      </c>
      <c r="F912" s="37" t="s">
        <v>249</v>
      </c>
      <c r="G912" s="12" t="s">
        <v>954</v>
      </c>
      <c r="H912" s="13">
        <v>9.74</v>
      </c>
      <c r="I912" s="13">
        <v>2.6</v>
      </c>
      <c r="J912" s="13">
        <v>32024.07</v>
      </c>
      <c r="K912" s="13">
        <v>63231.96</v>
      </c>
      <c r="L912" s="13">
        <v>5366.48</v>
      </c>
      <c r="M912" s="13">
        <v>9094.06</v>
      </c>
      <c r="N912" s="13">
        <v>14990.29</v>
      </c>
      <c r="O912" s="13">
        <v>1201.49</v>
      </c>
      <c r="P912" s="13">
        <v>74.28</v>
      </c>
      <c r="Q912" s="13">
        <v>507.72</v>
      </c>
      <c r="R912" s="13">
        <v>31.46</v>
      </c>
      <c r="S912" s="13">
        <v>116.62</v>
      </c>
      <c r="T912" s="13">
        <v>327.83</v>
      </c>
      <c r="U912" s="13">
        <v>12.28</v>
      </c>
      <c r="V912" s="13">
        <v>18.88</v>
      </c>
      <c r="W912" s="13">
        <v>1.44</v>
      </c>
      <c r="X912" s="13">
        <v>4.78</v>
      </c>
      <c r="Y912" s="13">
        <v>0.504</v>
      </c>
      <c r="Z912" s="13">
        <v>127.62</v>
      </c>
      <c r="AA912" s="13"/>
      <c r="AB912" s="13"/>
      <c r="AC912" s="14">
        <v>8118.1756756756758</v>
      </c>
      <c r="AD912" s="14">
        <v>1319.360568383659</v>
      </c>
      <c r="AE912" s="14">
        <v>2551.356783919598</v>
      </c>
      <c r="AF912" s="14">
        <v>871.46814404432132</v>
      </c>
      <c r="AG912" s="15">
        <v>0.24731366128365595</v>
      </c>
      <c r="AH912" s="15">
        <v>0.28990031027190138</v>
      </c>
      <c r="AI912" s="15">
        <v>0.34195899472784863</v>
      </c>
      <c r="AJ912" s="41">
        <f t="shared" si="28"/>
        <v>115612.79999999999</v>
      </c>
      <c r="AK912" s="44">
        <f t="shared" si="29"/>
        <v>27.740170210169904</v>
      </c>
      <c r="AL912" s="10"/>
      <c r="AM912" s="10"/>
    </row>
    <row r="913" spans="1:39" s="16" customFormat="1" ht="19" customHeight="1">
      <c r="A913" s="9" t="s">
        <v>979</v>
      </c>
      <c r="B913" s="10" t="s">
        <v>970</v>
      </c>
      <c r="C913" s="10"/>
      <c r="D913" s="10"/>
      <c r="E913" s="37" t="s">
        <v>953</v>
      </c>
      <c r="F913" s="37" t="s">
        <v>249</v>
      </c>
      <c r="G913" s="12" t="s">
        <v>954</v>
      </c>
      <c r="H913" s="13">
        <v>1.89</v>
      </c>
      <c r="I913" s="13">
        <v>1.17</v>
      </c>
      <c r="J913" s="13">
        <v>27309.84</v>
      </c>
      <c r="K913" s="13">
        <v>42625.7</v>
      </c>
      <c r="L913" s="13">
        <v>4116.17</v>
      </c>
      <c r="M913" s="13">
        <v>15765.92</v>
      </c>
      <c r="N913" s="13">
        <v>12306.74</v>
      </c>
      <c r="O913" s="13">
        <v>1085.1099999999999</v>
      </c>
      <c r="P913" s="13">
        <v>67.36</v>
      </c>
      <c r="Q913" s="13">
        <v>482.57</v>
      </c>
      <c r="R913" s="13">
        <v>35.74</v>
      </c>
      <c r="S913" s="13">
        <v>128.25</v>
      </c>
      <c r="T913" s="13">
        <v>388.78</v>
      </c>
      <c r="U913" s="13">
        <v>15.25</v>
      </c>
      <c r="V913" s="13">
        <v>24.9</v>
      </c>
      <c r="W913" s="13">
        <v>1.85</v>
      </c>
      <c r="X913" s="13">
        <v>6.28</v>
      </c>
      <c r="Y913" s="13">
        <v>0.56000000000000005</v>
      </c>
      <c r="Z913" s="13">
        <v>121.5</v>
      </c>
      <c r="AA913" s="13"/>
      <c r="AB913" s="13"/>
      <c r="AC913" s="14">
        <v>7331.8243243243242</v>
      </c>
      <c r="AD913" s="14">
        <v>1196.4476021314388</v>
      </c>
      <c r="AE913" s="14">
        <v>2424.9748743718592</v>
      </c>
      <c r="AF913" s="14">
        <v>990.02770083102496</v>
      </c>
      <c r="AG913" s="15">
        <v>0.24525412028389845</v>
      </c>
      <c r="AH913" s="15">
        <v>0.28374880217145865</v>
      </c>
      <c r="AI913" s="15">
        <v>0.31808012615736558</v>
      </c>
      <c r="AJ913" s="41">
        <f t="shared" si="28"/>
        <v>86358.45</v>
      </c>
      <c r="AK913" s="44">
        <f t="shared" si="29"/>
        <v>40.552291784556822</v>
      </c>
      <c r="AL913" s="10"/>
      <c r="AM913" s="10"/>
    </row>
    <row r="914" spans="1:39" s="16" customFormat="1" ht="19" customHeight="1">
      <c r="A914" s="9" t="s">
        <v>975</v>
      </c>
      <c r="B914" s="10" t="s">
        <v>970</v>
      </c>
      <c r="C914" s="10"/>
      <c r="D914" s="10"/>
      <c r="E914" s="37" t="s">
        <v>953</v>
      </c>
      <c r="F914" s="37" t="s">
        <v>249</v>
      </c>
      <c r="G914" s="12" t="s">
        <v>954</v>
      </c>
      <c r="H914" s="13">
        <v>8.6999999999999993</v>
      </c>
      <c r="I914" s="13">
        <v>0.89</v>
      </c>
      <c r="J914" s="13">
        <v>21001.34</v>
      </c>
      <c r="K914" s="13">
        <v>44343.6</v>
      </c>
      <c r="L914" s="13">
        <v>3306.35</v>
      </c>
      <c r="M914" s="13">
        <v>6880.98</v>
      </c>
      <c r="N914" s="13">
        <v>9866.9</v>
      </c>
      <c r="O914" s="13">
        <v>1035.5</v>
      </c>
      <c r="P914" s="13">
        <v>67.650000000000006</v>
      </c>
      <c r="Q914" s="13">
        <v>480.42</v>
      </c>
      <c r="R914" s="13">
        <v>31.06</v>
      </c>
      <c r="S914" s="13">
        <v>120.56</v>
      </c>
      <c r="T914" s="13">
        <v>404.2</v>
      </c>
      <c r="U914" s="13">
        <v>15.19</v>
      </c>
      <c r="V914" s="13">
        <v>22.74</v>
      </c>
      <c r="W914" s="13">
        <v>1.1000000000000001</v>
      </c>
      <c r="X914" s="13">
        <v>6.72</v>
      </c>
      <c r="Y914" s="13">
        <v>0.75</v>
      </c>
      <c r="Z914" s="13">
        <v>119.04</v>
      </c>
      <c r="AA914" s="13"/>
      <c r="AB914" s="13"/>
      <c r="AC914" s="14">
        <v>6996.6216216216217</v>
      </c>
      <c r="AD914" s="14">
        <v>1201.5985790408527</v>
      </c>
      <c r="AE914" s="14">
        <v>2414.1708542713568</v>
      </c>
      <c r="AF914" s="14">
        <v>860.38781163434896</v>
      </c>
      <c r="AG914" s="15">
        <v>0.25536607721802612</v>
      </c>
      <c r="AH914" s="15">
        <v>0.2923689250132453</v>
      </c>
      <c r="AI914" s="15">
        <v>0.34535763746246578</v>
      </c>
      <c r="AJ914" s="41">
        <f t="shared" si="28"/>
        <v>78518.19</v>
      </c>
      <c r="AK914" s="44">
        <f t="shared" si="29"/>
        <v>17.02370113805047</v>
      </c>
      <c r="AL914" s="10"/>
      <c r="AM914" s="10"/>
    </row>
    <row r="915" spans="1:39" s="16" customFormat="1" ht="19" customHeight="1">
      <c r="A915" s="9" t="s">
        <v>973</v>
      </c>
      <c r="B915" s="10" t="s">
        <v>970</v>
      </c>
      <c r="C915" s="10"/>
      <c r="D915" s="10"/>
      <c r="E915" s="37" t="s">
        <v>953</v>
      </c>
      <c r="F915" s="37" t="s">
        <v>249</v>
      </c>
      <c r="G915" s="12" t="s">
        <v>954</v>
      </c>
      <c r="H915" s="13">
        <v>10.07</v>
      </c>
      <c r="I915" s="13">
        <v>1.4</v>
      </c>
      <c r="J915" s="13">
        <v>26453.45</v>
      </c>
      <c r="K915" s="13">
        <v>43648.41</v>
      </c>
      <c r="L915" s="13">
        <v>4192.88</v>
      </c>
      <c r="M915" s="13">
        <v>6634.87</v>
      </c>
      <c r="N915" s="13">
        <v>13107.37</v>
      </c>
      <c r="O915" s="13">
        <v>1199.29</v>
      </c>
      <c r="P915" s="13">
        <v>78.44</v>
      </c>
      <c r="Q915" s="13">
        <v>579.12</v>
      </c>
      <c r="R915" s="13">
        <v>43.81</v>
      </c>
      <c r="S915" s="13">
        <v>169.4</v>
      </c>
      <c r="T915" s="13">
        <v>479.47</v>
      </c>
      <c r="U915" s="13">
        <v>20</v>
      </c>
      <c r="V915" s="13">
        <v>34.29</v>
      </c>
      <c r="W915" s="13">
        <v>2.86</v>
      </c>
      <c r="X915" s="13">
        <v>10.06</v>
      </c>
      <c r="Y915" s="13">
        <v>0.75800000000000001</v>
      </c>
      <c r="Z915" s="13">
        <v>114.16</v>
      </c>
      <c r="AA915" s="13"/>
      <c r="AB915" s="13"/>
      <c r="AC915" s="14">
        <v>8103.3108108108108</v>
      </c>
      <c r="AD915" s="14">
        <v>1393.2504440497337</v>
      </c>
      <c r="AE915" s="14">
        <v>2910.150753768844</v>
      </c>
      <c r="AF915" s="14">
        <v>1213.5734072022162</v>
      </c>
      <c r="AG915" s="15">
        <v>0.25300863600061224</v>
      </c>
      <c r="AH915" s="15">
        <v>0.28690637482424614</v>
      </c>
      <c r="AI915" s="15">
        <v>0.32376669751229892</v>
      </c>
      <c r="AJ915" s="41">
        <f t="shared" si="28"/>
        <v>87402.11</v>
      </c>
      <c r="AK915" s="44">
        <f t="shared" si="29"/>
        <v>13.83792520908503</v>
      </c>
      <c r="AL915" s="10"/>
      <c r="AM915" s="10"/>
    </row>
    <row r="916" spans="1:39" s="16" customFormat="1" ht="19" customHeight="1">
      <c r="A916" s="9" t="s">
        <v>980</v>
      </c>
      <c r="B916" s="10" t="s">
        <v>981</v>
      </c>
      <c r="C916" s="10"/>
      <c r="D916" s="10"/>
      <c r="E916" s="37" t="s">
        <v>953</v>
      </c>
      <c r="F916" s="37" t="s">
        <v>249</v>
      </c>
      <c r="G916" s="12" t="s">
        <v>954</v>
      </c>
      <c r="H916" s="13">
        <v>8.1999999999999993</v>
      </c>
      <c r="I916" s="13">
        <v>4.78</v>
      </c>
      <c r="J916" s="13">
        <v>2310.4499999999998</v>
      </c>
      <c r="K916" s="13">
        <v>5664.59</v>
      </c>
      <c r="L916" s="13">
        <v>611.20000000000005</v>
      </c>
      <c r="M916" s="13">
        <v>300.16000000000003</v>
      </c>
      <c r="N916" s="13">
        <v>2232.7600000000002</v>
      </c>
      <c r="O916" s="13">
        <v>370.32</v>
      </c>
      <c r="P916" s="13">
        <v>8.1199999999999992</v>
      </c>
      <c r="Q916" s="13">
        <v>312.13</v>
      </c>
      <c r="R916" s="13">
        <v>40.869999999999997</v>
      </c>
      <c r="S916" s="13">
        <v>231.07</v>
      </c>
      <c r="T916" s="13">
        <v>1214.6199999999999</v>
      </c>
      <c r="U916" s="13">
        <v>43.02</v>
      </c>
      <c r="V916" s="13">
        <v>108.48</v>
      </c>
      <c r="W916" s="13">
        <v>12.74</v>
      </c>
      <c r="X916" s="13">
        <v>68.3</v>
      </c>
      <c r="Y916" s="13">
        <v>7.29</v>
      </c>
      <c r="Z916" s="13">
        <v>427.33</v>
      </c>
      <c r="AA916" s="13"/>
      <c r="AB916" s="13"/>
      <c r="AC916" s="14">
        <v>2502.1621621621621</v>
      </c>
      <c r="AD916" s="14">
        <v>144.22735346358792</v>
      </c>
      <c r="AE916" s="14">
        <v>1568.4924623115576</v>
      </c>
      <c r="AF916" s="14">
        <v>1132.1329639889195</v>
      </c>
      <c r="AG916" s="15">
        <v>7.0861994823368024E-2</v>
      </c>
      <c r="AH916" s="15">
        <v>7.2802901854395419E-2</v>
      </c>
      <c r="AI916" s="15">
        <v>7.5082407178175992E-2</v>
      </c>
      <c r="AJ916" s="41">
        <f t="shared" si="28"/>
        <v>10819</v>
      </c>
      <c r="AK916" s="44">
        <f t="shared" si="29"/>
        <v>0.24712255684905571</v>
      </c>
      <c r="AL916" s="10"/>
      <c r="AM916" s="10"/>
    </row>
    <row r="917" spans="1:39" s="16" customFormat="1" ht="19" customHeight="1">
      <c r="A917" s="9" t="s">
        <v>982</v>
      </c>
      <c r="B917" s="10" t="s">
        <v>981</v>
      </c>
      <c r="C917" s="10"/>
      <c r="D917" s="10"/>
      <c r="E917" s="37" t="s">
        <v>953</v>
      </c>
      <c r="F917" s="37" t="s">
        <v>249</v>
      </c>
      <c r="G917" s="12" t="s">
        <v>954</v>
      </c>
      <c r="H917" s="13">
        <v>14.48</v>
      </c>
      <c r="I917" s="13">
        <v>8.0399999999999991</v>
      </c>
      <c r="J917" s="13">
        <v>2542.75</v>
      </c>
      <c r="K917" s="13">
        <v>6626.93</v>
      </c>
      <c r="L917" s="13">
        <v>720.47</v>
      </c>
      <c r="M917" s="13">
        <v>273.69</v>
      </c>
      <c r="N917" s="13">
        <v>2490.12</v>
      </c>
      <c r="O917" s="13">
        <v>422.56</v>
      </c>
      <c r="P917" s="13">
        <v>7.56</v>
      </c>
      <c r="Q917" s="13">
        <v>365.99</v>
      </c>
      <c r="R917" s="13">
        <v>44.23</v>
      </c>
      <c r="S917" s="13">
        <v>261.44</v>
      </c>
      <c r="T917" s="13">
        <v>1425.16</v>
      </c>
      <c r="U917" s="13">
        <v>49</v>
      </c>
      <c r="V917" s="13">
        <v>127.13</v>
      </c>
      <c r="W917" s="13">
        <v>14.74</v>
      </c>
      <c r="X917" s="13">
        <v>80.010000000000005</v>
      </c>
      <c r="Y917" s="13">
        <v>8.16</v>
      </c>
      <c r="Z917" s="13">
        <v>420.97</v>
      </c>
      <c r="AA917" s="13"/>
      <c r="AB917" s="13"/>
      <c r="AC917" s="14">
        <v>2855.1351351351354</v>
      </c>
      <c r="AD917" s="14">
        <v>134.28063943161635</v>
      </c>
      <c r="AE917" s="14">
        <v>1839.145728643216</v>
      </c>
      <c r="AF917" s="14">
        <v>1225.207756232687</v>
      </c>
      <c r="AG917" s="15">
        <v>5.7210313284721544E-2</v>
      </c>
      <c r="AH917" s="15">
        <v>5.8599241551143731E-2</v>
      </c>
      <c r="AI917" s="15">
        <v>6.235324253157741E-2</v>
      </c>
      <c r="AJ917" s="41">
        <f t="shared" si="28"/>
        <v>12380.27</v>
      </c>
      <c r="AK917" s="44">
        <f t="shared" si="29"/>
        <v>0.19204159532964718</v>
      </c>
      <c r="AL917" s="10"/>
      <c r="AM917" s="10"/>
    </row>
    <row r="918" spans="1:39" s="16" customFormat="1" ht="19" customHeight="1">
      <c r="A918" s="9" t="s">
        <v>983</v>
      </c>
      <c r="B918" s="10" t="s">
        <v>981</v>
      </c>
      <c r="C918" s="10"/>
      <c r="D918" s="10"/>
      <c r="E918" s="37" t="s">
        <v>953</v>
      </c>
      <c r="F918" s="37" t="s">
        <v>249</v>
      </c>
      <c r="G918" s="12" t="s">
        <v>954</v>
      </c>
      <c r="H918" s="13">
        <v>59.58</v>
      </c>
      <c r="I918" s="13">
        <v>25.83</v>
      </c>
      <c r="J918" s="13">
        <v>4051.2</v>
      </c>
      <c r="K918" s="13">
        <v>10819.29</v>
      </c>
      <c r="L918" s="13">
        <v>1187.8</v>
      </c>
      <c r="M918" s="13">
        <v>276.04000000000002</v>
      </c>
      <c r="N918" s="13">
        <v>4271.71</v>
      </c>
      <c r="O918" s="13">
        <v>766.67</v>
      </c>
      <c r="P918" s="13">
        <v>12.67</v>
      </c>
      <c r="Q918" s="13">
        <v>660.02</v>
      </c>
      <c r="R918" s="13">
        <v>86.81</v>
      </c>
      <c r="S918" s="13">
        <v>491.78</v>
      </c>
      <c r="T918" s="13">
        <v>2677.66</v>
      </c>
      <c r="U918" s="13">
        <v>93.97</v>
      </c>
      <c r="V918" s="13">
        <v>246.42</v>
      </c>
      <c r="W918" s="13">
        <v>31.48</v>
      </c>
      <c r="X918" s="13">
        <v>169.74</v>
      </c>
      <c r="Y918" s="13">
        <v>18.18</v>
      </c>
      <c r="Z918" s="13">
        <v>445.12</v>
      </c>
      <c r="AA918" s="13"/>
      <c r="AB918" s="13"/>
      <c r="AC918" s="14">
        <v>5180.2027027027025</v>
      </c>
      <c r="AD918" s="14">
        <v>225.04440497335702</v>
      </c>
      <c r="AE918" s="14">
        <v>3316.6834170854268</v>
      </c>
      <c r="AF918" s="14">
        <v>2404.7091412742384</v>
      </c>
      <c r="AG918" s="15">
        <v>5.2971030045761876E-2</v>
      </c>
      <c r="AH918" s="15">
        <v>5.4292874197788235E-2</v>
      </c>
      <c r="AI918" s="15">
        <v>5.61068903959204E-2</v>
      </c>
      <c r="AJ918" s="41">
        <f t="shared" si="28"/>
        <v>20330</v>
      </c>
      <c r="AK918" s="44">
        <f t="shared" si="29"/>
        <v>0.10309001142788854</v>
      </c>
      <c r="AL918" s="10"/>
      <c r="AM918" s="10"/>
    </row>
    <row r="919" spans="1:39" s="16" customFormat="1" ht="19" customHeight="1">
      <c r="A919" s="9" t="s">
        <v>984</v>
      </c>
      <c r="B919" s="10" t="s">
        <v>981</v>
      </c>
      <c r="C919" s="10"/>
      <c r="D919" s="10"/>
      <c r="E919" s="37" t="s">
        <v>953</v>
      </c>
      <c r="F919" s="37" t="s">
        <v>249</v>
      </c>
      <c r="G919" s="12" t="s">
        <v>954</v>
      </c>
      <c r="H919" s="13">
        <v>50.23</v>
      </c>
      <c r="I919" s="13">
        <v>18.29</v>
      </c>
      <c r="J919" s="13">
        <v>4181.66</v>
      </c>
      <c r="K919" s="13">
        <v>11952.96</v>
      </c>
      <c r="L919" s="13">
        <v>1233.05</v>
      </c>
      <c r="M919" s="13">
        <v>257.94</v>
      </c>
      <c r="N919" s="13">
        <v>4574.9399999999996</v>
      </c>
      <c r="O919" s="13">
        <v>778.49</v>
      </c>
      <c r="P919" s="13">
        <v>12.19</v>
      </c>
      <c r="Q919" s="13">
        <v>636.80999999999995</v>
      </c>
      <c r="R919" s="13">
        <v>81.540000000000006</v>
      </c>
      <c r="S919" s="13">
        <v>475.69</v>
      </c>
      <c r="T919" s="13">
        <v>2377.38</v>
      </c>
      <c r="U919" s="13">
        <v>85.25</v>
      </c>
      <c r="V919" s="13">
        <v>219.27</v>
      </c>
      <c r="W919" s="13">
        <v>26.16</v>
      </c>
      <c r="X919" s="13">
        <v>132.36000000000001</v>
      </c>
      <c r="Y919" s="13">
        <v>14.05</v>
      </c>
      <c r="Z919" s="13">
        <v>460.93</v>
      </c>
      <c r="AA919" s="13"/>
      <c r="AB919" s="13"/>
      <c r="AC919" s="14">
        <v>5260.0675675675675</v>
      </c>
      <c r="AD919" s="14">
        <v>216.51865008880995</v>
      </c>
      <c r="AE919" s="14">
        <v>3200.0502512562812</v>
      </c>
      <c r="AF919" s="14">
        <v>2258.7257617728533</v>
      </c>
      <c r="AG919" s="15">
        <v>5.1185729259479992E-2</v>
      </c>
      <c r="AH919" s="15">
        <v>5.2774150376264706E-2</v>
      </c>
      <c r="AI919" s="15">
        <v>5.4560699234390421E-2</v>
      </c>
      <c r="AJ919" s="41">
        <f t="shared" si="28"/>
        <v>21942.609999999997</v>
      </c>
      <c r="AK919" s="44">
        <f t="shared" si="29"/>
        <v>0.10849758978371148</v>
      </c>
      <c r="AL919" s="10"/>
      <c r="AM919" s="10"/>
    </row>
    <row r="920" spans="1:39" s="16" customFormat="1" ht="19" customHeight="1">
      <c r="A920" s="9" t="s">
        <v>985</v>
      </c>
      <c r="B920" s="10" t="s">
        <v>981</v>
      </c>
      <c r="C920" s="10"/>
      <c r="D920" s="10"/>
      <c r="E920" s="37" t="s">
        <v>953</v>
      </c>
      <c r="F920" s="37" t="s">
        <v>249</v>
      </c>
      <c r="G920" s="12" t="s">
        <v>954</v>
      </c>
      <c r="H920" s="13">
        <v>73.7</v>
      </c>
      <c r="I920" s="13">
        <v>20.149999999999999</v>
      </c>
      <c r="J920" s="13">
        <v>4726.17</v>
      </c>
      <c r="K920" s="13">
        <v>12416.4</v>
      </c>
      <c r="L920" s="13">
        <v>1359.18</v>
      </c>
      <c r="M920" s="13">
        <v>504.66</v>
      </c>
      <c r="N920" s="13">
        <v>4888.79</v>
      </c>
      <c r="O920" s="13">
        <v>850.31</v>
      </c>
      <c r="P920" s="13">
        <v>13.12</v>
      </c>
      <c r="Q920" s="13">
        <v>699.35</v>
      </c>
      <c r="R920" s="13">
        <v>89.63</v>
      </c>
      <c r="S920" s="13">
        <v>496.86</v>
      </c>
      <c r="T920" s="13">
        <v>2507.56</v>
      </c>
      <c r="U920" s="13">
        <v>92.78</v>
      </c>
      <c r="V920" s="13">
        <v>237.91</v>
      </c>
      <c r="W920" s="13">
        <v>27.1</v>
      </c>
      <c r="X920" s="13">
        <v>138.09</v>
      </c>
      <c r="Y920" s="13">
        <v>15.09</v>
      </c>
      <c r="Z920" s="13">
        <v>450.07</v>
      </c>
      <c r="AA920" s="13"/>
      <c r="AB920" s="13"/>
      <c r="AC920" s="14">
        <v>5745.3378378378375</v>
      </c>
      <c r="AD920" s="14">
        <v>233.0373001776199</v>
      </c>
      <c r="AE920" s="14">
        <v>3514.3216080402008</v>
      </c>
      <c r="AF920" s="14">
        <v>2482.8254847645426</v>
      </c>
      <c r="AG920" s="15">
        <v>5.0333881400218682E-2</v>
      </c>
      <c r="AH920" s="15">
        <v>5.1861718458045734E-2</v>
      </c>
      <c r="AI920" s="15">
        <v>5.3649580227635017E-2</v>
      </c>
      <c r="AJ920" s="41">
        <f t="shared" si="28"/>
        <v>23390.54</v>
      </c>
      <c r="AK920" s="44">
        <f t="shared" si="29"/>
        <v>0.2012554036593342</v>
      </c>
      <c r="AL920" s="10"/>
      <c r="AM920" s="10"/>
    </row>
    <row r="921" spans="1:39" s="16" customFormat="1" ht="19" customHeight="1">
      <c r="A921" s="9" t="s">
        <v>985</v>
      </c>
      <c r="B921" s="10" t="s">
        <v>981</v>
      </c>
      <c r="C921" s="10"/>
      <c r="D921" s="10"/>
      <c r="E921" s="37" t="s">
        <v>953</v>
      </c>
      <c r="F921" s="37" t="s">
        <v>249</v>
      </c>
      <c r="G921" s="12" t="s">
        <v>954</v>
      </c>
      <c r="H921" s="13">
        <v>75.27</v>
      </c>
      <c r="I921" s="13">
        <v>19.079999999999998</v>
      </c>
      <c r="J921" s="13">
        <v>5021.43</v>
      </c>
      <c r="K921" s="13">
        <v>12726.49</v>
      </c>
      <c r="L921" s="13">
        <v>1433.95</v>
      </c>
      <c r="M921" s="13">
        <v>346.49</v>
      </c>
      <c r="N921" s="13">
        <v>5171.0600000000004</v>
      </c>
      <c r="O921" s="13">
        <v>907.21</v>
      </c>
      <c r="P921" s="13">
        <v>13.93</v>
      </c>
      <c r="Q921" s="13">
        <v>749.47</v>
      </c>
      <c r="R921" s="13">
        <v>93.3</v>
      </c>
      <c r="S921" s="13">
        <v>541.67999999999995</v>
      </c>
      <c r="T921" s="13">
        <v>2724.06</v>
      </c>
      <c r="U921" s="13">
        <v>99.75</v>
      </c>
      <c r="V921" s="13">
        <v>238.58</v>
      </c>
      <c r="W921" s="13">
        <v>27.23</v>
      </c>
      <c r="X921" s="13">
        <v>146.75</v>
      </c>
      <c r="Y921" s="13">
        <v>16.09</v>
      </c>
      <c r="Z921" s="13">
        <v>448.93</v>
      </c>
      <c r="AA921" s="13"/>
      <c r="AB921" s="13"/>
      <c r="AC921" s="14">
        <v>6129.7972972972975</v>
      </c>
      <c r="AD921" s="14">
        <v>247.42451154529309</v>
      </c>
      <c r="AE921" s="14">
        <v>3766.1809045226132</v>
      </c>
      <c r="AF921" s="14">
        <v>2584.4875346260387</v>
      </c>
      <c r="AG921" s="15">
        <v>5.0005063976351669E-2</v>
      </c>
      <c r="AH921" s="15">
        <v>5.1495475936805583E-2</v>
      </c>
      <c r="AI921" s="15">
        <v>5.3829518995730116E-2</v>
      </c>
      <c r="AJ921" s="41">
        <f t="shared" si="28"/>
        <v>24352.93</v>
      </c>
      <c r="AK921" s="44">
        <f t="shared" si="29"/>
        <v>0.12719617042209055</v>
      </c>
      <c r="AL921" s="10"/>
      <c r="AM921" s="10"/>
    </row>
    <row r="922" spans="1:39" s="16" customFormat="1" ht="19" customHeight="1">
      <c r="A922" s="9" t="s">
        <v>986</v>
      </c>
      <c r="B922" s="10" t="s">
        <v>981</v>
      </c>
      <c r="C922" s="10"/>
      <c r="D922" s="10"/>
      <c r="E922" s="37" t="s">
        <v>953</v>
      </c>
      <c r="F922" s="37" t="s">
        <v>249</v>
      </c>
      <c r="G922" s="12" t="s">
        <v>954</v>
      </c>
      <c r="H922" s="13">
        <v>58.96</v>
      </c>
      <c r="I922" s="13">
        <v>15.66</v>
      </c>
      <c r="J922" s="13">
        <v>4488.3599999999997</v>
      </c>
      <c r="K922" s="13">
        <v>11404.09</v>
      </c>
      <c r="L922" s="13">
        <v>1264.47</v>
      </c>
      <c r="M922" s="13">
        <v>519.49</v>
      </c>
      <c r="N922" s="13">
        <v>4820.4399999999996</v>
      </c>
      <c r="O922" s="13">
        <v>789.63</v>
      </c>
      <c r="P922" s="13">
        <v>11.27</v>
      </c>
      <c r="Q922" s="13">
        <v>647.27</v>
      </c>
      <c r="R922" s="13">
        <v>80.400000000000006</v>
      </c>
      <c r="S922" s="13">
        <v>451.92</v>
      </c>
      <c r="T922" s="13">
        <v>2313.96</v>
      </c>
      <c r="U922" s="13">
        <v>82.07</v>
      </c>
      <c r="V922" s="13">
        <v>204.55</v>
      </c>
      <c r="W922" s="13">
        <v>23.23</v>
      </c>
      <c r="X922" s="13">
        <v>127.88</v>
      </c>
      <c r="Y922" s="13">
        <v>13.54</v>
      </c>
      <c r="Z922" s="13">
        <v>478.3</v>
      </c>
      <c r="AA922" s="13"/>
      <c r="AB922" s="13"/>
      <c r="AC922" s="14">
        <v>5335.3378378378384</v>
      </c>
      <c r="AD922" s="14">
        <v>200.17761989342807</v>
      </c>
      <c r="AE922" s="14">
        <v>3252.6130653266327</v>
      </c>
      <c r="AF922" s="14">
        <v>2227.1468144044325</v>
      </c>
      <c r="AG922" s="15">
        <v>4.6618249720004112E-2</v>
      </c>
      <c r="AH922" s="15">
        <v>4.8052762281653151E-2</v>
      </c>
      <c r="AI922" s="15">
        <v>5.0202416554034859E-2</v>
      </c>
      <c r="AJ922" s="41">
        <f t="shared" si="28"/>
        <v>21977.360000000001</v>
      </c>
      <c r="AK922" s="44">
        <f t="shared" si="29"/>
        <v>0.22450258431433559</v>
      </c>
      <c r="AL922" s="10"/>
      <c r="AM922" s="10"/>
    </row>
    <row r="923" spans="1:39" s="16" customFormat="1" ht="19" customHeight="1">
      <c r="A923" s="9" t="s">
        <v>987</v>
      </c>
      <c r="B923" s="10" t="s">
        <v>981</v>
      </c>
      <c r="C923" s="10"/>
      <c r="D923" s="10"/>
      <c r="E923" s="37" t="s">
        <v>953</v>
      </c>
      <c r="F923" s="37" t="s">
        <v>249</v>
      </c>
      <c r="G923" s="12" t="s">
        <v>954</v>
      </c>
      <c r="H923" s="13">
        <v>63.83</v>
      </c>
      <c r="I923" s="13">
        <v>17.54</v>
      </c>
      <c r="J923" s="13">
        <v>4582.6400000000003</v>
      </c>
      <c r="K923" s="13">
        <v>11274.39</v>
      </c>
      <c r="L923" s="13">
        <v>1268.26</v>
      </c>
      <c r="M923" s="13">
        <v>386.48</v>
      </c>
      <c r="N923" s="13">
        <v>4706.04</v>
      </c>
      <c r="O923" s="13">
        <v>827.69</v>
      </c>
      <c r="P923" s="13">
        <v>13.67</v>
      </c>
      <c r="Q923" s="13">
        <v>694.95</v>
      </c>
      <c r="R923" s="13">
        <v>87.13</v>
      </c>
      <c r="S923" s="13">
        <v>502.66</v>
      </c>
      <c r="T923" s="13">
        <v>2528.58</v>
      </c>
      <c r="U923" s="13">
        <v>92.88</v>
      </c>
      <c r="V923" s="13">
        <v>230.87</v>
      </c>
      <c r="W923" s="13">
        <v>27.17</v>
      </c>
      <c r="X923" s="13">
        <v>135.32</v>
      </c>
      <c r="Y923" s="13">
        <v>15.22</v>
      </c>
      <c r="Z923" s="13">
        <v>456.74</v>
      </c>
      <c r="AA923" s="13"/>
      <c r="AB923" s="13"/>
      <c r="AC923" s="14">
        <v>5592.5000000000009</v>
      </c>
      <c r="AD923" s="14">
        <v>242.80639431616342</v>
      </c>
      <c r="AE923" s="14">
        <v>3492.211055276382</v>
      </c>
      <c r="AF923" s="14">
        <v>2413.573407202216</v>
      </c>
      <c r="AG923" s="15">
        <v>5.345385072542113E-2</v>
      </c>
      <c r="AH923" s="15">
        <v>5.4942305814862785E-2</v>
      </c>
      <c r="AI923" s="15">
        <v>5.7451665186890204E-2</v>
      </c>
      <c r="AJ923" s="41">
        <f t="shared" si="28"/>
        <v>21831.329999999998</v>
      </c>
      <c r="AK923" s="44">
        <f t="shared" si="29"/>
        <v>0.15284467962255496</v>
      </c>
      <c r="AL923" s="10"/>
      <c r="AM923" s="10"/>
    </row>
    <row r="924" spans="1:39" s="16" customFormat="1" ht="19" customHeight="1">
      <c r="A924" s="9" t="s">
        <v>988</v>
      </c>
      <c r="B924" s="10" t="s">
        <v>989</v>
      </c>
      <c r="C924" s="10"/>
      <c r="D924" s="10"/>
      <c r="E924" s="37" t="s">
        <v>953</v>
      </c>
      <c r="F924" s="37" t="s">
        <v>249</v>
      </c>
      <c r="G924" s="12" t="s">
        <v>954</v>
      </c>
      <c r="H924" s="13">
        <v>555.85</v>
      </c>
      <c r="I924" s="13">
        <v>72.69</v>
      </c>
      <c r="J924" s="13">
        <v>13340.08</v>
      </c>
      <c r="K924" s="13">
        <v>34373.15</v>
      </c>
      <c r="L924" s="13">
        <v>3947.39</v>
      </c>
      <c r="M924" s="13">
        <v>55.76</v>
      </c>
      <c r="N924" s="13">
        <v>15569.71</v>
      </c>
      <c r="O924" s="13">
        <v>2489.4699999999998</v>
      </c>
      <c r="P924" s="13">
        <v>184.63</v>
      </c>
      <c r="Q924" s="13">
        <v>1766.69</v>
      </c>
      <c r="R924" s="13">
        <v>211.83</v>
      </c>
      <c r="S924" s="13">
        <v>1102.21</v>
      </c>
      <c r="T924" s="13">
        <v>4105.24</v>
      </c>
      <c r="U924" s="13">
        <v>186.15</v>
      </c>
      <c r="V924" s="13">
        <v>398.78</v>
      </c>
      <c r="W924" s="13">
        <v>44.34</v>
      </c>
      <c r="X924" s="13">
        <v>216.02</v>
      </c>
      <c r="Y924" s="13">
        <v>21.34</v>
      </c>
      <c r="Z924" s="13">
        <v>287.27</v>
      </c>
      <c r="AA924" s="13"/>
      <c r="AB924" s="13"/>
      <c r="AC924" s="14">
        <v>16820.743243243243</v>
      </c>
      <c r="AD924" s="14">
        <v>3279.3960923623449</v>
      </c>
      <c r="AE924" s="14">
        <v>8877.8391959798992</v>
      </c>
      <c r="AF924" s="14">
        <v>5867.8670360110809</v>
      </c>
      <c r="AG924" s="15">
        <v>0.25521999901108006</v>
      </c>
      <c r="AH924" s="15">
        <v>0.26835991571597489</v>
      </c>
      <c r="AI924" s="15">
        <v>0.27695146451413194</v>
      </c>
      <c r="AJ924" s="41">
        <f t="shared" si="28"/>
        <v>67230.33</v>
      </c>
      <c r="AK924" s="44">
        <f t="shared" si="29"/>
        <v>1.3582640722588692E-2</v>
      </c>
      <c r="AL924" s="10"/>
      <c r="AM924" s="10"/>
    </row>
    <row r="925" spans="1:39" s="16" customFormat="1" ht="19" customHeight="1">
      <c r="A925" s="9" t="s">
        <v>990</v>
      </c>
      <c r="B925" s="10" t="s">
        <v>989</v>
      </c>
      <c r="C925" s="10"/>
      <c r="D925" s="10"/>
      <c r="E925" s="37" t="s">
        <v>953</v>
      </c>
      <c r="F925" s="37" t="s">
        <v>249</v>
      </c>
      <c r="G925" s="12" t="s">
        <v>954</v>
      </c>
      <c r="H925" s="13">
        <v>635.16</v>
      </c>
      <c r="I925" s="13">
        <v>86.76</v>
      </c>
      <c r="J925" s="13">
        <v>14573.73</v>
      </c>
      <c r="K925" s="13">
        <v>37679.599999999999</v>
      </c>
      <c r="L925" s="13">
        <v>4265.5</v>
      </c>
      <c r="M925" s="13">
        <v>56.57</v>
      </c>
      <c r="N925" s="13">
        <v>16941.48</v>
      </c>
      <c r="O925" s="13">
        <v>2669.73</v>
      </c>
      <c r="P925" s="13">
        <v>200.1</v>
      </c>
      <c r="Q925" s="13">
        <v>1960.11</v>
      </c>
      <c r="R925" s="13">
        <v>234.64</v>
      </c>
      <c r="S925" s="13">
        <v>1197.51</v>
      </c>
      <c r="T925" s="13">
        <v>4354.03</v>
      </c>
      <c r="U925" s="13">
        <v>202.02</v>
      </c>
      <c r="V925" s="13">
        <v>438.37</v>
      </c>
      <c r="W925" s="13">
        <v>47.36</v>
      </c>
      <c r="X925" s="13">
        <v>231.86</v>
      </c>
      <c r="Y925" s="13">
        <v>24.02</v>
      </c>
      <c r="Z925" s="13">
        <v>300.25</v>
      </c>
      <c r="AA925" s="13"/>
      <c r="AB925" s="13"/>
      <c r="AC925" s="14">
        <v>18038.716216216217</v>
      </c>
      <c r="AD925" s="14">
        <v>3554.1740674955595</v>
      </c>
      <c r="AE925" s="14">
        <v>9849.7989949748735</v>
      </c>
      <c r="AF925" s="14">
        <v>6499.7229916897504</v>
      </c>
      <c r="AG925" s="15">
        <v>0.25488442397029026</v>
      </c>
      <c r="AH925" s="15">
        <v>0.26663809427177732</v>
      </c>
      <c r="AI925" s="15">
        <v>0.27688748545620484</v>
      </c>
      <c r="AJ925" s="41">
        <f t="shared" si="28"/>
        <v>73460.31</v>
      </c>
      <c r="AK925" s="44">
        <f t="shared" si="29"/>
        <v>1.2992560914830628E-2</v>
      </c>
      <c r="AL925" s="10"/>
      <c r="AM925" s="10"/>
    </row>
    <row r="926" spans="1:39" s="16" customFormat="1" ht="19" customHeight="1">
      <c r="A926" s="9" t="s">
        <v>991</v>
      </c>
      <c r="B926" s="10" t="s">
        <v>989</v>
      </c>
      <c r="C926" s="10"/>
      <c r="D926" s="10"/>
      <c r="E926" s="37" t="s">
        <v>953</v>
      </c>
      <c r="F926" s="37" t="s">
        <v>249</v>
      </c>
      <c r="G926" s="12" t="s">
        <v>954</v>
      </c>
      <c r="H926" s="13">
        <v>672.44</v>
      </c>
      <c r="I926" s="13">
        <v>100.34</v>
      </c>
      <c r="J926" s="13">
        <v>13628.05</v>
      </c>
      <c r="K926" s="13">
        <v>40489.35</v>
      </c>
      <c r="L926" s="13">
        <v>4470.03</v>
      </c>
      <c r="M926" s="13">
        <v>57.07</v>
      </c>
      <c r="N926" s="13">
        <v>16412.080000000002</v>
      </c>
      <c r="O926" s="13">
        <v>2616.34</v>
      </c>
      <c r="P926" s="13">
        <v>194.12</v>
      </c>
      <c r="Q926" s="13">
        <v>1921.25</v>
      </c>
      <c r="R926" s="13">
        <v>232.96</v>
      </c>
      <c r="S926" s="13">
        <v>1171.75</v>
      </c>
      <c r="T926" s="13">
        <v>4220.6899999999996</v>
      </c>
      <c r="U926" s="13">
        <v>189.07</v>
      </c>
      <c r="V926" s="13">
        <v>432.51</v>
      </c>
      <c r="W926" s="13">
        <v>45.97</v>
      </c>
      <c r="X926" s="13">
        <v>234.97</v>
      </c>
      <c r="Y926" s="13">
        <v>22.87</v>
      </c>
      <c r="Z926" s="13">
        <v>321.77</v>
      </c>
      <c r="AA926" s="13"/>
      <c r="AB926" s="13"/>
      <c r="AC926" s="14">
        <v>17677.972972972973</v>
      </c>
      <c r="AD926" s="14">
        <v>3447.9573712255774</v>
      </c>
      <c r="AE926" s="14">
        <v>9654.5226130653264</v>
      </c>
      <c r="AF926" s="14">
        <v>6453.1855955678675</v>
      </c>
      <c r="AG926" s="15">
        <v>0.25229729648154248</v>
      </c>
      <c r="AH926" s="15">
        <v>0.26392483149457013</v>
      </c>
      <c r="AI926" s="15">
        <v>0.2729075344698545</v>
      </c>
      <c r="AJ926" s="41">
        <f t="shared" si="28"/>
        <v>74999.509999999995</v>
      </c>
      <c r="AK926" s="44">
        <f t="shared" si="29"/>
        <v>1.3521485823408022E-2</v>
      </c>
      <c r="AL926" s="10"/>
      <c r="AM926" s="10"/>
    </row>
    <row r="927" spans="1:39" s="16" customFormat="1" ht="19" customHeight="1">
      <c r="A927" s="9" t="s">
        <v>992</v>
      </c>
      <c r="B927" s="10" t="s">
        <v>989</v>
      </c>
      <c r="C927" s="10"/>
      <c r="D927" s="10"/>
      <c r="E927" s="37" t="s">
        <v>953</v>
      </c>
      <c r="F927" s="37" t="s">
        <v>249</v>
      </c>
      <c r="G927" s="12" t="s">
        <v>954</v>
      </c>
      <c r="H927" s="13">
        <v>611.01</v>
      </c>
      <c r="I927" s="13">
        <v>77.59</v>
      </c>
      <c r="J927" s="13">
        <v>14168.42</v>
      </c>
      <c r="K927" s="13">
        <v>33795.370000000003</v>
      </c>
      <c r="L927" s="13">
        <v>4114.54</v>
      </c>
      <c r="M927" s="13">
        <v>77.180000000000007</v>
      </c>
      <c r="N927" s="13">
        <v>16282.96</v>
      </c>
      <c r="O927" s="13">
        <v>2646.67</v>
      </c>
      <c r="P927" s="13">
        <v>189.21</v>
      </c>
      <c r="Q927" s="13">
        <v>1930.16</v>
      </c>
      <c r="R927" s="13">
        <v>229.36</v>
      </c>
      <c r="S927" s="13">
        <v>1224.24</v>
      </c>
      <c r="T927" s="13">
        <v>4607.1899999999996</v>
      </c>
      <c r="U927" s="13">
        <v>198.22</v>
      </c>
      <c r="V927" s="13">
        <v>426.78</v>
      </c>
      <c r="W927" s="13">
        <v>48.3</v>
      </c>
      <c r="X927" s="13">
        <v>228.02</v>
      </c>
      <c r="Y927" s="13">
        <v>22.97</v>
      </c>
      <c r="Z927" s="13">
        <v>241.81</v>
      </c>
      <c r="AA927" s="13"/>
      <c r="AB927" s="13"/>
      <c r="AC927" s="14">
        <v>17882.905405405407</v>
      </c>
      <c r="AD927" s="14">
        <v>3360.7460035523982</v>
      </c>
      <c r="AE927" s="14">
        <v>9699.2964824120609</v>
      </c>
      <c r="AF927" s="14">
        <v>6353.4626038781171</v>
      </c>
      <c r="AG927" s="15">
        <v>0.24368946447576947</v>
      </c>
      <c r="AH927" s="15">
        <v>0.25517994166922997</v>
      </c>
      <c r="AI927" s="15">
        <v>0.26534249740632748</v>
      </c>
      <c r="AJ927" s="41">
        <f t="shared" si="28"/>
        <v>68361.290000000008</v>
      </c>
      <c r="AK927" s="44">
        <f t="shared" si="29"/>
        <v>1.6752076645417276E-2</v>
      </c>
      <c r="AL927" s="10"/>
      <c r="AM927" s="10"/>
    </row>
    <row r="928" spans="1:39" s="16" customFormat="1" ht="19" customHeight="1">
      <c r="A928" s="9" t="s">
        <v>993</v>
      </c>
      <c r="B928" s="10" t="s">
        <v>989</v>
      </c>
      <c r="C928" s="10"/>
      <c r="D928" s="10"/>
      <c r="E928" s="37" t="s">
        <v>953</v>
      </c>
      <c r="F928" s="37" t="s">
        <v>249</v>
      </c>
      <c r="G928" s="12" t="s">
        <v>954</v>
      </c>
      <c r="H928" s="13">
        <v>577.61</v>
      </c>
      <c r="I928" s="13">
        <v>72.66</v>
      </c>
      <c r="J928" s="13">
        <v>13702.15</v>
      </c>
      <c r="K928" s="13">
        <v>33527.160000000003</v>
      </c>
      <c r="L928" s="13">
        <v>4144.42</v>
      </c>
      <c r="M928" s="13">
        <v>87.82</v>
      </c>
      <c r="N928" s="13">
        <v>15504.3</v>
      </c>
      <c r="O928" s="13">
        <v>2571.19</v>
      </c>
      <c r="P928" s="13">
        <v>194.54</v>
      </c>
      <c r="Q928" s="13">
        <v>1859.5</v>
      </c>
      <c r="R928" s="13">
        <v>225.53</v>
      </c>
      <c r="S928" s="13">
        <v>1141.6600000000001</v>
      </c>
      <c r="T928" s="13">
        <v>4331.7700000000004</v>
      </c>
      <c r="U928" s="13">
        <v>186.23</v>
      </c>
      <c r="V928" s="13">
        <v>409.23</v>
      </c>
      <c r="W928" s="13">
        <v>44.18</v>
      </c>
      <c r="X928" s="13">
        <v>214.65</v>
      </c>
      <c r="Y928" s="13">
        <v>22.49</v>
      </c>
      <c r="Z928" s="13">
        <v>271.22000000000003</v>
      </c>
      <c r="AA928" s="13"/>
      <c r="AB928" s="13"/>
      <c r="AC928" s="14">
        <v>17372.905405405407</v>
      </c>
      <c r="AD928" s="14">
        <v>3455.417406749556</v>
      </c>
      <c r="AE928" s="14">
        <v>9344.2211055276384</v>
      </c>
      <c r="AF928" s="14">
        <v>6247.3684210526317</v>
      </c>
      <c r="AG928" s="15">
        <v>0.25866684467998818</v>
      </c>
      <c r="AH928" s="15">
        <v>0.27120190516031606</v>
      </c>
      <c r="AI928" s="15">
        <v>0.27969616250811058</v>
      </c>
      <c r="AJ928" s="41">
        <f t="shared" si="28"/>
        <v>66878.03</v>
      </c>
      <c r="AK928" s="44">
        <f t="shared" si="29"/>
        <v>2.0273467889569387E-2</v>
      </c>
      <c r="AL928" s="10"/>
      <c r="AM928" s="10"/>
    </row>
    <row r="929" spans="1:39" s="16" customFormat="1" ht="19" customHeight="1">
      <c r="A929" s="9" t="s">
        <v>994</v>
      </c>
      <c r="B929" s="10" t="s">
        <v>989</v>
      </c>
      <c r="C929" s="10"/>
      <c r="D929" s="10"/>
      <c r="E929" s="37" t="s">
        <v>953</v>
      </c>
      <c r="F929" s="37" t="s">
        <v>249</v>
      </c>
      <c r="G929" s="12" t="s">
        <v>954</v>
      </c>
      <c r="H929" s="13">
        <v>667.02</v>
      </c>
      <c r="I929" s="13">
        <v>85.33</v>
      </c>
      <c r="J929" s="13">
        <v>15002.51</v>
      </c>
      <c r="K929" s="13">
        <v>37962.97</v>
      </c>
      <c r="L929" s="13">
        <v>4483.99</v>
      </c>
      <c r="M929" s="13">
        <v>61.37</v>
      </c>
      <c r="N929" s="13">
        <v>17365.669999999998</v>
      </c>
      <c r="O929" s="13">
        <v>2828.57</v>
      </c>
      <c r="P929" s="13">
        <v>204.83</v>
      </c>
      <c r="Q929" s="13">
        <v>2030.74</v>
      </c>
      <c r="R929" s="13">
        <v>249.15</v>
      </c>
      <c r="S929" s="13">
        <v>1270.67</v>
      </c>
      <c r="T929" s="13">
        <v>4657.45</v>
      </c>
      <c r="U929" s="13">
        <v>209.13</v>
      </c>
      <c r="V929" s="13">
        <v>451.25</v>
      </c>
      <c r="W929" s="13">
        <v>50.26</v>
      </c>
      <c r="X929" s="13">
        <v>243.41</v>
      </c>
      <c r="Y929" s="13">
        <v>25.26</v>
      </c>
      <c r="Z929" s="13">
        <v>263.39999999999998</v>
      </c>
      <c r="AA929" s="13"/>
      <c r="AB929" s="13"/>
      <c r="AC929" s="14">
        <v>19111.95945945946</v>
      </c>
      <c r="AD929" s="14">
        <v>3638.1882770870343</v>
      </c>
      <c r="AE929" s="14">
        <v>10204.723618090451</v>
      </c>
      <c r="AF929" s="14">
        <v>6901.6620498614957</v>
      </c>
      <c r="AG929" s="15">
        <v>0.24819917502011549</v>
      </c>
      <c r="AH929" s="15">
        <v>0.26051452291424143</v>
      </c>
      <c r="AI929" s="15">
        <v>0.26731939138972205</v>
      </c>
      <c r="AJ929" s="41">
        <f t="shared" si="28"/>
        <v>74815.14</v>
      </c>
      <c r="AK929" s="44">
        <f t="shared" si="29"/>
        <v>1.3176738343943574E-2</v>
      </c>
      <c r="AL929" s="10"/>
      <c r="AM929" s="10"/>
    </row>
    <row r="930" spans="1:39" s="16" customFormat="1" ht="19" customHeight="1">
      <c r="A930" s="9" t="s">
        <v>995</v>
      </c>
      <c r="B930" s="10" t="s">
        <v>996</v>
      </c>
      <c r="C930" s="10"/>
      <c r="D930" s="10"/>
      <c r="E930" s="20" t="s">
        <v>141</v>
      </c>
      <c r="F930" s="20" t="s">
        <v>249</v>
      </c>
      <c r="G930" s="12" t="s">
        <v>997</v>
      </c>
      <c r="H930" s="13"/>
      <c r="I930" s="13"/>
      <c r="J930" s="13">
        <v>464</v>
      </c>
      <c r="K930" s="13">
        <v>1282</v>
      </c>
      <c r="L930" s="13">
        <v>181</v>
      </c>
      <c r="M930" s="13"/>
      <c r="N930" s="13">
        <v>837</v>
      </c>
      <c r="O930" s="13">
        <v>190</v>
      </c>
      <c r="P930" s="13">
        <v>42</v>
      </c>
      <c r="Q930" s="13">
        <v>199</v>
      </c>
      <c r="R930" s="13"/>
      <c r="S930" s="13">
        <v>122</v>
      </c>
      <c r="T930" s="13">
        <v>576</v>
      </c>
      <c r="U930" s="13">
        <v>19</v>
      </c>
      <c r="V930" s="13">
        <v>43</v>
      </c>
      <c r="W930" s="13"/>
      <c r="X930" s="13">
        <v>19</v>
      </c>
      <c r="Y930" s="13">
        <v>2</v>
      </c>
      <c r="Z930" s="13"/>
      <c r="AA930" s="13">
        <v>81</v>
      </c>
      <c r="AB930" s="13"/>
      <c r="AC930" s="14">
        <v>1283.7837837837837</v>
      </c>
      <c r="AD930" s="14">
        <v>746.00355239786859</v>
      </c>
      <c r="AE930" s="14">
        <v>1000</v>
      </c>
      <c r="AF930" s="14"/>
      <c r="AG930" s="15">
        <v>0.65330488612357729</v>
      </c>
      <c r="AH930" s="15">
        <v>0.65840777809306716</v>
      </c>
      <c r="AI930" s="15"/>
      <c r="AJ930" s="41">
        <f t="shared" si="28"/>
        <v>2764</v>
      </c>
      <c r="AK930" s="44"/>
      <c r="AL930" s="10"/>
      <c r="AM930" s="10"/>
    </row>
    <row r="931" spans="1:39" s="16" customFormat="1" ht="19" customHeight="1">
      <c r="A931" s="9" t="s">
        <v>995</v>
      </c>
      <c r="B931" s="10" t="s">
        <v>996</v>
      </c>
      <c r="C931" s="10"/>
      <c r="D931" s="10"/>
      <c r="E931" s="20" t="s">
        <v>141</v>
      </c>
      <c r="F931" s="20" t="s">
        <v>249</v>
      </c>
      <c r="G931" s="12" t="s">
        <v>997</v>
      </c>
      <c r="H931" s="13"/>
      <c r="I931" s="13"/>
      <c r="J931" s="13">
        <v>451</v>
      </c>
      <c r="K931" s="13">
        <v>1212</v>
      </c>
      <c r="L931" s="13">
        <v>172</v>
      </c>
      <c r="M931" s="13"/>
      <c r="N931" s="13">
        <v>714</v>
      </c>
      <c r="O931" s="13">
        <v>166</v>
      </c>
      <c r="P931" s="13">
        <v>40</v>
      </c>
      <c r="Q931" s="13">
        <v>168</v>
      </c>
      <c r="R931" s="13"/>
      <c r="S931" s="13">
        <v>104</v>
      </c>
      <c r="T931" s="13">
        <v>482</v>
      </c>
      <c r="U931" s="13">
        <v>18</v>
      </c>
      <c r="V931" s="13">
        <v>35</v>
      </c>
      <c r="W931" s="13"/>
      <c r="X931" s="13">
        <v>15</v>
      </c>
      <c r="Y931" s="13">
        <v>2</v>
      </c>
      <c r="Z931" s="13"/>
      <c r="AA931" s="13">
        <v>106</v>
      </c>
      <c r="AB931" s="13"/>
      <c r="AC931" s="14">
        <v>1121.6216216216217</v>
      </c>
      <c r="AD931" s="14">
        <v>710.47957371225584</v>
      </c>
      <c r="AE931" s="14">
        <v>844.2211055276382</v>
      </c>
      <c r="AF931" s="14"/>
      <c r="AG931" s="15">
        <v>0.72282442934033497</v>
      </c>
      <c r="AH931" s="15">
        <v>0.7301301919040103</v>
      </c>
      <c r="AI931" s="15"/>
      <c r="AJ931" s="41">
        <f t="shared" si="28"/>
        <v>2549</v>
      </c>
      <c r="AK931" s="44"/>
      <c r="AL931" s="10"/>
      <c r="AM931" s="10"/>
    </row>
    <row r="932" spans="1:39" s="16" customFormat="1" ht="19" customHeight="1">
      <c r="A932" s="9" t="s">
        <v>995</v>
      </c>
      <c r="B932" s="10" t="s">
        <v>996</v>
      </c>
      <c r="C932" s="10"/>
      <c r="D932" s="10"/>
      <c r="E932" s="20" t="s">
        <v>141</v>
      </c>
      <c r="F932" s="20" t="s">
        <v>249</v>
      </c>
      <c r="G932" s="12" t="s">
        <v>997</v>
      </c>
      <c r="H932" s="13"/>
      <c r="I932" s="13"/>
      <c r="J932" s="13">
        <v>459</v>
      </c>
      <c r="K932" s="13">
        <v>1268</v>
      </c>
      <c r="L932" s="13">
        <v>175</v>
      </c>
      <c r="M932" s="13"/>
      <c r="N932" s="13">
        <v>767</v>
      </c>
      <c r="O932" s="13">
        <v>178</v>
      </c>
      <c r="P932" s="13">
        <v>42</v>
      </c>
      <c r="Q932" s="13">
        <v>184</v>
      </c>
      <c r="R932" s="13"/>
      <c r="S932" s="13">
        <v>116</v>
      </c>
      <c r="T932" s="13">
        <v>519</v>
      </c>
      <c r="U932" s="13">
        <v>21</v>
      </c>
      <c r="V932" s="13">
        <v>40</v>
      </c>
      <c r="W932" s="13"/>
      <c r="X932" s="13">
        <v>19</v>
      </c>
      <c r="Y932" s="13">
        <v>2</v>
      </c>
      <c r="Z932" s="13"/>
      <c r="AA932" s="13">
        <v>75</v>
      </c>
      <c r="AB932" s="13"/>
      <c r="AC932" s="14">
        <v>1202.7027027027027</v>
      </c>
      <c r="AD932" s="14">
        <v>746.00355239786859</v>
      </c>
      <c r="AE932" s="14">
        <v>924.62311557788939</v>
      </c>
      <c r="AF932" s="14"/>
      <c r="AG932" s="15">
        <v>0.70135335733463233</v>
      </c>
      <c r="AH932" s="15">
        <v>0.70742333089105858</v>
      </c>
      <c r="AI932" s="15"/>
      <c r="AJ932" s="41">
        <f t="shared" si="28"/>
        <v>2669</v>
      </c>
      <c r="AK932" s="44"/>
      <c r="AL932" s="10"/>
      <c r="AM932" s="10"/>
    </row>
    <row r="933" spans="1:39" s="16" customFormat="1" ht="19" customHeight="1">
      <c r="A933" s="9" t="s">
        <v>995</v>
      </c>
      <c r="B933" s="10" t="s">
        <v>996</v>
      </c>
      <c r="C933" s="10"/>
      <c r="D933" s="10"/>
      <c r="E933" s="20" t="s">
        <v>141</v>
      </c>
      <c r="F933" s="20" t="s">
        <v>249</v>
      </c>
      <c r="G933" s="12" t="s">
        <v>997</v>
      </c>
      <c r="H933" s="13"/>
      <c r="I933" s="13"/>
      <c r="J933" s="13">
        <v>624</v>
      </c>
      <c r="K933" s="13">
        <v>1806</v>
      </c>
      <c r="L933" s="13">
        <v>236</v>
      </c>
      <c r="M933" s="13"/>
      <c r="N933" s="13">
        <v>948</v>
      </c>
      <c r="O933" s="13">
        <v>199</v>
      </c>
      <c r="P933" s="13">
        <v>58</v>
      </c>
      <c r="Q933" s="13">
        <v>197</v>
      </c>
      <c r="R933" s="13"/>
      <c r="S933" s="13">
        <v>135</v>
      </c>
      <c r="T933" s="13">
        <v>586</v>
      </c>
      <c r="U933" s="13">
        <v>23</v>
      </c>
      <c r="V933" s="13">
        <v>47</v>
      </c>
      <c r="W933" s="13"/>
      <c r="X933" s="13">
        <v>23</v>
      </c>
      <c r="Y933" s="13">
        <v>3</v>
      </c>
      <c r="Z933" s="13"/>
      <c r="AA933" s="13">
        <v>33</v>
      </c>
      <c r="AB933" s="13"/>
      <c r="AC933" s="14">
        <v>1344.5945945945946</v>
      </c>
      <c r="AD933" s="14">
        <v>1030.195381882771</v>
      </c>
      <c r="AE933" s="14">
        <v>989.94974874371849</v>
      </c>
      <c r="AF933" s="14"/>
      <c r="AG933" s="15">
        <v>0.88256655721486899</v>
      </c>
      <c r="AH933" s="15">
        <v>0.89292985405055003</v>
      </c>
      <c r="AI933" s="15"/>
      <c r="AJ933" s="41">
        <f t="shared" si="28"/>
        <v>3614</v>
      </c>
      <c r="AK933" s="44"/>
      <c r="AL933" s="10"/>
      <c r="AM933" s="10"/>
    </row>
    <row r="934" spans="1:39" s="16" customFormat="1" ht="19" customHeight="1">
      <c r="A934" s="9" t="s">
        <v>995</v>
      </c>
      <c r="B934" s="10" t="s">
        <v>996</v>
      </c>
      <c r="C934" s="10"/>
      <c r="D934" s="10"/>
      <c r="E934" s="20" t="s">
        <v>141</v>
      </c>
      <c r="F934" s="20" t="s">
        <v>249</v>
      </c>
      <c r="G934" s="12" t="s">
        <v>997</v>
      </c>
      <c r="H934" s="13"/>
      <c r="I934" s="13"/>
      <c r="J934" s="13">
        <v>583</v>
      </c>
      <c r="K934" s="13">
        <v>1760</v>
      </c>
      <c r="L934" s="13">
        <v>232</v>
      </c>
      <c r="M934" s="13"/>
      <c r="N934" s="13">
        <v>942</v>
      </c>
      <c r="O934" s="13">
        <v>199</v>
      </c>
      <c r="P934" s="13">
        <v>52</v>
      </c>
      <c r="Q934" s="13">
        <v>204</v>
      </c>
      <c r="R934" s="13"/>
      <c r="S934" s="13">
        <v>136</v>
      </c>
      <c r="T934" s="13">
        <v>669</v>
      </c>
      <c r="U934" s="13">
        <v>22</v>
      </c>
      <c r="V934" s="13">
        <v>53</v>
      </c>
      <c r="W934" s="13"/>
      <c r="X934" s="13">
        <v>26</v>
      </c>
      <c r="Y934" s="13">
        <v>3</v>
      </c>
      <c r="Z934" s="13"/>
      <c r="AA934" s="13">
        <v>40</v>
      </c>
      <c r="AB934" s="13"/>
      <c r="AC934" s="14">
        <v>1344.5945945945946</v>
      </c>
      <c r="AD934" s="14">
        <v>923.62344582593255</v>
      </c>
      <c r="AE934" s="14">
        <v>1025.1256281407034</v>
      </c>
      <c r="AF934" s="14"/>
      <c r="AG934" s="15">
        <v>0.77952109026593974</v>
      </c>
      <c r="AH934" s="15">
        <v>0.78670284867942797</v>
      </c>
      <c r="AI934" s="15"/>
      <c r="AJ934" s="41">
        <f t="shared" si="28"/>
        <v>3517</v>
      </c>
      <c r="AK934" s="44"/>
      <c r="AL934" s="10"/>
      <c r="AM934" s="10"/>
    </row>
    <row r="935" spans="1:39" s="16" customFormat="1" ht="19" customHeight="1">
      <c r="A935" s="9" t="s">
        <v>995</v>
      </c>
      <c r="B935" s="10" t="s">
        <v>996</v>
      </c>
      <c r="C935" s="10"/>
      <c r="D935" s="10"/>
      <c r="E935" s="20" t="s">
        <v>141</v>
      </c>
      <c r="F935" s="20" t="s">
        <v>249</v>
      </c>
      <c r="G935" s="12" t="s">
        <v>997</v>
      </c>
      <c r="H935" s="13"/>
      <c r="I935" s="13"/>
      <c r="J935" s="13">
        <v>485</v>
      </c>
      <c r="K935" s="13">
        <v>1271</v>
      </c>
      <c r="L935" s="13">
        <v>172</v>
      </c>
      <c r="M935" s="13"/>
      <c r="N935" s="13">
        <v>697</v>
      </c>
      <c r="O935" s="13">
        <v>151</v>
      </c>
      <c r="P935" s="13">
        <v>45</v>
      </c>
      <c r="Q935" s="13">
        <v>157</v>
      </c>
      <c r="R935" s="13"/>
      <c r="S935" s="13">
        <v>104</v>
      </c>
      <c r="T935" s="13">
        <v>584</v>
      </c>
      <c r="U935" s="13">
        <v>18</v>
      </c>
      <c r="V935" s="13">
        <v>44</v>
      </c>
      <c r="W935" s="13"/>
      <c r="X935" s="13">
        <v>22</v>
      </c>
      <c r="Y935" s="13">
        <v>3</v>
      </c>
      <c r="Z935" s="13"/>
      <c r="AA935" s="13">
        <v>69</v>
      </c>
      <c r="AB935" s="13"/>
      <c r="AC935" s="14">
        <v>1020.2702702702703</v>
      </c>
      <c r="AD935" s="14">
        <v>799.28952042628782</v>
      </c>
      <c r="AE935" s="14">
        <v>788.94472361809039</v>
      </c>
      <c r="AF935" s="14"/>
      <c r="AG935" s="15">
        <v>0.88357605163160469</v>
      </c>
      <c r="AH935" s="15">
        <v>0.89088821707274157</v>
      </c>
      <c r="AI935" s="15"/>
      <c r="AJ935" s="41">
        <f t="shared" si="28"/>
        <v>2625</v>
      </c>
      <c r="AK935" s="44"/>
      <c r="AL935" s="10"/>
      <c r="AM935" s="10"/>
    </row>
    <row r="936" spans="1:39" s="16" customFormat="1" ht="19" customHeight="1">
      <c r="A936" s="9" t="s">
        <v>995</v>
      </c>
      <c r="B936" s="10" t="s">
        <v>996</v>
      </c>
      <c r="C936" s="10"/>
      <c r="D936" s="10"/>
      <c r="E936" s="20" t="s">
        <v>141</v>
      </c>
      <c r="F936" s="20" t="s">
        <v>249</v>
      </c>
      <c r="G936" s="12" t="s">
        <v>997</v>
      </c>
      <c r="H936" s="13"/>
      <c r="I936" s="13"/>
      <c r="J936" s="13">
        <v>495</v>
      </c>
      <c r="K936" s="13">
        <v>1315</v>
      </c>
      <c r="L936" s="13">
        <v>164</v>
      </c>
      <c r="M936" s="13"/>
      <c r="N936" s="13">
        <v>621</v>
      </c>
      <c r="O936" s="13">
        <v>120</v>
      </c>
      <c r="P936" s="13">
        <v>39</v>
      </c>
      <c r="Q936" s="13">
        <v>125</v>
      </c>
      <c r="R936" s="13"/>
      <c r="S936" s="13">
        <v>80</v>
      </c>
      <c r="T936" s="13">
        <v>481</v>
      </c>
      <c r="U936" s="13">
        <v>15</v>
      </c>
      <c r="V936" s="13">
        <v>35</v>
      </c>
      <c r="W936" s="13"/>
      <c r="X936" s="13">
        <v>18</v>
      </c>
      <c r="Y936" s="13">
        <v>2</v>
      </c>
      <c r="Z936" s="13"/>
      <c r="AA936" s="13">
        <v>24</v>
      </c>
      <c r="AB936" s="13"/>
      <c r="AC936" s="14">
        <v>810.81081081081084</v>
      </c>
      <c r="AD936" s="14">
        <v>692.71758436944947</v>
      </c>
      <c r="AE936" s="14">
        <v>628.14070351758789</v>
      </c>
      <c r="AF936" s="14"/>
      <c r="AG936" s="15">
        <v>0.96280879163987843</v>
      </c>
      <c r="AH936" s="15">
        <v>0.97066188956164334</v>
      </c>
      <c r="AI936" s="15"/>
      <c r="AJ936" s="41">
        <f t="shared" si="28"/>
        <v>2595</v>
      </c>
      <c r="AK936" s="44"/>
      <c r="AL936" s="10"/>
      <c r="AM936" s="10"/>
    </row>
    <row r="937" spans="1:39" s="16" customFormat="1" ht="19" customHeight="1">
      <c r="A937" s="9" t="s">
        <v>995</v>
      </c>
      <c r="B937" s="10" t="s">
        <v>996</v>
      </c>
      <c r="C937" s="10"/>
      <c r="D937" s="10"/>
      <c r="E937" s="20" t="s">
        <v>141</v>
      </c>
      <c r="F937" s="20" t="s">
        <v>249</v>
      </c>
      <c r="G937" s="12" t="s">
        <v>997</v>
      </c>
      <c r="H937" s="13"/>
      <c r="I937" s="13"/>
      <c r="J937" s="13">
        <v>434</v>
      </c>
      <c r="K937" s="13">
        <v>1053</v>
      </c>
      <c r="L937" s="13">
        <v>135</v>
      </c>
      <c r="M937" s="13"/>
      <c r="N937" s="13">
        <v>526</v>
      </c>
      <c r="O937" s="13">
        <v>110</v>
      </c>
      <c r="P937" s="13">
        <v>33</v>
      </c>
      <c r="Q937" s="13">
        <v>113</v>
      </c>
      <c r="R937" s="13"/>
      <c r="S937" s="13">
        <v>75</v>
      </c>
      <c r="T937" s="13">
        <v>435</v>
      </c>
      <c r="U937" s="13">
        <v>12</v>
      </c>
      <c r="V937" s="13">
        <v>33</v>
      </c>
      <c r="W937" s="13"/>
      <c r="X937" s="13">
        <v>15</v>
      </c>
      <c r="Y937" s="13">
        <v>2</v>
      </c>
      <c r="Z937" s="13"/>
      <c r="AA937" s="13">
        <v>18</v>
      </c>
      <c r="AB937" s="13"/>
      <c r="AC937" s="14">
        <v>743.24324324324323</v>
      </c>
      <c r="AD937" s="14">
        <v>586.145648312611</v>
      </c>
      <c r="AE937" s="14">
        <v>567.8391959798995</v>
      </c>
      <c r="AF937" s="14"/>
      <c r="AG937" s="15">
        <v>0.89414003387906038</v>
      </c>
      <c r="AH937" s="15">
        <v>0.90225100941260161</v>
      </c>
      <c r="AI937" s="15"/>
      <c r="AJ937" s="41">
        <f t="shared" si="28"/>
        <v>2148</v>
      </c>
      <c r="AK937" s="44"/>
      <c r="AL937" s="10"/>
      <c r="AM937" s="10"/>
    </row>
    <row r="938" spans="1:39" s="16" customFormat="1" ht="19" customHeight="1">
      <c r="A938" s="9" t="s">
        <v>995</v>
      </c>
      <c r="B938" s="10" t="s">
        <v>996</v>
      </c>
      <c r="C938" s="10"/>
      <c r="D938" s="10"/>
      <c r="E938" s="20" t="s">
        <v>141</v>
      </c>
      <c r="F938" s="20" t="s">
        <v>249</v>
      </c>
      <c r="G938" s="12" t="s">
        <v>997</v>
      </c>
      <c r="H938" s="13"/>
      <c r="I938" s="13"/>
      <c r="J938" s="13">
        <v>544</v>
      </c>
      <c r="K938" s="13">
        <v>1235</v>
      </c>
      <c r="L938" s="13">
        <v>172</v>
      </c>
      <c r="M938" s="13"/>
      <c r="N938" s="13">
        <v>667</v>
      </c>
      <c r="O938" s="13">
        <v>134</v>
      </c>
      <c r="P938" s="13">
        <v>42</v>
      </c>
      <c r="Q938" s="13">
        <v>126</v>
      </c>
      <c r="R938" s="13"/>
      <c r="S938" s="13">
        <v>93</v>
      </c>
      <c r="T938" s="13">
        <v>457</v>
      </c>
      <c r="U938" s="13">
        <v>16</v>
      </c>
      <c r="V938" s="13">
        <v>40</v>
      </c>
      <c r="W938" s="13"/>
      <c r="X938" s="13">
        <v>21</v>
      </c>
      <c r="Y938" s="13">
        <v>3</v>
      </c>
      <c r="Z938" s="13"/>
      <c r="AA938" s="13">
        <v>23</v>
      </c>
      <c r="AB938" s="13"/>
      <c r="AC938" s="14">
        <v>905.40540540540542</v>
      </c>
      <c r="AD938" s="14">
        <v>746.00355239786859</v>
      </c>
      <c r="AE938" s="14">
        <v>633.16582914572859</v>
      </c>
      <c r="AF938" s="14"/>
      <c r="AG938" s="15">
        <v>0.96973547359412215</v>
      </c>
      <c r="AH938" s="15">
        <v>0.9852821608956408</v>
      </c>
      <c r="AI938" s="15"/>
      <c r="AJ938" s="41">
        <f t="shared" si="28"/>
        <v>2618</v>
      </c>
      <c r="AK938" s="44"/>
      <c r="AL938" s="10"/>
      <c r="AM938" s="10"/>
    </row>
    <row r="939" spans="1:39" s="16" customFormat="1" ht="19" customHeight="1">
      <c r="A939" s="9" t="s">
        <v>995</v>
      </c>
      <c r="B939" s="10" t="s">
        <v>996</v>
      </c>
      <c r="C939" s="10"/>
      <c r="D939" s="10"/>
      <c r="E939" s="20" t="s">
        <v>141</v>
      </c>
      <c r="F939" s="20" t="s">
        <v>249</v>
      </c>
      <c r="G939" s="12" t="s">
        <v>997</v>
      </c>
      <c r="H939" s="13"/>
      <c r="I939" s="13"/>
      <c r="J939" s="13">
        <v>444</v>
      </c>
      <c r="K939" s="13">
        <v>1220</v>
      </c>
      <c r="L939" s="13">
        <v>170</v>
      </c>
      <c r="M939" s="13"/>
      <c r="N939" s="13">
        <v>664</v>
      </c>
      <c r="O939" s="13">
        <v>130</v>
      </c>
      <c r="P939" s="13">
        <v>38</v>
      </c>
      <c r="Q939" s="13">
        <v>127</v>
      </c>
      <c r="R939" s="13"/>
      <c r="S939" s="13">
        <v>92</v>
      </c>
      <c r="T939" s="13">
        <v>463</v>
      </c>
      <c r="U939" s="13">
        <v>15</v>
      </c>
      <c r="V939" s="13">
        <v>35</v>
      </c>
      <c r="W939" s="13"/>
      <c r="X939" s="13">
        <v>17</v>
      </c>
      <c r="Y939" s="13">
        <v>2</v>
      </c>
      <c r="Z939" s="13"/>
      <c r="AA939" s="13">
        <v>20</v>
      </c>
      <c r="AB939" s="13"/>
      <c r="AC939" s="14">
        <v>878.37837837837844</v>
      </c>
      <c r="AD939" s="14">
        <v>674.95559502664298</v>
      </c>
      <c r="AE939" s="14">
        <v>638.19095477386929</v>
      </c>
      <c r="AF939" s="14"/>
      <c r="AG939" s="15">
        <v>0.89010845765121971</v>
      </c>
      <c r="AH939" s="15">
        <v>0.90148615460493187</v>
      </c>
      <c r="AI939" s="15"/>
      <c r="AJ939" s="41">
        <f t="shared" si="28"/>
        <v>2498</v>
      </c>
      <c r="AK939" s="44"/>
      <c r="AL939" s="10"/>
      <c r="AM939" s="10"/>
    </row>
    <row r="940" spans="1:39" s="16" customFormat="1" ht="19" customHeight="1">
      <c r="A940" s="9" t="s">
        <v>995</v>
      </c>
      <c r="B940" s="10" t="s">
        <v>996</v>
      </c>
      <c r="C940" s="10"/>
      <c r="D940" s="10"/>
      <c r="E940" s="20" t="s">
        <v>141</v>
      </c>
      <c r="F940" s="20" t="s">
        <v>249</v>
      </c>
      <c r="G940" s="12" t="s">
        <v>997</v>
      </c>
      <c r="H940" s="13"/>
      <c r="I940" s="13"/>
      <c r="J940" s="13">
        <v>569</v>
      </c>
      <c r="K940" s="13">
        <v>1366</v>
      </c>
      <c r="L940" s="13">
        <v>173</v>
      </c>
      <c r="M940" s="13"/>
      <c r="N940" s="13">
        <v>597</v>
      </c>
      <c r="O940" s="13">
        <v>127</v>
      </c>
      <c r="P940" s="13">
        <v>38</v>
      </c>
      <c r="Q940" s="13">
        <v>130</v>
      </c>
      <c r="R940" s="13"/>
      <c r="S940" s="13">
        <v>94</v>
      </c>
      <c r="T940" s="13">
        <v>578</v>
      </c>
      <c r="U940" s="13">
        <v>18</v>
      </c>
      <c r="V940" s="13">
        <v>42</v>
      </c>
      <c r="W940" s="13"/>
      <c r="X940" s="13">
        <v>25</v>
      </c>
      <c r="Y940" s="13">
        <v>3</v>
      </c>
      <c r="Z940" s="13"/>
      <c r="AA940" s="13">
        <v>26</v>
      </c>
      <c r="AB940" s="13"/>
      <c r="AC940" s="14">
        <v>858.10810810810813</v>
      </c>
      <c r="AD940" s="14">
        <v>674.95559502664298</v>
      </c>
      <c r="AE940" s="14">
        <v>653.26633165829139</v>
      </c>
      <c r="AF940" s="14"/>
      <c r="AG940" s="15">
        <v>0.89316793677014306</v>
      </c>
      <c r="AH940" s="15">
        <v>0.90148615460493198</v>
      </c>
      <c r="AI940" s="15"/>
      <c r="AJ940" s="41">
        <f t="shared" si="28"/>
        <v>2705</v>
      </c>
      <c r="AK940" s="44"/>
      <c r="AL940" s="10"/>
      <c r="AM940" s="10"/>
    </row>
    <row r="941" spans="1:39" s="16" customFormat="1" ht="19" customHeight="1">
      <c r="A941" s="9" t="s">
        <v>995</v>
      </c>
      <c r="B941" s="10" t="s">
        <v>996</v>
      </c>
      <c r="C941" s="10"/>
      <c r="D941" s="10"/>
      <c r="E941" s="20" t="s">
        <v>141</v>
      </c>
      <c r="F941" s="20" t="s">
        <v>249</v>
      </c>
      <c r="G941" s="12" t="s">
        <v>997</v>
      </c>
      <c r="H941" s="13"/>
      <c r="I941" s="13"/>
      <c r="J941" s="13">
        <v>580</v>
      </c>
      <c r="K941" s="13">
        <v>1644</v>
      </c>
      <c r="L941" s="13">
        <v>239</v>
      </c>
      <c r="M941" s="13"/>
      <c r="N941" s="13">
        <v>941</v>
      </c>
      <c r="O941" s="13">
        <v>227</v>
      </c>
      <c r="P941" s="13">
        <v>56</v>
      </c>
      <c r="Q941" s="13">
        <v>214</v>
      </c>
      <c r="R941" s="13"/>
      <c r="S941" s="13">
        <v>157</v>
      </c>
      <c r="T941" s="13">
        <v>806</v>
      </c>
      <c r="U941" s="13">
        <v>27</v>
      </c>
      <c r="V941" s="13">
        <v>62</v>
      </c>
      <c r="W941" s="13"/>
      <c r="X941" s="13">
        <v>36</v>
      </c>
      <c r="Y941" s="13">
        <v>5</v>
      </c>
      <c r="Z941" s="13"/>
      <c r="AA941" s="13">
        <v>83</v>
      </c>
      <c r="AB941" s="13"/>
      <c r="AC941" s="14">
        <v>1533.7837837837837</v>
      </c>
      <c r="AD941" s="14">
        <v>994.67140319715816</v>
      </c>
      <c r="AE941" s="14">
        <v>1075.3768844221106</v>
      </c>
      <c r="AF941" s="14"/>
      <c r="AG941" s="15">
        <v>0.76244549852203003</v>
      </c>
      <c r="AH941" s="15">
        <v>0.77449249335575576</v>
      </c>
      <c r="AI941" s="15"/>
      <c r="AJ941" s="41">
        <f t="shared" si="28"/>
        <v>3404</v>
      </c>
      <c r="AK941" s="44"/>
      <c r="AL941" s="10"/>
      <c r="AM941" s="10"/>
    </row>
    <row r="942" spans="1:39" s="16" customFormat="1" ht="19" customHeight="1">
      <c r="A942" s="9" t="s">
        <v>995</v>
      </c>
      <c r="B942" s="10" t="s">
        <v>996</v>
      </c>
      <c r="C942" s="10"/>
      <c r="D942" s="10"/>
      <c r="E942" s="20" t="s">
        <v>141</v>
      </c>
      <c r="F942" s="20" t="s">
        <v>249</v>
      </c>
      <c r="G942" s="12" t="s">
        <v>997</v>
      </c>
      <c r="H942" s="13"/>
      <c r="I942" s="13"/>
      <c r="J942" s="13">
        <v>400</v>
      </c>
      <c r="K942" s="13">
        <v>1155</v>
      </c>
      <c r="L942" s="13">
        <v>176</v>
      </c>
      <c r="M942" s="13"/>
      <c r="N942" s="13">
        <v>766</v>
      </c>
      <c r="O942" s="13">
        <v>184</v>
      </c>
      <c r="P942" s="13">
        <v>48</v>
      </c>
      <c r="Q942" s="13">
        <v>185</v>
      </c>
      <c r="R942" s="13"/>
      <c r="S942" s="13">
        <v>109</v>
      </c>
      <c r="T942" s="13">
        <v>460</v>
      </c>
      <c r="U942" s="13">
        <v>16</v>
      </c>
      <c r="V942" s="13">
        <v>34</v>
      </c>
      <c r="W942" s="13"/>
      <c r="X942" s="13">
        <v>14</v>
      </c>
      <c r="Y942" s="13">
        <v>2</v>
      </c>
      <c r="Z942" s="13"/>
      <c r="AA942" s="13">
        <v>59</v>
      </c>
      <c r="AB942" s="13"/>
      <c r="AC942" s="14">
        <v>1243.2432432432433</v>
      </c>
      <c r="AD942" s="14">
        <v>852.57548845470694</v>
      </c>
      <c r="AE942" s="14">
        <v>929.64824120603009</v>
      </c>
      <c r="AF942" s="14"/>
      <c r="AG942" s="15">
        <v>0.78473821132470867</v>
      </c>
      <c r="AH942" s="15">
        <v>0.79304067481419294</v>
      </c>
      <c r="AI942" s="15"/>
      <c r="AJ942" s="41">
        <f t="shared" si="28"/>
        <v>2497</v>
      </c>
      <c r="AK942" s="44"/>
      <c r="AL942" s="10"/>
      <c r="AM942" s="10"/>
    </row>
    <row r="943" spans="1:39" s="16" customFormat="1" ht="19" customHeight="1">
      <c r="A943" s="9" t="s">
        <v>995</v>
      </c>
      <c r="B943" s="10" t="s">
        <v>996</v>
      </c>
      <c r="C943" s="10"/>
      <c r="D943" s="10"/>
      <c r="E943" s="20" t="s">
        <v>141</v>
      </c>
      <c r="F943" s="20" t="s">
        <v>249</v>
      </c>
      <c r="G943" s="12" t="s">
        <v>997</v>
      </c>
      <c r="H943" s="13"/>
      <c r="I943" s="13"/>
      <c r="J943" s="13">
        <v>425</v>
      </c>
      <c r="K943" s="13">
        <v>1246</v>
      </c>
      <c r="L943" s="13">
        <v>180</v>
      </c>
      <c r="M943" s="13"/>
      <c r="N943" s="13">
        <v>758</v>
      </c>
      <c r="O943" s="13">
        <v>189</v>
      </c>
      <c r="P943" s="13">
        <v>46</v>
      </c>
      <c r="Q943" s="13">
        <v>187</v>
      </c>
      <c r="R943" s="13"/>
      <c r="S943" s="13">
        <v>106</v>
      </c>
      <c r="T943" s="13">
        <v>522</v>
      </c>
      <c r="U943" s="13">
        <v>18</v>
      </c>
      <c r="V943" s="13">
        <v>34</v>
      </c>
      <c r="W943" s="13"/>
      <c r="X943" s="13">
        <v>15</v>
      </c>
      <c r="Y943" s="13">
        <v>2</v>
      </c>
      <c r="Z943" s="13"/>
      <c r="AA943" s="13">
        <v>67</v>
      </c>
      <c r="AB943" s="13"/>
      <c r="AC943" s="14">
        <v>1277.0270270270271</v>
      </c>
      <c r="AD943" s="14">
        <v>817.0515097690942</v>
      </c>
      <c r="AE943" s="14">
        <v>939.69849246231149</v>
      </c>
      <c r="AF943" s="14"/>
      <c r="AG943" s="15">
        <v>0.73716976015805169</v>
      </c>
      <c r="AH943" s="15">
        <v>0.74585623981677573</v>
      </c>
      <c r="AI943" s="15"/>
      <c r="AJ943" s="41">
        <f t="shared" si="28"/>
        <v>2609</v>
      </c>
      <c r="AK943" s="44"/>
      <c r="AL943" s="10"/>
      <c r="AM943" s="10"/>
    </row>
    <row r="944" spans="1:39" s="16" customFormat="1" ht="19" customHeight="1">
      <c r="A944" s="9" t="s">
        <v>998</v>
      </c>
      <c r="B944" s="10" t="s">
        <v>996</v>
      </c>
      <c r="C944" s="10"/>
      <c r="D944" s="10"/>
      <c r="E944" s="20" t="s">
        <v>141</v>
      </c>
      <c r="F944" s="20" t="s">
        <v>249</v>
      </c>
      <c r="G944" s="12" t="s">
        <v>997</v>
      </c>
      <c r="H944" s="13"/>
      <c r="I944" s="13"/>
      <c r="J944" s="13">
        <v>724</v>
      </c>
      <c r="K944" s="13">
        <v>1311</v>
      </c>
      <c r="L944" s="13">
        <v>152</v>
      </c>
      <c r="M944" s="13"/>
      <c r="N944" s="13">
        <v>693</v>
      </c>
      <c r="O944" s="13">
        <v>149</v>
      </c>
      <c r="P944" s="13">
        <v>47</v>
      </c>
      <c r="Q944" s="13">
        <v>199</v>
      </c>
      <c r="R944" s="13"/>
      <c r="S944" s="13">
        <v>148</v>
      </c>
      <c r="T944" s="13">
        <v>1021</v>
      </c>
      <c r="U944" s="13">
        <v>26</v>
      </c>
      <c r="V944" s="13">
        <v>64</v>
      </c>
      <c r="W944" s="13"/>
      <c r="X944" s="13">
        <v>36</v>
      </c>
      <c r="Y944" s="13">
        <v>5</v>
      </c>
      <c r="Z944" s="13"/>
      <c r="AA944" s="13"/>
      <c r="AB944" s="13"/>
      <c r="AC944" s="14">
        <v>1006.7567567567568</v>
      </c>
      <c r="AD944" s="14">
        <v>834.81349911190057</v>
      </c>
      <c r="AE944" s="14">
        <v>1000</v>
      </c>
      <c r="AF944" s="14"/>
      <c r="AG944" s="15">
        <v>0.83200267924957094</v>
      </c>
      <c r="AH944" s="15">
        <v>0.83200739537691315</v>
      </c>
      <c r="AI944" s="15"/>
      <c r="AJ944" s="41">
        <f t="shared" si="28"/>
        <v>2880</v>
      </c>
      <c r="AK944" s="44"/>
      <c r="AL944" s="10"/>
      <c r="AM944" s="10"/>
    </row>
    <row r="945" spans="1:39" s="16" customFormat="1" ht="19" customHeight="1">
      <c r="A945" s="9" t="s">
        <v>998</v>
      </c>
      <c r="B945" s="10" t="s">
        <v>996</v>
      </c>
      <c r="C945" s="10"/>
      <c r="D945" s="10"/>
      <c r="E945" s="20" t="s">
        <v>141</v>
      </c>
      <c r="F945" s="20" t="s">
        <v>249</v>
      </c>
      <c r="G945" s="12" t="s">
        <v>997</v>
      </c>
      <c r="H945" s="13"/>
      <c r="I945" s="13"/>
      <c r="J945" s="13">
        <v>745</v>
      </c>
      <c r="K945" s="13">
        <v>1293</v>
      </c>
      <c r="L945" s="13">
        <v>156</v>
      </c>
      <c r="M945" s="13"/>
      <c r="N945" s="13">
        <v>734</v>
      </c>
      <c r="O945" s="13">
        <v>167</v>
      </c>
      <c r="P945" s="13">
        <v>55</v>
      </c>
      <c r="Q945" s="13">
        <v>214</v>
      </c>
      <c r="R945" s="13"/>
      <c r="S945" s="13">
        <v>155</v>
      </c>
      <c r="T945" s="13">
        <v>1058</v>
      </c>
      <c r="U945" s="13">
        <v>29</v>
      </c>
      <c r="V945" s="13">
        <v>68</v>
      </c>
      <c r="W945" s="13"/>
      <c r="X945" s="13">
        <v>36</v>
      </c>
      <c r="Y945" s="13">
        <v>5</v>
      </c>
      <c r="Z945" s="13"/>
      <c r="AA945" s="13"/>
      <c r="AB945" s="13"/>
      <c r="AC945" s="14">
        <v>1128.3783783783783</v>
      </c>
      <c r="AD945" s="14">
        <v>976.90941385435178</v>
      </c>
      <c r="AE945" s="14">
        <v>1075.3768844221106</v>
      </c>
      <c r="AF945" s="14"/>
      <c r="AG945" s="15">
        <v>0.88658611992414671</v>
      </c>
      <c r="AH945" s="15">
        <v>0.8868426444454931</v>
      </c>
      <c r="AI945" s="15"/>
      <c r="AJ945" s="41">
        <f t="shared" si="28"/>
        <v>2928</v>
      </c>
      <c r="AK945" s="44"/>
      <c r="AL945" s="10"/>
      <c r="AM945" s="10"/>
    </row>
    <row r="946" spans="1:39" s="16" customFormat="1" ht="19" customHeight="1">
      <c r="A946" s="9" t="s">
        <v>998</v>
      </c>
      <c r="B946" s="10" t="s">
        <v>996</v>
      </c>
      <c r="C946" s="10"/>
      <c r="D946" s="10"/>
      <c r="E946" s="20" t="s">
        <v>141</v>
      </c>
      <c r="F946" s="20" t="s">
        <v>249</v>
      </c>
      <c r="G946" s="12" t="s">
        <v>997</v>
      </c>
      <c r="H946" s="13"/>
      <c r="I946" s="13"/>
      <c r="J946" s="13">
        <v>735</v>
      </c>
      <c r="K946" s="13">
        <v>1344</v>
      </c>
      <c r="L946" s="13">
        <v>167</v>
      </c>
      <c r="M946" s="13"/>
      <c r="N946" s="13">
        <v>781</v>
      </c>
      <c r="O946" s="13">
        <v>162</v>
      </c>
      <c r="P946" s="13">
        <v>50</v>
      </c>
      <c r="Q946" s="13">
        <v>203</v>
      </c>
      <c r="R946" s="13"/>
      <c r="S946" s="13">
        <v>155</v>
      </c>
      <c r="T946" s="13">
        <v>1008</v>
      </c>
      <c r="U946" s="13">
        <v>29</v>
      </c>
      <c r="V946" s="13">
        <v>64</v>
      </c>
      <c r="W946" s="13"/>
      <c r="X946" s="13">
        <v>36</v>
      </c>
      <c r="Y946" s="13">
        <v>5</v>
      </c>
      <c r="Z946" s="13"/>
      <c r="AA946" s="13"/>
      <c r="AB946" s="13"/>
      <c r="AC946" s="14">
        <v>1094.5945945945946</v>
      </c>
      <c r="AD946" s="14">
        <v>888.0994671403198</v>
      </c>
      <c r="AE946" s="14">
        <v>1020.1005025125628</v>
      </c>
      <c r="AF946" s="14"/>
      <c r="AG946" s="15">
        <v>0.83993145712137374</v>
      </c>
      <c r="AH946" s="15">
        <v>0.84045309176275929</v>
      </c>
      <c r="AI946" s="15"/>
      <c r="AJ946" s="41">
        <f t="shared" si="28"/>
        <v>3027</v>
      </c>
      <c r="AK946" s="44"/>
      <c r="AL946" s="10"/>
      <c r="AM946" s="10"/>
    </row>
    <row r="947" spans="1:39" s="16" customFormat="1" ht="19" customHeight="1">
      <c r="A947" s="9" t="s">
        <v>998</v>
      </c>
      <c r="B947" s="10" t="s">
        <v>996</v>
      </c>
      <c r="C947" s="10"/>
      <c r="D947" s="10"/>
      <c r="E947" s="20" t="s">
        <v>141</v>
      </c>
      <c r="F947" s="20" t="s">
        <v>249</v>
      </c>
      <c r="G947" s="12" t="s">
        <v>997</v>
      </c>
      <c r="H947" s="13"/>
      <c r="I947" s="13"/>
      <c r="J947" s="13">
        <v>684</v>
      </c>
      <c r="K947" s="13">
        <v>1222</v>
      </c>
      <c r="L947" s="13">
        <v>144</v>
      </c>
      <c r="M947" s="13"/>
      <c r="N947" s="13">
        <v>644</v>
      </c>
      <c r="O947" s="13">
        <v>141</v>
      </c>
      <c r="P947" s="13">
        <v>42</v>
      </c>
      <c r="Q947" s="13">
        <v>182</v>
      </c>
      <c r="R947" s="13"/>
      <c r="S947" s="13">
        <v>141</v>
      </c>
      <c r="T947" s="13">
        <v>946</v>
      </c>
      <c r="U947" s="13">
        <v>25</v>
      </c>
      <c r="V947" s="13">
        <v>56</v>
      </c>
      <c r="W947" s="13"/>
      <c r="X947" s="13">
        <v>32</v>
      </c>
      <c r="Y947" s="13">
        <v>4</v>
      </c>
      <c r="Z947" s="13"/>
      <c r="AA947" s="13"/>
      <c r="AB947" s="13"/>
      <c r="AC947" s="14">
        <v>952.70270270270271</v>
      </c>
      <c r="AD947" s="14">
        <v>746.00355239786859</v>
      </c>
      <c r="AE947" s="14">
        <v>914.57286432160799</v>
      </c>
      <c r="AF947" s="14"/>
      <c r="AG947" s="15">
        <v>0.79902887990624694</v>
      </c>
      <c r="AH947" s="15">
        <v>0.79919552073818168</v>
      </c>
      <c r="AI947" s="15"/>
      <c r="AJ947" s="41">
        <f t="shared" si="28"/>
        <v>2694</v>
      </c>
      <c r="AK947" s="44"/>
      <c r="AL947" s="10"/>
      <c r="AM947" s="10"/>
    </row>
    <row r="948" spans="1:39" s="16" customFormat="1" ht="19" customHeight="1">
      <c r="A948" s="9" t="s">
        <v>998</v>
      </c>
      <c r="B948" s="10" t="s">
        <v>996</v>
      </c>
      <c r="C948" s="10"/>
      <c r="D948" s="10"/>
      <c r="E948" s="20" t="s">
        <v>141</v>
      </c>
      <c r="F948" s="20" t="s">
        <v>249</v>
      </c>
      <c r="G948" s="12" t="s">
        <v>997</v>
      </c>
      <c r="H948" s="13"/>
      <c r="I948" s="13"/>
      <c r="J948" s="13">
        <v>745</v>
      </c>
      <c r="K948" s="13">
        <v>1289</v>
      </c>
      <c r="L948" s="13">
        <v>158</v>
      </c>
      <c r="M948" s="13"/>
      <c r="N948" s="13">
        <v>715</v>
      </c>
      <c r="O948" s="13">
        <v>157</v>
      </c>
      <c r="P948" s="13">
        <v>52</v>
      </c>
      <c r="Q948" s="13">
        <v>207</v>
      </c>
      <c r="R948" s="13"/>
      <c r="S948" s="13">
        <v>156</v>
      </c>
      <c r="T948" s="13">
        <v>1027</v>
      </c>
      <c r="U948" s="13">
        <v>27</v>
      </c>
      <c r="V948" s="13">
        <v>64</v>
      </c>
      <c r="W948" s="13"/>
      <c r="X948" s="13">
        <v>35</v>
      </c>
      <c r="Y948" s="13">
        <v>5</v>
      </c>
      <c r="Z948" s="13"/>
      <c r="AA948" s="13"/>
      <c r="AB948" s="13"/>
      <c r="AC948" s="14">
        <v>1060.8108108108108</v>
      </c>
      <c r="AD948" s="14">
        <v>923.62344582593255</v>
      </c>
      <c r="AE948" s="14">
        <v>1040.2010050251256</v>
      </c>
      <c r="AF948" s="14"/>
      <c r="AG948" s="15">
        <v>0.87921775485917242</v>
      </c>
      <c r="AH948" s="15">
        <v>0.87926005955793263</v>
      </c>
      <c r="AI948" s="15"/>
      <c r="AJ948" s="41">
        <f t="shared" si="28"/>
        <v>2907</v>
      </c>
      <c r="AK948" s="44"/>
      <c r="AL948" s="10"/>
      <c r="AM948" s="10"/>
    </row>
    <row r="949" spans="1:39" s="16" customFormat="1" ht="19" customHeight="1">
      <c r="A949" s="9" t="s">
        <v>999</v>
      </c>
      <c r="B949" s="10" t="s">
        <v>1000</v>
      </c>
      <c r="C949" s="10"/>
      <c r="D949" s="10"/>
      <c r="E949" s="20" t="s">
        <v>141</v>
      </c>
      <c r="F949" s="20" t="s">
        <v>249</v>
      </c>
      <c r="G949" s="12" t="s">
        <v>997</v>
      </c>
      <c r="H949" s="13"/>
      <c r="I949" s="13"/>
      <c r="J949" s="13">
        <v>253</v>
      </c>
      <c r="K949" s="13">
        <v>715</v>
      </c>
      <c r="L949" s="13">
        <v>75</v>
      </c>
      <c r="M949" s="13"/>
      <c r="N949" s="13">
        <v>286</v>
      </c>
      <c r="O949" s="13">
        <v>63</v>
      </c>
      <c r="P949" s="13">
        <v>21</v>
      </c>
      <c r="Q949" s="13">
        <v>60</v>
      </c>
      <c r="R949" s="13"/>
      <c r="S949" s="13">
        <v>51</v>
      </c>
      <c r="T949" s="13">
        <v>341</v>
      </c>
      <c r="U949" s="13">
        <v>10</v>
      </c>
      <c r="V949" s="13">
        <v>25</v>
      </c>
      <c r="W949" s="13"/>
      <c r="X949" s="13">
        <v>15</v>
      </c>
      <c r="Y949" s="13">
        <v>2</v>
      </c>
      <c r="Z949" s="13"/>
      <c r="AA949" s="13">
        <v>264</v>
      </c>
      <c r="AB949" s="13"/>
      <c r="AC949" s="14">
        <v>425.67567567567568</v>
      </c>
      <c r="AD949" s="14">
        <v>373.00177619893429</v>
      </c>
      <c r="AE949" s="14">
        <v>301.5075376884422</v>
      </c>
      <c r="AF949" s="14"/>
      <c r="AG949" s="15">
        <v>1.0258811516655941</v>
      </c>
      <c r="AH949" s="15">
        <v>1.0411717977900772</v>
      </c>
      <c r="AI949" s="15"/>
      <c r="AJ949" s="41">
        <f t="shared" si="28"/>
        <v>1329</v>
      </c>
      <c r="AK949" s="44"/>
      <c r="AL949" s="10"/>
      <c r="AM949" s="10"/>
    </row>
    <row r="950" spans="1:39" s="16" customFormat="1" ht="19" customHeight="1">
      <c r="A950" s="9" t="s">
        <v>999</v>
      </c>
      <c r="B950" s="10" t="s">
        <v>1000</v>
      </c>
      <c r="C950" s="10"/>
      <c r="D950" s="10"/>
      <c r="E950" s="20" t="s">
        <v>141</v>
      </c>
      <c r="F950" s="20" t="s">
        <v>249</v>
      </c>
      <c r="G950" s="12" t="s">
        <v>997</v>
      </c>
      <c r="H950" s="13"/>
      <c r="I950" s="13"/>
      <c r="J950" s="13">
        <v>226</v>
      </c>
      <c r="K950" s="13">
        <v>539</v>
      </c>
      <c r="L950" s="13">
        <v>50</v>
      </c>
      <c r="M950" s="13"/>
      <c r="N950" s="13">
        <v>188</v>
      </c>
      <c r="O950" s="13">
        <v>43</v>
      </c>
      <c r="P950" s="13">
        <v>17</v>
      </c>
      <c r="Q950" s="13">
        <v>44</v>
      </c>
      <c r="R950" s="13"/>
      <c r="S950" s="13">
        <v>38</v>
      </c>
      <c r="T950" s="13">
        <v>308</v>
      </c>
      <c r="U950" s="13">
        <v>8</v>
      </c>
      <c r="V950" s="13">
        <v>20</v>
      </c>
      <c r="W950" s="13"/>
      <c r="X950" s="13">
        <v>13</v>
      </c>
      <c r="Y950" s="13">
        <v>2</v>
      </c>
      <c r="Z950" s="13"/>
      <c r="AA950" s="13">
        <v>89</v>
      </c>
      <c r="AB950" s="13"/>
      <c r="AC950" s="14">
        <v>290.54054054054058</v>
      </c>
      <c r="AD950" s="14">
        <v>301.95381882770874</v>
      </c>
      <c r="AE950" s="14">
        <v>221.10552763819095</v>
      </c>
      <c r="AF950" s="14"/>
      <c r="AG950" s="15">
        <v>1.1803230303422494</v>
      </c>
      <c r="AH950" s="15">
        <v>1.1913444786421794</v>
      </c>
      <c r="AI950" s="15"/>
      <c r="AJ950" s="41">
        <f t="shared" si="28"/>
        <v>1003</v>
      </c>
      <c r="AK950" s="44"/>
      <c r="AL950" s="10"/>
      <c r="AM950" s="10"/>
    </row>
    <row r="951" spans="1:39" s="16" customFormat="1" ht="19" customHeight="1">
      <c r="A951" s="9" t="s">
        <v>999</v>
      </c>
      <c r="B951" s="10" t="s">
        <v>1000</v>
      </c>
      <c r="C951" s="10"/>
      <c r="D951" s="10"/>
      <c r="E951" s="20" t="s">
        <v>141</v>
      </c>
      <c r="F951" s="20" t="s">
        <v>249</v>
      </c>
      <c r="G951" s="12" t="s">
        <v>997</v>
      </c>
      <c r="H951" s="13"/>
      <c r="I951" s="13"/>
      <c r="J951" s="13">
        <v>225</v>
      </c>
      <c r="K951" s="13">
        <v>483</v>
      </c>
      <c r="L951" s="13">
        <v>60</v>
      </c>
      <c r="M951" s="13"/>
      <c r="N951" s="13">
        <v>230</v>
      </c>
      <c r="O951" s="13">
        <v>56</v>
      </c>
      <c r="P951" s="13">
        <v>23</v>
      </c>
      <c r="Q951" s="13">
        <v>63</v>
      </c>
      <c r="R951" s="13"/>
      <c r="S951" s="13">
        <v>52</v>
      </c>
      <c r="T951" s="13">
        <v>404</v>
      </c>
      <c r="U951" s="13">
        <v>10</v>
      </c>
      <c r="V951" s="13">
        <v>27</v>
      </c>
      <c r="W951" s="13"/>
      <c r="X951" s="13">
        <v>16</v>
      </c>
      <c r="Y951" s="13">
        <v>2</v>
      </c>
      <c r="Z951" s="13"/>
      <c r="AA951" s="13">
        <v>101</v>
      </c>
      <c r="AB951" s="13"/>
      <c r="AC951" s="14">
        <v>378.37837837837839</v>
      </c>
      <c r="AD951" s="14">
        <v>408.5257548845471</v>
      </c>
      <c r="AE951" s="14">
        <v>316.5829145728643</v>
      </c>
      <c r="AF951" s="14"/>
      <c r="AG951" s="15">
        <v>1.17567916092043</v>
      </c>
      <c r="AH951" s="15">
        <v>1.1803547412364548</v>
      </c>
      <c r="AI951" s="15"/>
      <c r="AJ951" s="41">
        <f t="shared" si="28"/>
        <v>998</v>
      </c>
      <c r="AK951" s="44"/>
      <c r="AL951" s="10"/>
      <c r="AM951" s="10"/>
    </row>
    <row r="952" spans="1:39" s="16" customFormat="1" ht="19" customHeight="1">
      <c r="A952" s="9" t="s">
        <v>999</v>
      </c>
      <c r="B952" s="10" t="s">
        <v>1000</v>
      </c>
      <c r="C952" s="10"/>
      <c r="D952" s="10"/>
      <c r="E952" s="20" t="s">
        <v>141</v>
      </c>
      <c r="F952" s="20" t="s">
        <v>249</v>
      </c>
      <c r="G952" s="12" t="s">
        <v>997</v>
      </c>
      <c r="H952" s="13"/>
      <c r="I952" s="13"/>
      <c r="J952" s="13">
        <v>314</v>
      </c>
      <c r="K952" s="13">
        <v>679</v>
      </c>
      <c r="L952" s="13">
        <v>85</v>
      </c>
      <c r="M952" s="13"/>
      <c r="N952" s="13">
        <v>285</v>
      </c>
      <c r="O952" s="13">
        <v>60</v>
      </c>
      <c r="P952" s="13">
        <v>22</v>
      </c>
      <c r="Q952" s="13">
        <v>54</v>
      </c>
      <c r="R952" s="13"/>
      <c r="S952" s="13">
        <v>51</v>
      </c>
      <c r="T952" s="13">
        <v>387</v>
      </c>
      <c r="U952" s="13">
        <v>9</v>
      </c>
      <c r="V952" s="13">
        <v>26</v>
      </c>
      <c r="W952" s="13"/>
      <c r="X952" s="13">
        <v>17</v>
      </c>
      <c r="Y952" s="13">
        <v>2</v>
      </c>
      <c r="Z952" s="13"/>
      <c r="AA952" s="13">
        <v>50</v>
      </c>
      <c r="AB952" s="13"/>
      <c r="AC952" s="14">
        <v>405.40540540540542</v>
      </c>
      <c r="AD952" s="14">
        <v>390.76376554174072</v>
      </c>
      <c r="AE952" s="14">
        <v>271.356783919598</v>
      </c>
      <c r="AF952" s="14"/>
      <c r="AG952" s="15">
        <v>1.1548037751089051</v>
      </c>
      <c r="AH952" s="15">
        <v>1.1781461727571265</v>
      </c>
      <c r="AI952" s="15"/>
      <c r="AJ952" s="41">
        <f t="shared" si="28"/>
        <v>1363</v>
      </c>
      <c r="AK952" s="44"/>
      <c r="AL952" s="10"/>
      <c r="AM952" s="10"/>
    </row>
    <row r="953" spans="1:39" s="16" customFormat="1" ht="19" customHeight="1">
      <c r="A953" s="9" t="s">
        <v>998</v>
      </c>
      <c r="B953" s="10" t="s">
        <v>1000</v>
      </c>
      <c r="C953" s="10"/>
      <c r="D953" s="10"/>
      <c r="E953" s="20" t="s">
        <v>141</v>
      </c>
      <c r="F953" s="20" t="s">
        <v>249</v>
      </c>
      <c r="G953" s="12" t="s">
        <v>997</v>
      </c>
      <c r="H953" s="13"/>
      <c r="I953" s="13"/>
      <c r="J953" s="13">
        <v>373</v>
      </c>
      <c r="K953" s="13">
        <v>746</v>
      </c>
      <c r="L953" s="13">
        <v>84</v>
      </c>
      <c r="M953" s="13"/>
      <c r="N953" s="13">
        <v>423</v>
      </c>
      <c r="O953" s="13">
        <v>92</v>
      </c>
      <c r="P953" s="13">
        <v>36</v>
      </c>
      <c r="Q953" s="13">
        <v>107</v>
      </c>
      <c r="R953" s="13"/>
      <c r="S953" s="13">
        <v>93</v>
      </c>
      <c r="T953" s="13">
        <v>580</v>
      </c>
      <c r="U953" s="13">
        <v>17</v>
      </c>
      <c r="V953" s="13">
        <v>46</v>
      </c>
      <c r="W953" s="13"/>
      <c r="X953" s="13">
        <v>27</v>
      </c>
      <c r="Y953" s="13">
        <v>5</v>
      </c>
      <c r="Z953" s="13"/>
      <c r="AA953" s="13"/>
      <c r="AB953" s="13"/>
      <c r="AC953" s="14">
        <v>621.62162162162167</v>
      </c>
      <c r="AD953" s="14">
        <v>639.43161634103024</v>
      </c>
      <c r="AE953" s="14">
        <v>537.6884422110553</v>
      </c>
      <c r="AF953" s="14"/>
      <c r="AG953" s="15">
        <v>1.1031244121647155</v>
      </c>
      <c r="AH953" s="15">
        <v>1.1060269244589822</v>
      </c>
      <c r="AI953" s="15"/>
      <c r="AJ953" s="41">
        <f t="shared" si="28"/>
        <v>1626</v>
      </c>
      <c r="AK953" s="44"/>
      <c r="AL953" s="10"/>
      <c r="AM953" s="10"/>
    </row>
    <row r="954" spans="1:39" s="16" customFormat="1" ht="19" customHeight="1">
      <c r="A954" s="9" t="s">
        <v>998</v>
      </c>
      <c r="B954" s="10" t="s">
        <v>1000</v>
      </c>
      <c r="C954" s="10"/>
      <c r="D954" s="10"/>
      <c r="E954" s="20" t="s">
        <v>141</v>
      </c>
      <c r="F954" s="20" t="s">
        <v>249</v>
      </c>
      <c r="G954" s="12" t="s">
        <v>997</v>
      </c>
      <c r="H954" s="13"/>
      <c r="I954" s="13"/>
      <c r="J954" s="13">
        <v>332</v>
      </c>
      <c r="K954" s="13">
        <v>722</v>
      </c>
      <c r="L954" s="13">
        <v>85</v>
      </c>
      <c r="M954" s="13"/>
      <c r="N954" s="13">
        <v>344</v>
      </c>
      <c r="O954" s="13">
        <v>88</v>
      </c>
      <c r="P954" s="13">
        <v>37</v>
      </c>
      <c r="Q954" s="13">
        <v>111</v>
      </c>
      <c r="R954" s="13"/>
      <c r="S954" s="13">
        <v>88</v>
      </c>
      <c r="T954" s="13">
        <v>521</v>
      </c>
      <c r="U954" s="13">
        <v>17</v>
      </c>
      <c r="V954" s="13">
        <v>44</v>
      </c>
      <c r="W954" s="13"/>
      <c r="X954" s="13">
        <v>28</v>
      </c>
      <c r="Y954" s="13">
        <v>5</v>
      </c>
      <c r="Z954" s="13"/>
      <c r="AA954" s="13"/>
      <c r="AB954" s="13"/>
      <c r="AC954" s="14">
        <v>594.59459459459458</v>
      </c>
      <c r="AD954" s="14">
        <v>657.19360568383661</v>
      </c>
      <c r="AE954" s="14">
        <v>557.7889447236181</v>
      </c>
      <c r="AF954" s="14"/>
      <c r="AG954" s="15">
        <v>1.1405813832999621</v>
      </c>
      <c r="AH954" s="15">
        <v>1.141163571754676</v>
      </c>
      <c r="AI954" s="15"/>
      <c r="AJ954" s="41">
        <f t="shared" si="28"/>
        <v>1483</v>
      </c>
      <c r="AK954" s="44"/>
      <c r="AL954" s="10"/>
      <c r="AM954" s="10"/>
    </row>
    <row r="955" spans="1:39" s="16" customFormat="1" ht="19" customHeight="1">
      <c r="A955" s="9" t="s">
        <v>998</v>
      </c>
      <c r="B955" s="10" t="s">
        <v>1000</v>
      </c>
      <c r="C955" s="10"/>
      <c r="D955" s="10"/>
      <c r="E955" s="20" t="s">
        <v>141</v>
      </c>
      <c r="F955" s="20" t="s">
        <v>249</v>
      </c>
      <c r="G955" s="12" t="s">
        <v>997</v>
      </c>
      <c r="H955" s="13"/>
      <c r="I955" s="13"/>
      <c r="J955" s="13">
        <v>734</v>
      </c>
      <c r="K955" s="13">
        <v>1305</v>
      </c>
      <c r="L955" s="13">
        <v>149</v>
      </c>
      <c r="M955" s="13"/>
      <c r="N955" s="13">
        <v>676</v>
      </c>
      <c r="O955" s="13">
        <v>149</v>
      </c>
      <c r="P955" s="13">
        <v>45</v>
      </c>
      <c r="Q955" s="13">
        <v>176</v>
      </c>
      <c r="R955" s="13"/>
      <c r="S955" s="13">
        <v>138</v>
      </c>
      <c r="T955" s="13">
        <v>857</v>
      </c>
      <c r="U955" s="13">
        <v>24</v>
      </c>
      <c r="V955" s="13">
        <v>55</v>
      </c>
      <c r="W955" s="13"/>
      <c r="X955" s="13">
        <v>29</v>
      </c>
      <c r="Y955" s="13">
        <v>4</v>
      </c>
      <c r="Z955" s="13"/>
      <c r="AA955" s="13"/>
      <c r="AB955" s="13"/>
      <c r="AC955" s="14">
        <v>1006.7567567567568</v>
      </c>
      <c r="AD955" s="14">
        <v>799.28952042628782</v>
      </c>
      <c r="AE955" s="14">
        <v>884.4221105527638</v>
      </c>
      <c r="AF955" s="14"/>
      <c r="AG955" s="15">
        <v>0.84528178084328365</v>
      </c>
      <c r="AH955" s="15">
        <v>0.84705585107937176</v>
      </c>
      <c r="AI955" s="15"/>
      <c r="AJ955" s="41">
        <f t="shared" si="28"/>
        <v>2864</v>
      </c>
      <c r="AK955" s="44"/>
      <c r="AL955" s="10"/>
      <c r="AM955" s="10"/>
    </row>
    <row r="956" spans="1:39" s="16" customFormat="1" ht="19" customHeight="1">
      <c r="A956" s="9" t="s">
        <v>998</v>
      </c>
      <c r="B956" s="10" t="s">
        <v>1000</v>
      </c>
      <c r="C956" s="10"/>
      <c r="D956" s="10"/>
      <c r="E956" s="20" t="s">
        <v>141</v>
      </c>
      <c r="F956" s="20" t="s">
        <v>249</v>
      </c>
      <c r="G956" s="12" t="s">
        <v>997</v>
      </c>
      <c r="H956" s="13"/>
      <c r="I956" s="13"/>
      <c r="J956" s="13">
        <v>666</v>
      </c>
      <c r="K956" s="13">
        <v>1210</v>
      </c>
      <c r="L956" s="13">
        <v>137</v>
      </c>
      <c r="M956" s="13"/>
      <c r="N956" s="13">
        <v>624</v>
      </c>
      <c r="O956" s="13">
        <v>134</v>
      </c>
      <c r="P956" s="13">
        <v>43</v>
      </c>
      <c r="Q956" s="13">
        <v>168</v>
      </c>
      <c r="R956" s="13"/>
      <c r="S956" s="13">
        <v>133</v>
      </c>
      <c r="T956" s="13">
        <v>792</v>
      </c>
      <c r="U956" s="13">
        <v>23</v>
      </c>
      <c r="V956" s="13">
        <v>53</v>
      </c>
      <c r="W956" s="13"/>
      <c r="X956" s="13">
        <v>28</v>
      </c>
      <c r="Y956" s="13">
        <v>4</v>
      </c>
      <c r="Z956" s="13"/>
      <c r="AA956" s="13"/>
      <c r="AB956" s="13"/>
      <c r="AC956" s="14">
        <v>905.40540540540542</v>
      </c>
      <c r="AD956" s="14">
        <v>763.76554174067496</v>
      </c>
      <c r="AE956" s="14">
        <v>844.2211055276382</v>
      </c>
      <c r="AF956" s="14"/>
      <c r="AG956" s="15">
        <v>0.87306123560436089</v>
      </c>
      <c r="AH956" s="15">
        <v>0.87359555697485269</v>
      </c>
      <c r="AI956" s="15"/>
      <c r="AJ956" s="41">
        <f t="shared" si="28"/>
        <v>2637</v>
      </c>
      <c r="AK956" s="44"/>
      <c r="AL956" s="10"/>
      <c r="AM956" s="10"/>
    </row>
    <row r="957" spans="1:39" s="16" customFormat="1" ht="19" customHeight="1">
      <c r="A957" s="9" t="s">
        <v>999</v>
      </c>
      <c r="B957" s="10" t="s">
        <v>1001</v>
      </c>
      <c r="C957" s="10"/>
      <c r="D957" s="10"/>
      <c r="E957" s="20" t="s">
        <v>141</v>
      </c>
      <c r="F957" s="20" t="s">
        <v>249</v>
      </c>
      <c r="G957" s="12" t="s">
        <v>997</v>
      </c>
      <c r="H957" s="13"/>
      <c r="I957" s="13"/>
      <c r="J957" s="13">
        <v>237</v>
      </c>
      <c r="K957" s="13">
        <v>566</v>
      </c>
      <c r="L957" s="13">
        <v>74</v>
      </c>
      <c r="M957" s="13"/>
      <c r="N957" s="13">
        <v>266</v>
      </c>
      <c r="O957" s="13">
        <v>58</v>
      </c>
      <c r="P957" s="13">
        <v>19</v>
      </c>
      <c r="Q957" s="13">
        <v>57</v>
      </c>
      <c r="R957" s="13"/>
      <c r="S957" s="13">
        <v>50</v>
      </c>
      <c r="T957" s="13">
        <v>376</v>
      </c>
      <c r="U957" s="13">
        <v>11</v>
      </c>
      <c r="V957" s="13">
        <v>26</v>
      </c>
      <c r="W957" s="13"/>
      <c r="X957" s="13">
        <v>21</v>
      </c>
      <c r="Y957" s="13">
        <v>3</v>
      </c>
      <c r="Z957" s="13"/>
      <c r="AA957" s="13">
        <v>291</v>
      </c>
      <c r="AB957" s="13"/>
      <c r="AC957" s="14">
        <v>391.89189189189193</v>
      </c>
      <c r="AD957" s="14">
        <v>337.47779751332149</v>
      </c>
      <c r="AE957" s="14">
        <v>286.4321608040201</v>
      </c>
      <c r="AF957" s="14"/>
      <c r="AG957" s="15">
        <v>0.99503414679771185</v>
      </c>
      <c r="AH957" s="15">
        <v>1.0072822415664457</v>
      </c>
      <c r="AI957" s="15"/>
      <c r="AJ957" s="41">
        <f t="shared" si="28"/>
        <v>1143</v>
      </c>
      <c r="AK957" s="44"/>
      <c r="AL957" s="10"/>
      <c r="AM957" s="10"/>
    </row>
    <row r="958" spans="1:39" s="16" customFormat="1" ht="19" customHeight="1">
      <c r="A958" s="9" t="s">
        <v>999</v>
      </c>
      <c r="B958" s="10" t="s">
        <v>1001</v>
      </c>
      <c r="C958" s="10"/>
      <c r="D958" s="10"/>
      <c r="E958" s="20" t="s">
        <v>141</v>
      </c>
      <c r="F958" s="20" t="s">
        <v>249</v>
      </c>
      <c r="G958" s="12" t="s">
        <v>997</v>
      </c>
      <c r="H958" s="13"/>
      <c r="I958" s="13"/>
      <c r="J958" s="13">
        <v>252</v>
      </c>
      <c r="K958" s="13">
        <v>613</v>
      </c>
      <c r="L958" s="13">
        <v>72</v>
      </c>
      <c r="M958" s="13"/>
      <c r="N958" s="13">
        <v>291</v>
      </c>
      <c r="O958" s="13">
        <v>58</v>
      </c>
      <c r="P958" s="13">
        <v>19</v>
      </c>
      <c r="Q958" s="13">
        <v>57</v>
      </c>
      <c r="R958" s="13"/>
      <c r="S958" s="13">
        <v>52</v>
      </c>
      <c r="T958" s="13">
        <v>344</v>
      </c>
      <c r="U958" s="13">
        <v>11</v>
      </c>
      <c r="V958" s="13">
        <v>27</v>
      </c>
      <c r="W958" s="13"/>
      <c r="X958" s="13">
        <v>20</v>
      </c>
      <c r="Y958" s="13">
        <v>3</v>
      </c>
      <c r="Z958" s="13"/>
      <c r="AA958" s="13">
        <v>58</v>
      </c>
      <c r="AB958" s="13"/>
      <c r="AC958" s="14">
        <v>391.89189189189193</v>
      </c>
      <c r="AD958" s="14">
        <v>337.47779751332149</v>
      </c>
      <c r="AE958" s="14">
        <v>286.4321608040201</v>
      </c>
      <c r="AF958" s="14"/>
      <c r="AG958" s="15">
        <v>0.99503414679771185</v>
      </c>
      <c r="AH958" s="15">
        <v>1.0072822415664457</v>
      </c>
      <c r="AI958" s="15"/>
      <c r="AJ958" s="41">
        <f t="shared" si="28"/>
        <v>1228</v>
      </c>
      <c r="AK958" s="44"/>
      <c r="AL958" s="10"/>
      <c r="AM958" s="10"/>
    </row>
    <row r="959" spans="1:39" s="16" customFormat="1" ht="19" customHeight="1">
      <c r="A959" s="9" t="s">
        <v>995</v>
      </c>
      <c r="B959" s="10" t="s">
        <v>1001</v>
      </c>
      <c r="C959" s="10"/>
      <c r="D959" s="10"/>
      <c r="E959" s="20" t="s">
        <v>141</v>
      </c>
      <c r="F959" s="20" t="s">
        <v>249</v>
      </c>
      <c r="G959" s="12" t="s">
        <v>997</v>
      </c>
      <c r="H959" s="13"/>
      <c r="I959" s="13"/>
      <c r="J959" s="13">
        <v>478</v>
      </c>
      <c r="K959" s="13">
        <v>1390</v>
      </c>
      <c r="L959" s="13">
        <v>187</v>
      </c>
      <c r="M959" s="13"/>
      <c r="N959" s="13">
        <v>839</v>
      </c>
      <c r="O959" s="13">
        <v>173</v>
      </c>
      <c r="P959" s="13">
        <v>43</v>
      </c>
      <c r="Q959" s="13">
        <v>178</v>
      </c>
      <c r="R959" s="13"/>
      <c r="S959" s="13">
        <v>111</v>
      </c>
      <c r="T959" s="13">
        <v>500</v>
      </c>
      <c r="U959" s="13">
        <v>20</v>
      </c>
      <c r="V959" s="13">
        <v>37</v>
      </c>
      <c r="W959" s="13"/>
      <c r="X959" s="13">
        <v>20</v>
      </c>
      <c r="Y959" s="13">
        <v>2</v>
      </c>
      <c r="Z959" s="13"/>
      <c r="AA959" s="13">
        <v>103</v>
      </c>
      <c r="AB959" s="13"/>
      <c r="AC959" s="14">
        <v>1168.918918918919</v>
      </c>
      <c r="AD959" s="14">
        <v>763.76554174067496</v>
      </c>
      <c r="AE959" s="14">
        <v>894.4723618090452</v>
      </c>
      <c r="AF959" s="14"/>
      <c r="AG959" s="15">
        <v>0.74030122049485314</v>
      </c>
      <c r="AH959" s="15">
        <v>0.74693774107585487</v>
      </c>
      <c r="AI959" s="15"/>
      <c r="AJ959" s="41">
        <f t="shared" si="28"/>
        <v>2894</v>
      </c>
      <c r="AK959" s="44"/>
      <c r="AL959" s="10"/>
      <c r="AM959" s="10"/>
    </row>
    <row r="960" spans="1:39" s="16" customFormat="1" ht="19" customHeight="1">
      <c r="A960" s="9" t="s">
        <v>995</v>
      </c>
      <c r="B960" s="10" t="s">
        <v>1001</v>
      </c>
      <c r="C960" s="10"/>
      <c r="D960" s="10"/>
      <c r="E960" s="20" t="s">
        <v>141</v>
      </c>
      <c r="F960" s="20" t="s">
        <v>249</v>
      </c>
      <c r="G960" s="12" t="s">
        <v>997</v>
      </c>
      <c r="H960" s="13"/>
      <c r="I960" s="13"/>
      <c r="J960" s="13">
        <v>496</v>
      </c>
      <c r="K960" s="13">
        <v>1399</v>
      </c>
      <c r="L960" s="13">
        <v>205</v>
      </c>
      <c r="M960" s="13"/>
      <c r="N960" s="13">
        <v>774</v>
      </c>
      <c r="O960" s="13">
        <v>173</v>
      </c>
      <c r="P960" s="13">
        <v>41</v>
      </c>
      <c r="Q960" s="13">
        <v>174</v>
      </c>
      <c r="R960" s="13"/>
      <c r="S960" s="13">
        <v>108</v>
      </c>
      <c r="T960" s="13">
        <v>543</v>
      </c>
      <c r="U960" s="13">
        <v>18</v>
      </c>
      <c r="V960" s="13">
        <v>41</v>
      </c>
      <c r="W960" s="13"/>
      <c r="X960" s="13">
        <v>19</v>
      </c>
      <c r="Y960" s="13">
        <v>2</v>
      </c>
      <c r="Z960" s="13"/>
      <c r="AA960" s="13">
        <v>68</v>
      </c>
      <c r="AB960" s="13"/>
      <c r="AC960" s="14">
        <v>1168.918918918919</v>
      </c>
      <c r="AD960" s="14">
        <v>728.24156305506222</v>
      </c>
      <c r="AE960" s="14">
        <v>874.3718592964824</v>
      </c>
      <c r="AF960" s="14"/>
      <c r="AG960" s="15">
        <v>0.7128124599975969</v>
      </c>
      <c r="AH960" s="15">
        <v>0.72033610308528007</v>
      </c>
      <c r="AI960" s="15"/>
      <c r="AJ960" s="41">
        <f t="shared" si="28"/>
        <v>2874</v>
      </c>
      <c r="AK960" s="44"/>
      <c r="AL960" s="10"/>
      <c r="AM960" s="10"/>
    </row>
    <row r="961" spans="1:39" s="16" customFormat="1" ht="19" customHeight="1">
      <c r="A961" s="9" t="s">
        <v>995</v>
      </c>
      <c r="B961" s="10" t="s">
        <v>1001</v>
      </c>
      <c r="C961" s="10"/>
      <c r="D961" s="10"/>
      <c r="E961" s="20" t="s">
        <v>141</v>
      </c>
      <c r="F961" s="20" t="s">
        <v>249</v>
      </c>
      <c r="G961" s="12" t="s">
        <v>997</v>
      </c>
      <c r="H961" s="13"/>
      <c r="I961" s="13"/>
      <c r="J961" s="13">
        <v>338</v>
      </c>
      <c r="K961" s="13">
        <v>1031</v>
      </c>
      <c r="L961" s="13">
        <v>142</v>
      </c>
      <c r="M961" s="13"/>
      <c r="N961" s="13">
        <v>622</v>
      </c>
      <c r="O961" s="13">
        <v>135</v>
      </c>
      <c r="P961" s="13">
        <v>42</v>
      </c>
      <c r="Q961" s="13">
        <v>125</v>
      </c>
      <c r="R961" s="13"/>
      <c r="S961" s="13">
        <v>63</v>
      </c>
      <c r="T961" s="13">
        <v>345</v>
      </c>
      <c r="U961" s="13">
        <v>10</v>
      </c>
      <c r="V961" s="13">
        <v>22</v>
      </c>
      <c r="W961" s="13"/>
      <c r="X961" s="13">
        <v>12</v>
      </c>
      <c r="Y961" s="13">
        <v>2</v>
      </c>
      <c r="Z961" s="13"/>
      <c r="AA961" s="13">
        <v>19</v>
      </c>
      <c r="AB961" s="13"/>
      <c r="AC961" s="14">
        <v>912.16216216216219</v>
      </c>
      <c r="AD961" s="14">
        <v>746.00355239786859</v>
      </c>
      <c r="AE961" s="14">
        <v>628.14070351758789</v>
      </c>
      <c r="AF961" s="14"/>
      <c r="AG961" s="15">
        <v>0.96864528271672112</v>
      </c>
      <c r="AH961" s="15">
        <v>0.98554486778229722</v>
      </c>
      <c r="AI961" s="15"/>
      <c r="AJ961" s="41">
        <f t="shared" si="28"/>
        <v>2133</v>
      </c>
      <c r="AK961" s="44"/>
      <c r="AL961" s="10"/>
      <c r="AM961" s="10"/>
    </row>
    <row r="962" spans="1:39" s="16" customFormat="1" ht="19" customHeight="1">
      <c r="A962" s="9" t="s">
        <v>995</v>
      </c>
      <c r="B962" s="10" t="s">
        <v>1001</v>
      </c>
      <c r="C962" s="10"/>
      <c r="D962" s="10"/>
      <c r="E962" s="20" t="s">
        <v>141</v>
      </c>
      <c r="F962" s="20" t="s">
        <v>249</v>
      </c>
      <c r="G962" s="12" t="s">
        <v>997</v>
      </c>
      <c r="H962" s="13"/>
      <c r="I962" s="13"/>
      <c r="J962" s="13">
        <v>226</v>
      </c>
      <c r="K962" s="13">
        <v>695</v>
      </c>
      <c r="L962" s="13">
        <v>98</v>
      </c>
      <c r="M962" s="13"/>
      <c r="N962" s="13">
        <v>373</v>
      </c>
      <c r="O962" s="13">
        <v>86</v>
      </c>
      <c r="P962" s="13">
        <v>28</v>
      </c>
      <c r="Q962" s="13">
        <v>86</v>
      </c>
      <c r="R962" s="13"/>
      <c r="S962" s="13">
        <v>52</v>
      </c>
      <c r="T962" s="13">
        <v>297</v>
      </c>
      <c r="U962" s="13">
        <v>9</v>
      </c>
      <c r="V962" s="13">
        <v>21</v>
      </c>
      <c r="W962" s="13"/>
      <c r="X962" s="13">
        <v>12</v>
      </c>
      <c r="Y962" s="13">
        <v>2</v>
      </c>
      <c r="Z962" s="13"/>
      <c r="AA962" s="13">
        <v>30</v>
      </c>
      <c r="AB962" s="13"/>
      <c r="AC962" s="14">
        <v>581.08108108108115</v>
      </c>
      <c r="AD962" s="14">
        <v>497.33570159857908</v>
      </c>
      <c r="AE962" s="14">
        <v>432.1608040201005</v>
      </c>
      <c r="AF962" s="14"/>
      <c r="AG962" s="15">
        <v>0.98167221255152803</v>
      </c>
      <c r="AH962" s="15">
        <v>0.99244987449865707</v>
      </c>
      <c r="AI962" s="15"/>
      <c r="AJ962" s="41">
        <f t="shared" si="28"/>
        <v>1392</v>
      </c>
      <c r="AK962" s="44"/>
      <c r="AL962" s="10"/>
      <c r="AM962" s="10"/>
    </row>
    <row r="963" spans="1:39" s="16" customFormat="1" ht="19" customHeight="1">
      <c r="A963" s="9" t="s">
        <v>995</v>
      </c>
      <c r="B963" s="10" t="s">
        <v>1001</v>
      </c>
      <c r="C963" s="10"/>
      <c r="D963" s="10"/>
      <c r="E963" s="20" t="s">
        <v>141</v>
      </c>
      <c r="F963" s="20" t="s">
        <v>249</v>
      </c>
      <c r="G963" s="12" t="s">
        <v>997</v>
      </c>
      <c r="H963" s="13"/>
      <c r="I963" s="13"/>
      <c r="J963" s="13">
        <v>245</v>
      </c>
      <c r="K963" s="13">
        <v>679</v>
      </c>
      <c r="L963" s="13">
        <v>84</v>
      </c>
      <c r="M963" s="13"/>
      <c r="N963" s="13">
        <v>344</v>
      </c>
      <c r="O963" s="13">
        <v>75</v>
      </c>
      <c r="P963" s="13">
        <v>26</v>
      </c>
      <c r="Q963" s="13">
        <v>80</v>
      </c>
      <c r="R963" s="13"/>
      <c r="S963" s="13">
        <v>63</v>
      </c>
      <c r="T963" s="13">
        <v>342</v>
      </c>
      <c r="U963" s="13">
        <v>10</v>
      </c>
      <c r="V963" s="13">
        <v>24</v>
      </c>
      <c r="W963" s="13"/>
      <c r="X963" s="13">
        <v>14</v>
      </c>
      <c r="Y963" s="13">
        <v>2</v>
      </c>
      <c r="Z963" s="13"/>
      <c r="AA963" s="13">
        <v>27</v>
      </c>
      <c r="AB963" s="13"/>
      <c r="AC963" s="14">
        <v>506.75675675675677</v>
      </c>
      <c r="AD963" s="14">
        <v>461.81172291296627</v>
      </c>
      <c r="AE963" s="14">
        <v>402.01005025125625</v>
      </c>
      <c r="AF963" s="14"/>
      <c r="AG963" s="15">
        <v>1.0163481310093541</v>
      </c>
      <c r="AH963" s="15">
        <v>1.0231674696458701</v>
      </c>
      <c r="AI963" s="15"/>
      <c r="AJ963" s="41">
        <f t="shared" si="28"/>
        <v>1352</v>
      </c>
      <c r="AK963" s="44"/>
      <c r="AL963" s="10"/>
      <c r="AM963" s="10"/>
    </row>
    <row r="964" spans="1:39" s="16" customFormat="1" ht="19" customHeight="1">
      <c r="A964" s="9" t="s">
        <v>995</v>
      </c>
      <c r="B964" s="10" t="s">
        <v>1001</v>
      </c>
      <c r="C964" s="10"/>
      <c r="D964" s="10"/>
      <c r="E964" s="20" t="s">
        <v>141</v>
      </c>
      <c r="F964" s="20" t="s">
        <v>249</v>
      </c>
      <c r="G964" s="12" t="s">
        <v>997</v>
      </c>
      <c r="H964" s="13"/>
      <c r="I964" s="13"/>
      <c r="J964" s="13">
        <v>304</v>
      </c>
      <c r="K964" s="13">
        <v>927</v>
      </c>
      <c r="L964" s="13">
        <v>128</v>
      </c>
      <c r="M964" s="13"/>
      <c r="N964" s="13">
        <v>502</v>
      </c>
      <c r="O964" s="13">
        <v>103</v>
      </c>
      <c r="P964" s="13">
        <v>39</v>
      </c>
      <c r="Q964" s="13">
        <v>108</v>
      </c>
      <c r="R964" s="13"/>
      <c r="S964" s="13">
        <v>72</v>
      </c>
      <c r="T964" s="13">
        <v>388</v>
      </c>
      <c r="U964" s="13">
        <v>12</v>
      </c>
      <c r="V964" s="13">
        <v>28</v>
      </c>
      <c r="W964" s="13"/>
      <c r="X964" s="13">
        <v>15</v>
      </c>
      <c r="Y964" s="13">
        <v>2</v>
      </c>
      <c r="Z964" s="13"/>
      <c r="AA964" s="13">
        <v>31</v>
      </c>
      <c r="AB964" s="13"/>
      <c r="AC964" s="14">
        <v>695.94594594594594</v>
      </c>
      <c r="AD964" s="14">
        <v>692.71758436944947</v>
      </c>
      <c r="AE964" s="14">
        <v>542.713567839196</v>
      </c>
      <c r="AF964" s="14"/>
      <c r="AG964" s="15">
        <v>1.1184955617910159</v>
      </c>
      <c r="AH964" s="15">
        <v>1.1271536402871349</v>
      </c>
      <c r="AI964" s="15"/>
      <c r="AJ964" s="41">
        <f t="shared" si="28"/>
        <v>1861</v>
      </c>
      <c r="AK964" s="44"/>
      <c r="AL964" s="10"/>
      <c r="AM964" s="10"/>
    </row>
    <row r="965" spans="1:39" s="16" customFormat="1" ht="19" customHeight="1">
      <c r="A965" s="9" t="s">
        <v>1002</v>
      </c>
      <c r="B965" s="10" t="s">
        <v>1001</v>
      </c>
      <c r="C965" s="10"/>
      <c r="D965" s="10"/>
      <c r="E965" s="20" t="s">
        <v>141</v>
      </c>
      <c r="F965" s="20" t="s">
        <v>249</v>
      </c>
      <c r="G965" s="12" t="s">
        <v>997</v>
      </c>
      <c r="H965" s="13"/>
      <c r="I965" s="13"/>
      <c r="J965" s="13">
        <v>182</v>
      </c>
      <c r="K965" s="13">
        <v>299</v>
      </c>
      <c r="L965" s="13">
        <v>45</v>
      </c>
      <c r="M965" s="13"/>
      <c r="N965" s="13">
        <v>191</v>
      </c>
      <c r="O965" s="13">
        <v>36</v>
      </c>
      <c r="P965" s="13">
        <v>13</v>
      </c>
      <c r="Q965" s="13">
        <v>43</v>
      </c>
      <c r="R965" s="13"/>
      <c r="S965" s="13">
        <v>34</v>
      </c>
      <c r="T965" s="13">
        <v>286</v>
      </c>
      <c r="U965" s="13">
        <v>7</v>
      </c>
      <c r="V965" s="13">
        <v>21</v>
      </c>
      <c r="W965" s="13"/>
      <c r="X965" s="13">
        <v>15</v>
      </c>
      <c r="Y965" s="13">
        <v>2</v>
      </c>
      <c r="Z965" s="13"/>
      <c r="AA965" s="13">
        <v>57</v>
      </c>
      <c r="AB965" s="13"/>
      <c r="AC965" s="14">
        <v>243.24324324324326</v>
      </c>
      <c r="AD965" s="14">
        <v>230.90586145648314</v>
      </c>
      <c r="AE965" s="14">
        <v>216.08040201005025</v>
      </c>
      <c r="AF965" s="14"/>
      <c r="AG965" s="15">
        <v>1.0054168290384893</v>
      </c>
      <c r="AH965" s="15">
        <v>1.0071794943594088</v>
      </c>
      <c r="AI965" s="15"/>
      <c r="AJ965" s="41">
        <f t="shared" si="28"/>
        <v>717</v>
      </c>
      <c r="AK965" s="44"/>
      <c r="AL965" s="10"/>
      <c r="AM965" s="10"/>
    </row>
    <row r="966" spans="1:39" s="16" customFormat="1" ht="19" customHeight="1">
      <c r="A966" s="9" t="s">
        <v>1002</v>
      </c>
      <c r="B966" s="10" t="s">
        <v>1001</v>
      </c>
      <c r="C966" s="10"/>
      <c r="D966" s="10"/>
      <c r="E966" s="20" t="s">
        <v>141</v>
      </c>
      <c r="F966" s="20" t="s">
        <v>249</v>
      </c>
      <c r="G966" s="12" t="s">
        <v>997</v>
      </c>
      <c r="H966" s="13"/>
      <c r="I966" s="13"/>
      <c r="J966" s="13">
        <v>251</v>
      </c>
      <c r="K966" s="13">
        <v>442</v>
      </c>
      <c r="L966" s="13">
        <v>65</v>
      </c>
      <c r="M966" s="13"/>
      <c r="N966" s="13">
        <v>236</v>
      </c>
      <c r="O966" s="13">
        <v>45</v>
      </c>
      <c r="P966" s="13">
        <v>17</v>
      </c>
      <c r="Q966" s="13">
        <v>51</v>
      </c>
      <c r="R966" s="13"/>
      <c r="S966" s="13">
        <v>43</v>
      </c>
      <c r="T966" s="13">
        <v>413</v>
      </c>
      <c r="U966" s="13">
        <v>10</v>
      </c>
      <c r="V966" s="13">
        <v>32</v>
      </c>
      <c r="W966" s="13"/>
      <c r="X966" s="13">
        <v>26</v>
      </c>
      <c r="Y966" s="13">
        <v>4</v>
      </c>
      <c r="Z966" s="13"/>
      <c r="AA966" s="13">
        <v>85</v>
      </c>
      <c r="AB966" s="13"/>
      <c r="AC966" s="14">
        <v>304.05405405405406</v>
      </c>
      <c r="AD966" s="14">
        <v>301.95381882770874</v>
      </c>
      <c r="AE966" s="14">
        <v>256.28140703517585</v>
      </c>
      <c r="AF966" s="14"/>
      <c r="AG966" s="15">
        <v>1.0777608764604831</v>
      </c>
      <c r="AH966" s="15">
        <v>1.0816993718066346</v>
      </c>
      <c r="AI966" s="15"/>
      <c r="AJ966" s="41">
        <f t="shared" ref="AJ966:AJ1029" si="30">J966+K966+L966+N966</f>
        <v>994</v>
      </c>
      <c r="AK966" s="44"/>
      <c r="AL966" s="10"/>
      <c r="AM966" s="10"/>
    </row>
    <row r="967" spans="1:39" s="16" customFormat="1" ht="19" customHeight="1">
      <c r="A967" s="9" t="s">
        <v>998</v>
      </c>
      <c r="B967" s="10" t="s">
        <v>1001</v>
      </c>
      <c r="C967" s="10"/>
      <c r="D967" s="10"/>
      <c r="E967" s="20" t="s">
        <v>141</v>
      </c>
      <c r="F967" s="20" t="s">
        <v>249</v>
      </c>
      <c r="G967" s="12" t="s">
        <v>997</v>
      </c>
      <c r="H967" s="13"/>
      <c r="I967" s="13"/>
      <c r="J967" s="13">
        <v>532</v>
      </c>
      <c r="K967" s="13">
        <v>1023</v>
      </c>
      <c r="L967" s="13">
        <v>118</v>
      </c>
      <c r="M967" s="13"/>
      <c r="N967" s="13">
        <v>554</v>
      </c>
      <c r="O967" s="13">
        <v>119</v>
      </c>
      <c r="P967" s="13">
        <v>38</v>
      </c>
      <c r="Q967" s="13">
        <v>156</v>
      </c>
      <c r="R967" s="13"/>
      <c r="S967" s="13">
        <v>128</v>
      </c>
      <c r="T967" s="13">
        <v>746</v>
      </c>
      <c r="U967" s="13">
        <v>20</v>
      </c>
      <c r="V967" s="13">
        <v>47</v>
      </c>
      <c r="W967" s="13"/>
      <c r="X967" s="13">
        <v>21</v>
      </c>
      <c r="Y967" s="13">
        <v>3</v>
      </c>
      <c r="Z967" s="13"/>
      <c r="AA967" s="13"/>
      <c r="AB967" s="13"/>
      <c r="AC967" s="14">
        <v>804.05405405405406</v>
      </c>
      <c r="AD967" s="14">
        <v>674.95559502664298</v>
      </c>
      <c r="AE967" s="14">
        <v>783.91959798994969</v>
      </c>
      <c r="AF967" s="14"/>
      <c r="AG967" s="15">
        <v>0.85008412344607276</v>
      </c>
      <c r="AH967" s="15">
        <v>0.85015246384296961</v>
      </c>
      <c r="AI967" s="15"/>
      <c r="AJ967" s="41">
        <f t="shared" si="30"/>
        <v>2227</v>
      </c>
      <c r="AK967" s="44"/>
      <c r="AL967" s="10"/>
      <c r="AM967" s="10"/>
    </row>
    <row r="968" spans="1:39" s="16" customFormat="1" ht="19" customHeight="1">
      <c r="A968" s="9" t="s">
        <v>998</v>
      </c>
      <c r="B968" s="10" t="s">
        <v>1001</v>
      </c>
      <c r="C968" s="10"/>
      <c r="D968" s="10"/>
      <c r="E968" s="20" t="s">
        <v>141</v>
      </c>
      <c r="F968" s="20" t="s">
        <v>249</v>
      </c>
      <c r="G968" s="12" t="s">
        <v>997</v>
      </c>
      <c r="H968" s="13"/>
      <c r="I968" s="13"/>
      <c r="J968" s="13">
        <v>617</v>
      </c>
      <c r="K968" s="13">
        <v>1155</v>
      </c>
      <c r="L968" s="13">
        <v>130</v>
      </c>
      <c r="M968" s="13"/>
      <c r="N968" s="13">
        <v>594</v>
      </c>
      <c r="O968" s="13">
        <v>133</v>
      </c>
      <c r="P968" s="13">
        <v>42</v>
      </c>
      <c r="Q968" s="13">
        <v>169</v>
      </c>
      <c r="R968" s="13"/>
      <c r="S968" s="13">
        <v>135</v>
      </c>
      <c r="T968" s="13">
        <v>809</v>
      </c>
      <c r="U968" s="13">
        <v>23</v>
      </c>
      <c r="V968" s="13">
        <v>50</v>
      </c>
      <c r="W968" s="13"/>
      <c r="X968" s="13">
        <v>26</v>
      </c>
      <c r="Y968" s="13">
        <v>3</v>
      </c>
      <c r="Z968" s="13"/>
      <c r="AA968" s="13"/>
      <c r="AB968" s="13"/>
      <c r="AC968" s="14">
        <v>898.64864864864865</v>
      </c>
      <c r="AD968" s="14">
        <v>746.00355239786859</v>
      </c>
      <c r="AE968" s="14">
        <v>849.2462311557789</v>
      </c>
      <c r="AF968" s="14"/>
      <c r="AG968" s="15">
        <v>0.85360230871703124</v>
      </c>
      <c r="AH968" s="15">
        <v>0.85394346365820317</v>
      </c>
      <c r="AI968" s="15"/>
      <c r="AJ968" s="41">
        <f t="shared" si="30"/>
        <v>2496</v>
      </c>
      <c r="AK968" s="44"/>
      <c r="AL968" s="10"/>
      <c r="AM968" s="10"/>
    </row>
    <row r="969" spans="1:39" s="16" customFormat="1" ht="19" customHeight="1">
      <c r="A969" s="9" t="s">
        <v>998</v>
      </c>
      <c r="B969" s="10" t="s">
        <v>1001</v>
      </c>
      <c r="C969" s="10"/>
      <c r="D969" s="10"/>
      <c r="E969" s="20" t="s">
        <v>141</v>
      </c>
      <c r="F969" s="20" t="s">
        <v>249</v>
      </c>
      <c r="G969" s="12" t="s">
        <v>997</v>
      </c>
      <c r="H969" s="13"/>
      <c r="I969" s="13"/>
      <c r="J969" s="13">
        <v>401</v>
      </c>
      <c r="K969" s="13">
        <v>686</v>
      </c>
      <c r="L969" s="13">
        <v>75</v>
      </c>
      <c r="M969" s="13"/>
      <c r="N969" s="13">
        <v>359</v>
      </c>
      <c r="O969" s="13">
        <v>83</v>
      </c>
      <c r="P969" s="13">
        <v>27</v>
      </c>
      <c r="Q969" s="13">
        <v>108</v>
      </c>
      <c r="R969" s="13"/>
      <c r="S969" s="13">
        <v>77</v>
      </c>
      <c r="T969" s="13">
        <v>531</v>
      </c>
      <c r="U969" s="13">
        <v>13</v>
      </c>
      <c r="V969" s="13">
        <v>36</v>
      </c>
      <c r="W969" s="13"/>
      <c r="X969" s="13">
        <v>25</v>
      </c>
      <c r="Y969" s="13">
        <v>4</v>
      </c>
      <c r="Z969" s="13"/>
      <c r="AA969" s="13"/>
      <c r="AB969" s="13"/>
      <c r="AC969" s="14">
        <v>560.81081081081084</v>
      </c>
      <c r="AD969" s="14">
        <v>479.5737122557727</v>
      </c>
      <c r="AE969" s="14">
        <v>542.713567839196</v>
      </c>
      <c r="AF969" s="14"/>
      <c r="AG969" s="15">
        <v>0.86916740859401354</v>
      </c>
      <c r="AH969" s="15">
        <v>0.8692843106150443</v>
      </c>
      <c r="AI969" s="15"/>
      <c r="AJ969" s="41">
        <f t="shared" si="30"/>
        <v>1521</v>
      </c>
      <c r="AK969" s="44"/>
      <c r="AL969" s="10"/>
      <c r="AM969" s="10"/>
    </row>
    <row r="970" spans="1:39" s="16" customFormat="1" ht="19" customHeight="1">
      <c r="A970" s="9" t="s">
        <v>998</v>
      </c>
      <c r="B970" s="10" t="s">
        <v>1001</v>
      </c>
      <c r="C970" s="10"/>
      <c r="D970" s="10"/>
      <c r="E970" s="20" t="s">
        <v>141</v>
      </c>
      <c r="F970" s="20" t="s">
        <v>249</v>
      </c>
      <c r="G970" s="12" t="s">
        <v>997</v>
      </c>
      <c r="H970" s="13"/>
      <c r="I970" s="13"/>
      <c r="J970" s="13">
        <v>325</v>
      </c>
      <c r="K970" s="13">
        <v>616</v>
      </c>
      <c r="L970" s="13">
        <v>83</v>
      </c>
      <c r="M970" s="13"/>
      <c r="N970" s="13">
        <v>347</v>
      </c>
      <c r="O970" s="13">
        <v>81</v>
      </c>
      <c r="P970" s="13">
        <v>31</v>
      </c>
      <c r="Q970" s="13">
        <v>98</v>
      </c>
      <c r="R970" s="13"/>
      <c r="S970" s="13">
        <v>78</v>
      </c>
      <c r="T970" s="13">
        <v>454</v>
      </c>
      <c r="U970" s="13">
        <v>16</v>
      </c>
      <c r="V970" s="13">
        <v>29</v>
      </c>
      <c r="W970" s="13"/>
      <c r="X970" s="13">
        <v>20</v>
      </c>
      <c r="Y970" s="13">
        <v>3</v>
      </c>
      <c r="Z970" s="13"/>
      <c r="AA970" s="13"/>
      <c r="AB970" s="13"/>
      <c r="AC970" s="14">
        <v>547.29729729729729</v>
      </c>
      <c r="AD970" s="14">
        <v>550.62166962699825</v>
      </c>
      <c r="AE970" s="14">
        <v>492.46231155778889</v>
      </c>
      <c r="AF970" s="14"/>
      <c r="AG970" s="15">
        <v>1.0591326397710448</v>
      </c>
      <c r="AH970" s="15">
        <v>1.060608608067539</v>
      </c>
      <c r="AI970" s="15"/>
      <c r="AJ970" s="41">
        <f t="shared" si="30"/>
        <v>1371</v>
      </c>
      <c r="AK970" s="44"/>
      <c r="AL970" s="10"/>
      <c r="AM970" s="10"/>
    </row>
    <row r="971" spans="1:39" s="16" customFormat="1" ht="19" customHeight="1">
      <c r="A971" s="9" t="s">
        <v>998</v>
      </c>
      <c r="B971" s="10" t="s">
        <v>1001</v>
      </c>
      <c r="C971" s="10"/>
      <c r="D971" s="10"/>
      <c r="E971" s="20" t="s">
        <v>141</v>
      </c>
      <c r="F971" s="20" t="s">
        <v>249</v>
      </c>
      <c r="G971" s="12" t="s">
        <v>997</v>
      </c>
      <c r="H971" s="13"/>
      <c r="I971" s="13"/>
      <c r="J971" s="13">
        <v>279</v>
      </c>
      <c r="K971" s="13">
        <v>587</v>
      </c>
      <c r="L971" s="13">
        <v>63</v>
      </c>
      <c r="M971" s="13"/>
      <c r="N971" s="13">
        <v>278</v>
      </c>
      <c r="O971" s="13">
        <v>60</v>
      </c>
      <c r="P971" s="13">
        <v>27</v>
      </c>
      <c r="Q971" s="13">
        <v>85</v>
      </c>
      <c r="R971" s="13"/>
      <c r="S971" s="13">
        <v>69</v>
      </c>
      <c r="T971" s="13">
        <v>445</v>
      </c>
      <c r="U971" s="13">
        <v>12</v>
      </c>
      <c r="V971" s="13">
        <v>28</v>
      </c>
      <c r="W971" s="13"/>
      <c r="X971" s="13">
        <v>21</v>
      </c>
      <c r="Y971" s="13">
        <v>3</v>
      </c>
      <c r="Z971" s="13"/>
      <c r="AA971" s="13"/>
      <c r="AB971" s="13"/>
      <c r="AC971" s="14">
        <v>405.40540540540542</v>
      </c>
      <c r="AD971" s="14">
        <v>479.5737122557727</v>
      </c>
      <c r="AE971" s="14">
        <v>427.1356783919598</v>
      </c>
      <c r="AF971" s="14"/>
      <c r="AG971" s="15">
        <v>1.1520721837974728</v>
      </c>
      <c r="AH971" s="15">
        <v>1.1524648203109105</v>
      </c>
      <c r="AI971" s="15"/>
      <c r="AJ971" s="41">
        <f t="shared" si="30"/>
        <v>1207</v>
      </c>
      <c r="AK971" s="44"/>
      <c r="AL971" s="10"/>
      <c r="AM971" s="10"/>
    </row>
    <row r="972" spans="1:39" s="16" customFormat="1" ht="19" customHeight="1">
      <c r="A972" s="9" t="s">
        <v>998</v>
      </c>
      <c r="B972" s="10" t="s">
        <v>1001</v>
      </c>
      <c r="C972" s="10"/>
      <c r="D972" s="10"/>
      <c r="E972" s="20" t="s">
        <v>141</v>
      </c>
      <c r="F972" s="20" t="s">
        <v>249</v>
      </c>
      <c r="G972" s="12" t="s">
        <v>997</v>
      </c>
      <c r="H972" s="13"/>
      <c r="I972" s="13"/>
      <c r="J972" s="13">
        <v>285</v>
      </c>
      <c r="K972" s="13">
        <v>540</v>
      </c>
      <c r="L972" s="13">
        <v>65</v>
      </c>
      <c r="M972" s="13"/>
      <c r="N972" s="13">
        <v>304</v>
      </c>
      <c r="O972" s="13">
        <v>73</v>
      </c>
      <c r="P972" s="13">
        <v>28</v>
      </c>
      <c r="Q972" s="13">
        <v>95</v>
      </c>
      <c r="R972" s="13"/>
      <c r="S972" s="13">
        <v>69</v>
      </c>
      <c r="T972" s="13">
        <v>419</v>
      </c>
      <c r="U972" s="13">
        <v>13</v>
      </c>
      <c r="V972" s="13">
        <v>31</v>
      </c>
      <c r="W972" s="13"/>
      <c r="X972" s="13">
        <v>18</v>
      </c>
      <c r="Y972" s="13">
        <v>5</v>
      </c>
      <c r="Z972" s="13"/>
      <c r="AA972" s="13"/>
      <c r="AB972" s="13"/>
      <c r="AC972" s="14">
        <v>493.24324324324328</v>
      </c>
      <c r="AD972" s="14">
        <v>497.33570159857908</v>
      </c>
      <c r="AE972" s="14">
        <v>477.3869346733668</v>
      </c>
      <c r="AF972" s="14"/>
      <c r="AG972" s="15">
        <v>1.0247686769147759</v>
      </c>
      <c r="AH972" s="15">
        <v>1.0249054433034677</v>
      </c>
      <c r="AI972" s="15"/>
      <c r="AJ972" s="41">
        <f t="shared" si="30"/>
        <v>1194</v>
      </c>
      <c r="AK972" s="44"/>
      <c r="AL972" s="10"/>
      <c r="AM972" s="10"/>
    </row>
    <row r="973" spans="1:39" s="16" customFormat="1" ht="19" customHeight="1">
      <c r="A973" s="9" t="s">
        <v>1002</v>
      </c>
      <c r="B973" s="10" t="s">
        <v>1003</v>
      </c>
      <c r="C973" s="10"/>
      <c r="D973" s="10"/>
      <c r="E973" s="20" t="s">
        <v>141</v>
      </c>
      <c r="F973" s="20" t="s">
        <v>249</v>
      </c>
      <c r="G973" s="12" t="s">
        <v>997</v>
      </c>
      <c r="H973" s="13"/>
      <c r="I973" s="13"/>
      <c r="J973" s="13">
        <v>263</v>
      </c>
      <c r="K973" s="13">
        <v>387</v>
      </c>
      <c r="L973" s="13">
        <v>48</v>
      </c>
      <c r="M973" s="13"/>
      <c r="N973" s="13">
        <v>173</v>
      </c>
      <c r="O973" s="13">
        <v>32</v>
      </c>
      <c r="P973" s="13">
        <v>14</v>
      </c>
      <c r="Q973" s="13">
        <v>39</v>
      </c>
      <c r="R973" s="13"/>
      <c r="S973" s="13">
        <v>34</v>
      </c>
      <c r="T973" s="13">
        <v>428</v>
      </c>
      <c r="U973" s="13">
        <v>8</v>
      </c>
      <c r="V973" s="13">
        <v>24</v>
      </c>
      <c r="W973" s="13"/>
      <c r="X973" s="13">
        <v>20</v>
      </c>
      <c r="Y973" s="13">
        <v>3</v>
      </c>
      <c r="Z973" s="13"/>
      <c r="AA973" s="13">
        <v>66</v>
      </c>
      <c r="AB973" s="13"/>
      <c r="AC973" s="14">
        <v>216.21621621621622</v>
      </c>
      <c r="AD973" s="14">
        <v>248.66785079928954</v>
      </c>
      <c r="AE973" s="14">
        <v>195.97989949748742</v>
      </c>
      <c r="AF973" s="14"/>
      <c r="AG973" s="15">
        <v>1.2065511600890735</v>
      </c>
      <c r="AH973" s="15">
        <v>1.2080078154671046</v>
      </c>
      <c r="AI973" s="15"/>
      <c r="AJ973" s="41">
        <f t="shared" si="30"/>
        <v>871</v>
      </c>
      <c r="AK973" s="44"/>
      <c r="AL973" s="10"/>
      <c r="AM973" s="10"/>
    </row>
    <row r="974" spans="1:39" s="16" customFormat="1" ht="19" customHeight="1">
      <c r="A974" s="9" t="s">
        <v>1002</v>
      </c>
      <c r="B974" s="10" t="s">
        <v>1003</v>
      </c>
      <c r="C974" s="10"/>
      <c r="D974" s="10"/>
      <c r="E974" s="20" t="s">
        <v>141</v>
      </c>
      <c r="F974" s="20" t="s">
        <v>249</v>
      </c>
      <c r="G974" s="12" t="s">
        <v>997</v>
      </c>
      <c r="H974" s="13"/>
      <c r="I974" s="13"/>
      <c r="J974" s="13">
        <v>363</v>
      </c>
      <c r="K974" s="13">
        <v>536</v>
      </c>
      <c r="L974" s="13">
        <v>58</v>
      </c>
      <c r="M974" s="13"/>
      <c r="N974" s="13">
        <v>215</v>
      </c>
      <c r="O974" s="13">
        <v>43</v>
      </c>
      <c r="P974" s="13">
        <v>16</v>
      </c>
      <c r="Q974" s="13">
        <v>49</v>
      </c>
      <c r="R974" s="13"/>
      <c r="S974" s="13">
        <v>43</v>
      </c>
      <c r="T974" s="13">
        <v>445</v>
      </c>
      <c r="U974" s="13">
        <v>10</v>
      </c>
      <c r="V974" s="13">
        <v>30</v>
      </c>
      <c r="W974" s="13"/>
      <c r="X974" s="13">
        <v>24</v>
      </c>
      <c r="Y974" s="13">
        <v>3</v>
      </c>
      <c r="Z974" s="13"/>
      <c r="AA974" s="13">
        <v>136</v>
      </c>
      <c r="AB974" s="13"/>
      <c r="AC974" s="14">
        <v>290.54054054054058</v>
      </c>
      <c r="AD974" s="14">
        <v>284.19182948490231</v>
      </c>
      <c r="AE974" s="14">
        <v>246.23115577889445</v>
      </c>
      <c r="AF974" s="14"/>
      <c r="AG974" s="15">
        <v>1.0588927524814147</v>
      </c>
      <c r="AH974" s="15">
        <v>1.062519027016519</v>
      </c>
      <c r="AI974" s="15"/>
      <c r="AJ974" s="41">
        <f t="shared" si="30"/>
        <v>1172</v>
      </c>
      <c r="AK974" s="44"/>
      <c r="AL974" s="10"/>
      <c r="AM974" s="10"/>
    </row>
    <row r="975" spans="1:39" s="16" customFormat="1" ht="19" customHeight="1">
      <c r="A975" s="9" t="s">
        <v>1002</v>
      </c>
      <c r="B975" s="10" t="s">
        <v>1003</v>
      </c>
      <c r="C975" s="10"/>
      <c r="D975" s="10"/>
      <c r="E975" s="20" t="s">
        <v>141</v>
      </c>
      <c r="F975" s="20" t="s">
        <v>249</v>
      </c>
      <c r="G975" s="12" t="s">
        <v>997</v>
      </c>
      <c r="H975" s="13"/>
      <c r="I975" s="13"/>
      <c r="J975" s="13">
        <v>327</v>
      </c>
      <c r="K975" s="13">
        <v>447</v>
      </c>
      <c r="L975" s="13">
        <v>54</v>
      </c>
      <c r="M975" s="13"/>
      <c r="N975" s="13">
        <v>230</v>
      </c>
      <c r="O975" s="13">
        <v>44</v>
      </c>
      <c r="P975" s="13">
        <v>15</v>
      </c>
      <c r="Q975" s="13">
        <v>58</v>
      </c>
      <c r="R975" s="13"/>
      <c r="S975" s="13">
        <v>51</v>
      </c>
      <c r="T975" s="13">
        <v>561</v>
      </c>
      <c r="U975" s="13">
        <v>13</v>
      </c>
      <c r="V975" s="13">
        <v>35</v>
      </c>
      <c r="W975" s="13"/>
      <c r="X975" s="13">
        <v>32</v>
      </c>
      <c r="Y975" s="13">
        <v>5</v>
      </c>
      <c r="Z975" s="13"/>
      <c r="AA975" s="13">
        <v>307</v>
      </c>
      <c r="AB975" s="13"/>
      <c r="AC975" s="14">
        <v>297.29729729729729</v>
      </c>
      <c r="AD975" s="14">
        <v>266.42984014209594</v>
      </c>
      <c r="AE975" s="14">
        <v>291.4572864321608</v>
      </c>
      <c r="AF975" s="14"/>
      <c r="AG975" s="15">
        <v>0.90506247426355357</v>
      </c>
      <c r="AH975" s="15">
        <v>0.90510700289217738</v>
      </c>
      <c r="AI975" s="15"/>
      <c r="AJ975" s="41">
        <f t="shared" si="30"/>
        <v>1058</v>
      </c>
      <c r="AK975" s="44"/>
      <c r="AL975" s="10"/>
      <c r="AM975" s="10"/>
    </row>
    <row r="976" spans="1:39" s="16" customFormat="1" ht="19" customHeight="1">
      <c r="A976" s="9" t="s">
        <v>1002</v>
      </c>
      <c r="B976" s="10" t="s">
        <v>1003</v>
      </c>
      <c r="C976" s="10"/>
      <c r="D976" s="10"/>
      <c r="E976" s="20" t="s">
        <v>141</v>
      </c>
      <c r="F976" s="20" t="s">
        <v>249</v>
      </c>
      <c r="G976" s="12" t="s">
        <v>997</v>
      </c>
      <c r="H976" s="13"/>
      <c r="I976" s="13"/>
      <c r="J976" s="13">
        <v>454</v>
      </c>
      <c r="K976" s="13">
        <v>658</v>
      </c>
      <c r="L976" s="13">
        <v>83</v>
      </c>
      <c r="M976" s="13"/>
      <c r="N976" s="13">
        <v>344</v>
      </c>
      <c r="O976" s="13">
        <v>66</v>
      </c>
      <c r="P976" s="13">
        <v>21</v>
      </c>
      <c r="Q976" s="13">
        <v>76</v>
      </c>
      <c r="R976" s="13"/>
      <c r="S976" s="13">
        <v>69</v>
      </c>
      <c r="T976" s="13">
        <v>701</v>
      </c>
      <c r="U976" s="13">
        <v>15</v>
      </c>
      <c r="V976" s="13">
        <v>47</v>
      </c>
      <c r="W976" s="13"/>
      <c r="X976" s="13">
        <v>39</v>
      </c>
      <c r="Y976" s="13">
        <v>5</v>
      </c>
      <c r="Z976" s="13"/>
      <c r="AA976" s="13">
        <v>169</v>
      </c>
      <c r="AB976" s="13"/>
      <c r="AC976" s="14">
        <v>445.94594594594599</v>
      </c>
      <c r="AD976" s="14">
        <v>373.00177619893429</v>
      </c>
      <c r="AE976" s="14">
        <v>381.90954773869345</v>
      </c>
      <c r="AF976" s="14"/>
      <c r="AG976" s="15">
        <v>0.90112774281117325</v>
      </c>
      <c r="AH976" s="15">
        <v>0.90383578456414237</v>
      </c>
      <c r="AI976" s="15"/>
      <c r="AJ976" s="41">
        <f t="shared" si="30"/>
        <v>1539</v>
      </c>
      <c r="AK976" s="44"/>
      <c r="AL976" s="10"/>
      <c r="AM976" s="10"/>
    </row>
    <row r="977" spans="1:39" s="16" customFormat="1" ht="19" customHeight="1">
      <c r="A977" s="9" t="s">
        <v>1002</v>
      </c>
      <c r="B977" s="10" t="s">
        <v>1003</v>
      </c>
      <c r="C977" s="10"/>
      <c r="D977" s="10"/>
      <c r="E977" s="20" t="s">
        <v>141</v>
      </c>
      <c r="F977" s="20" t="s">
        <v>249</v>
      </c>
      <c r="G977" s="12" t="s">
        <v>997</v>
      </c>
      <c r="H977" s="13"/>
      <c r="I977" s="13"/>
      <c r="J977" s="13">
        <v>347</v>
      </c>
      <c r="K977" s="13">
        <v>538</v>
      </c>
      <c r="L977" s="13">
        <v>66</v>
      </c>
      <c r="M977" s="13"/>
      <c r="N977" s="13">
        <v>273</v>
      </c>
      <c r="O977" s="13">
        <v>51</v>
      </c>
      <c r="P977" s="13">
        <v>18</v>
      </c>
      <c r="Q977" s="13">
        <v>59</v>
      </c>
      <c r="R977" s="13"/>
      <c r="S977" s="13">
        <v>56</v>
      </c>
      <c r="T977" s="13">
        <v>549</v>
      </c>
      <c r="U977" s="13">
        <v>12</v>
      </c>
      <c r="V977" s="13">
        <v>35</v>
      </c>
      <c r="W977" s="13"/>
      <c r="X977" s="13">
        <v>29</v>
      </c>
      <c r="Y977" s="13">
        <v>4</v>
      </c>
      <c r="Z977" s="13"/>
      <c r="AA977" s="13">
        <v>201</v>
      </c>
      <c r="AB977" s="13"/>
      <c r="AC977" s="14">
        <v>344.59459459459464</v>
      </c>
      <c r="AD977" s="14">
        <v>319.71580817051512</v>
      </c>
      <c r="AE977" s="14">
        <v>296.4824120603015</v>
      </c>
      <c r="AF977" s="14"/>
      <c r="AG977" s="15">
        <v>0.99743339677326515</v>
      </c>
      <c r="AH977" s="15">
        <v>1.0002542659999221</v>
      </c>
      <c r="AI977" s="15"/>
      <c r="AJ977" s="41">
        <f t="shared" si="30"/>
        <v>1224</v>
      </c>
      <c r="AK977" s="44"/>
      <c r="AL977" s="10"/>
      <c r="AM977" s="10"/>
    </row>
    <row r="978" spans="1:39" s="16" customFormat="1" ht="19" customHeight="1">
      <c r="A978" s="9" t="s">
        <v>1002</v>
      </c>
      <c r="B978" s="10" t="s">
        <v>1003</v>
      </c>
      <c r="C978" s="10"/>
      <c r="D978" s="10"/>
      <c r="E978" s="20" t="s">
        <v>141</v>
      </c>
      <c r="F978" s="20" t="s">
        <v>249</v>
      </c>
      <c r="G978" s="12" t="s">
        <v>997</v>
      </c>
      <c r="H978" s="13"/>
      <c r="I978" s="13"/>
      <c r="J978" s="13">
        <v>371</v>
      </c>
      <c r="K978" s="13">
        <v>566</v>
      </c>
      <c r="L978" s="13">
        <v>78</v>
      </c>
      <c r="M978" s="13"/>
      <c r="N978" s="13">
        <v>313</v>
      </c>
      <c r="O978" s="13">
        <v>66</v>
      </c>
      <c r="P978" s="13">
        <v>19</v>
      </c>
      <c r="Q978" s="13">
        <v>74</v>
      </c>
      <c r="R978" s="13"/>
      <c r="S978" s="13">
        <v>65</v>
      </c>
      <c r="T978" s="13">
        <v>575</v>
      </c>
      <c r="U978" s="13">
        <v>14</v>
      </c>
      <c r="V978" s="13">
        <v>37</v>
      </c>
      <c r="W978" s="13"/>
      <c r="X978" s="13">
        <v>29</v>
      </c>
      <c r="Y978" s="13">
        <v>4</v>
      </c>
      <c r="Z978" s="13"/>
      <c r="AA978" s="13">
        <v>188</v>
      </c>
      <c r="AB978" s="13"/>
      <c r="AC978" s="14">
        <v>445.94594594594599</v>
      </c>
      <c r="AD978" s="14">
        <v>337.47779751332149</v>
      </c>
      <c r="AE978" s="14">
        <v>371.85929648241205</v>
      </c>
      <c r="AF978" s="14"/>
      <c r="AG978" s="15">
        <v>0.82532559099579372</v>
      </c>
      <c r="AH978" s="15">
        <v>0.82873327030189514</v>
      </c>
      <c r="AI978" s="15"/>
      <c r="AJ978" s="41">
        <f t="shared" si="30"/>
        <v>1328</v>
      </c>
      <c r="AK978" s="44"/>
      <c r="AL978" s="10"/>
      <c r="AM978" s="10"/>
    </row>
    <row r="979" spans="1:39" s="16" customFormat="1" ht="19" customHeight="1">
      <c r="A979" s="9" t="s">
        <v>1002</v>
      </c>
      <c r="B979" s="10" t="s">
        <v>1003</v>
      </c>
      <c r="C979" s="10"/>
      <c r="D979" s="10"/>
      <c r="E979" s="20" t="s">
        <v>141</v>
      </c>
      <c r="F979" s="20" t="s">
        <v>249</v>
      </c>
      <c r="G979" s="12" t="s">
        <v>997</v>
      </c>
      <c r="H979" s="13"/>
      <c r="I979" s="13"/>
      <c r="J979" s="13">
        <v>257</v>
      </c>
      <c r="K979" s="13">
        <v>316</v>
      </c>
      <c r="L979" s="13">
        <v>45</v>
      </c>
      <c r="M979" s="13"/>
      <c r="N979" s="13">
        <v>175</v>
      </c>
      <c r="O979" s="13">
        <v>34</v>
      </c>
      <c r="P979" s="13">
        <v>13</v>
      </c>
      <c r="Q979" s="13">
        <v>46</v>
      </c>
      <c r="R979" s="13"/>
      <c r="S979" s="13">
        <v>40</v>
      </c>
      <c r="T979" s="13">
        <v>454</v>
      </c>
      <c r="U979" s="13">
        <v>10</v>
      </c>
      <c r="V979" s="13">
        <v>29</v>
      </c>
      <c r="W979" s="13"/>
      <c r="X979" s="13">
        <v>23</v>
      </c>
      <c r="Y979" s="13">
        <v>4</v>
      </c>
      <c r="Z979" s="13"/>
      <c r="AA979" s="13">
        <v>92</v>
      </c>
      <c r="AB979" s="13"/>
      <c r="AC979" s="14">
        <v>229.72972972972974</v>
      </c>
      <c r="AD979" s="14">
        <v>230.90586145648314</v>
      </c>
      <c r="AE979" s="14">
        <v>231.15577889447235</v>
      </c>
      <c r="AF979" s="14"/>
      <c r="AG979" s="15">
        <v>1.0020096407273231</v>
      </c>
      <c r="AH979" s="15">
        <v>1.0020144372655926</v>
      </c>
      <c r="AI979" s="15"/>
      <c r="AJ979" s="41">
        <f t="shared" si="30"/>
        <v>793</v>
      </c>
      <c r="AK979" s="44"/>
      <c r="AL979" s="10"/>
      <c r="AM979" s="10"/>
    </row>
    <row r="980" spans="1:39" s="16" customFormat="1" ht="19" customHeight="1">
      <c r="A980" s="9" t="s">
        <v>1002</v>
      </c>
      <c r="B980" s="10" t="s">
        <v>1003</v>
      </c>
      <c r="C980" s="10"/>
      <c r="D980" s="10"/>
      <c r="E980" s="20" t="s">
        <v>141</v>
      </c>
      <c r="F980" s="20" t="s">
        <v>249</v>
      </c>
      <c r="G980" s="12" t="s">
        <v>997</v>
      </c>
      <c r="H980" s="13"/>
      <c r="I980" s="13"/>
      <c r="J980" s="13">
        <v>184</v>
      </c>
      <c r="K980" s="13">
        <v>253</v>
      </c>
      <c r="L980" s="13">
        <v>36</v>
      </c>
      <c r="M980" s="13"/>
      <c r="N980" s="13">
        <v>142</v>
      </c>
      <c r="O980" s="13">
        <v>27</v>
      </c>
      <c r="P980" s="13">
        <v>11</v>
      </c>
      <c r="Q980" s="13">
        <v>34</v>
      </c>
      <c r="R980" s="13"/>
      <c r="S980" s="13">
        <v>33</v>
      </c>
      <c r="T980" s="13">
        <v>381</v>
      </c>
      <c r="U980" s="13">
        <v>8</v>
      </c>
      <c r="V980" s="13">
        <v>21</v>
      </c>
      <c r="W980" s="13"/>
      <c r="X980" s="13">
        <v>16</v>
      </c>
      <c r="Y980" s="13">
        <v>2</v>
      </c>
      <c r="Z980" s="13"/>
      <c r="AA980" s="13">
        <v>88</v>
      </c>
      <c r="AB980" s="13"/>
      <c r="AC980" s="14">
        <v>182.43243243243245</v>
      </c>
      <c r="AD980" s="14">
        <v>195.38188277087036</v>
      </c>
      <c r="AE980" s="14">
        <v>170.8542713567839</v>
      </c>
      <c r="AF980" s="14"/>
      <c r="AG980" s="15">
        <v>1.1060811554767274</v>
      </c>
      <c r="AH980" s="15">
        <v>1.1066756277442704</v>
      </c>
      <c r="AI980" s="15"/>
      <c r="AJ980" s="41">
        <f t="shared" si="30"/>
        <v>615</v>
      </c>
      <c r="AK980" s="44"/>
      <c r="AL980" s="10"/>
      <c r="AM980" s="10"/>
    </row>
    <row r="981" spans="1:39" s="16" customFormat="1" ht="19" customHeight="1">
      <c r="A981" s="9" t="s">
        <v>1002</v>
      </c>
      <c r="B981" s="10" t="s">
        <v>1003</v>
      </c>
      <c r="C981" s="10"/>
      <c r="D981" s="10"/>
      <c r="E981" s="20" t="s">
        <v>141</v>
      </c>
      <c r="F981" s="20" t="s">
        <v>249</v>
      </c>
      <c r="G981" s="12" t="s">
        <v>997</v>
      </c>
      <c r="H981" s="13"/>
      <c r="I981" s="13"/>
      <c r="J981" s="13">
        <v>209</v>
      </c>
      <c r="K981" s="13">
        <v>306</v>
      </c>
      <c r="L981" s="13">
        <v>39</v>
      </c>
      <c r="M981" s="13"/>
      <c r="N981" s="13">
        <v>143</v>
      </c>
      <c r="O981" s="13">
        <v>29</v>
      </c>
      <c r="P981" s="13">
        <v>10</v>
      </c>
      <c r="Q981" s="13">
        <v>34</v>
      </c>
      <c r="R981" s="13"/>
      <c r="S981" s="13">
        <v>31</v>
      </c>
      <c r="T981" s="13">
        <v>359</v>
      </c>
      <c r="U981" s="13">
        <v>8</v>
      </c>
      <c r="V981" s="13">
        <v>23</v>
      </c>
      <c r="W981" s="13"/>
      <c r="X981" s="13">
        <v>17</v>
      </c>
      <c r="Y981" s="13">
        <v>3</v>
      </c>
      <c r="Z981" s="13"/>
      <c r="AA981" s="13">
        <v>71</v>
      </c>
      <c r="AB981" s="13"/>
      <c r="AC981" s="14">
        <v>195.94594594594597</v>
      </c>
      <c r="AD981" s="14">
        <v>177.61989342806396</v>
      </c>
      <c r="AE981" s="14">
        <v>170.8542713567839</v>
      </c>
      <c r="AF981" s="14"/>
      <c r="AG981" s="15">
        <v>0.96848303272115899</v>
      </c>
      <c r="AH981" s="15">
        <v>0.97075702841245981</v>
      </c>
      <c r="AI981" s="15"/>
      <c r="AJ981" s="41">
        <f t="shared" si="30"/>
        <v>697</v>
      </c>
      <c r="AK981" s="44"/>
      <c r="AL981" s="10"/>
      <c r="AM981" s="10"/>
    </row>
    <row r="982" spans="1:39" s="16" customFormat="1" ht="19" customHeight="1">
      <c r="A982" s="9" t="s">
        <v>1002</v>
      </c>
      <c r="B982" s="10" t="s">
        <v>1003</v>
      </c>
      <c r="C982" s="10"/>
      <c r="D982" s="10"/>
      <c r="E982" s="20" t="s">
        <v>141</v>
      </c>
      <c r="F982" s="20" t="s">
        <v>249</v>
      </c>
      <c r="G982" s="12" t="s">
        <v>997</v>
      </c>
      <c r="H982" s="13"/>
      <c r="I982" s="13"/>
      <c r="J982" s="13">
        <v>315</v>
      </c>
      <c r="K982" s="13">
        <v>582</v>
      </c>
      <c r="L982" s="13">
        <v>92</v>
      </c>
      <c r="M982" s="13"/>
      <c r="N982" s="13">
        <v>371</v>
      </c>
      <c r="O982" s="13">
        <v>73</v>
      </c>
      <c r="P982" s="13">
        <v>22</v>
      </c>
      <c r="Q982" s="13">
        <v>87</v>
      </c>
      <c r="R982" s="13"/>
      <c r="S982" s="13">
        <v>73</v>
      </c>
      <c r="T982" s="13">
        <v>645</v>
      </c>
      <c r="U982" s="13">
        <v>16</v>
      </c>
      <c r="V982" s="13">
        <v>45</v>
      </c>
      <c r="W982" s="13"/>
      <c r="X982" s="13">
        <v>34</v>
      </c>
      <c r="Y982" s="13">
        <v>5</v>
      </c>
      <c r="Z982" s="13"/>
      <c r="AA982" s="13">
        <v>95</v>
      </c>
      <c r="AB982" s="13"/>
      <c r="AC982" s="14">
        <v>493.24324324324328</v>
      </c>
      <c r="AD982" s="14">
        <v>390.76376554174072</v>
      </c>
      <c r="AE982" s="14">
        <v>437.1859296482412</v>
      </c>
      <c r="AF982" s="14"/>
      <c r="AG982" s="15">
        <v>0.83996456028430078</v>
      </c>
      <c r="AH982" s="15">
        <v>0.84149322839828766</v>
      </c>
      <c r="AI982" s="15"/>
      <c r="AJ982" s="41">
        <f t="shared" si="30"/>
        <v>1360</v>
      </c>
      <c r="AK982" s="44"/>
      <c r="AL982" s="10"/>
      <c r="AM982" s="10"/>
    </row>
    <row r="983" spans="1:39" s="16" customFormat="1" ht="19" customHeight="1">
      <c r="A983" s="9" t="s">
        <v>1002</v>
      </c>
      <c r="B983" s="10" t="s">
        <v>1003</v>
      </c>
      <c r="C983" s="10"/>
      <c r="D983" s="10"/>
      <c r="E983" s="20" t="s">
        <v>141</v>
      </c>
      <c r="F983" s="20" t="s">
        <v>249</v>
      </c>
      <c r="G983" s="12" t="s">
        <v>997</v>
      </c>
      <c r="H983" s="13"/>
      <c r="I983" s="13"/>
      <c r="J983" s="13">
        <v>348</v>
      </c>
      <c r="K983" s="13">
        <v>540</v>
      </c>
      <c r="L983" s="13">
        <v>81</v>
      </c>
      <c r="M983" s="13"/>
      <c r="N983" s="13">
        <v>307</v>
      </c>
      <c r="O983" s="13">
        <v>60</v>
      </c>
      <c r="P983" s="13">
        <v>19</v>
      </c>
      <c r="Q983" s="13">
        <v>75</v>
      </c>
      <c r="R983" s="13"/>
      <c r="S983" s="13">
        <v>72</v>
      </c>
      <c r="T983" s="13">
        <v>746</v>
      </c>
      <c r="U983" s="13">
        <v>17</v>
      </c>
      <c r="V983" s="13">
        <v>54</v>
      </c>
      <c r="W983" s="13"/>
      <c r="X983" s="13">
        <v>42</v>
      </c>
      <c r="Y983" s="13">
        <v>6</v>
      </c>
      <c r="Z983" s="13"/>
      <c r="AA983" s="13">
        <v>91</v>
      </c>
      <c r="AB983" s="13"/>
      <c r="AC983" s="14">
        <v>405.40540540540542</v>
      </c>
      <c r="AD983" s="14">
        <v>337.47779751332149</v>
      </c>
      <c r="AE983" s="14">
        <v>376.88442211055275</v>
      </c>
      <c r="AF983" s="14"/>
      <c r="AG983" s="15">
        <v>0.86279479968423123</v>
      </c>
      <c r="AH983" s="15">
        <v>0.86336878973047049</v>
      </c>
      <c r="AI983" s="15"/>
      <c r="AJ983" s="41">
        <f t="shared" si="30"/>
        <v>1276</v>
      </c>
      <c r="AK983" s="44"/>
      <c r="AL983" s="10"/>
      <c r="AM983" s="10"/>
    </row>
    <row r="984" spans="1:39" s="16" customFormat="1" ht="19" customHeight="1">
      <c r="A984" s="9" t="s">
        <v>1002</v>
      </c>
      <c r="B984" s="10" t="s">
        <v>1003</v>
      </c>
      <c r="C984" s="10"/>
      <c r="D984" s="10"/>
      <c r="E984" s="20" t="s">
        <v>141</v>
      </c>
      <c r="F984" s="20" t="s">
        <v>249</v>
      </c>
      <c r="G984" s="12" t="s">
        <v>997</v>
      </c>
      <c r="H984" s="13"/>
      <c r="I984" s="13"/>
      <c r="J984" s="13">
        <v>347</v>
      </c>
      <c r="K984" s="13">
        <v>671</v>
      </c>
      <c r="L984" s="13">
        <v>92</v>
      </c>
      <c r="M984" s="13"/>
      <c r="N984" s="13">
        <v>352</v>
      </c>
      <c r="O984" s="13">
        <v>66</v>
      </c>
      <c r="P984" s="13">
        <v>23</v>
      </c>
      <c r="Q984" s="13">
        <v>80</v>
      </c>
      <c r="R984" s="13"/>
      <c r="S984" s="13">
        <v>65</v>
      </c>
      <c r="T984" s="13">
        <v>588</v>
      </c>
      <c r="U984" s="13">
        <v>14</v>
      </c>
      <c r="V984" s="13">
        <v>40</v>
      </c>
      <c r="W984" s="13"/>
      <c r="X984" s="13">
        <v>21</v>
      </c>
      <c r="Y984" s="13">
        <v>3</v>
      </c>
      <c r="Z984" s="13"/>
      <c r="AA984" s="13">
        <v>54</v>
      </c>
      <c r="AB984" s="13"/>
      <c r="AC984" s="14">
        <v>445.94594594594599</v>
      </c>
      <c r="AD984" s="14">
        <v>408.5257548845471</v>
      </c>
      <c r="AE984" s="14">
        <v>402.01005025125625</v>
      </c>
      <c r="AF984" s="14"/>
      <c r="AG984" s="15">
        <v>0.96355413893326503</v>
      </c>
      <c r="AH984" s="15">
        <v>0.96485016577805904</v>
      </c>
      <c r="AI984" s="15"/>
      <c r="AJ984" s="41">
        <f t="shared" si="30"/>
        <v>1462</v>
      </c>
      <c r="AK984" s="44"/>
      <c r="AL984" s="10"/>
      <c r="AM984" s="10"/>
    </row>
    <row r="985" spans="1:39" s="16" customFormat="1" ht="19" customHeight="1">
      <c r="A985" s="9" t="s">
        <v>1002</v>
      </c>
      <c r="B985" s="10" t="s">
        <v>1003</v>
      </c>
      <c r="C985" s="10"/>
      <c r="D985" s="10"/>
      <c r="E985" s="20" t="s">
        <v>141</v>
      </c>
      <c r="F985" s="20" t="s">
        <v>249</v>
      </c>
      <c r="G985" s="12" t="s">
        <v>997</v>
      </c>
      <c r="H985" s="13"/>
      <c r="I985" s="13"/>
      <c r="J985" s="13">
        <v>371</v>
      </c>
      <c r="K985" s="13">
        <v>623</v>
      </c>
      <c r="L985" s="13">
        <v>91</v>
      </c>
      <c r="M985" s="13"/>
      <c r="N985" s="13">
        <v>319</v>
      </c>
      <c r="O985" s="13">
        <v>62</v>
      </c>
      <c r="P985" s="13">
        <v>26</v>
      </c>
      <c r="Q985" s="13">
        <v>67</v>
      </c>
      <c r="R985" s="13"/>
      <c r="S985" s="13">
        <v>54</v>
      </c>
      <c r="T985" s="13">
        <v>564</v>
      </c>
      <c r="U985" s="13">
        <v>12</v>
      </c>
      <c r="V985" s="13">
        <v>33</v>
      </c>
      <c r="W985" s="13"/>
      <c r="X985" s="13">
        <v>19</v>
      </c>
      <c r="Y985" s="13">
        <v>3</v>
      </c>
      <c r="Z985" s="13"/>
      <c r="AA985" s="13">
        <v>46</v>
      </c>
      <c r="AB985" s="13"/>
      <c r="AC985" s="14">
        <v>418.91891891891896</v>
      </c>
      <c r="AD985" s="14">
        <v>461.81172291296627</v>
      </c>
      <c r="AE985" s="14">
        <v>336.6834170854271</v>
      </c>
      <c r="AF985" s="14"/>
      <c r="AG985" s="15">
        <v>1.2223671127197522</v>
      </c>
      <c r="AH985" s="15">
        <v>1.229671486914953</v>
      </c>
      <c r="AI985" s="15"/>
      <c r="AJ985" s="41">
        <f t="shared" si="30"/>
        <v>1404</v>
      </c>
      <c r="AK985" s="44"/>
      <c r="AL985" s="10"/>
      <c r="AM985" s="10"/>
    </row>
    <row r="986" spans="1:39" s="16" customFormat="1" ht="19" customHeight="1">
      <c r="A986" s="9" t="s">
        <v>1004</v>
      </c>
      <c r="B986" s="10" t="s">
        <v>1005</v>
      </c>
      <c r="C986" s="10"/>
      <c r="D986" s="10"/>
      <c r="E986" s="37" t="s">
        <v>953</v>
      </c>
      <c r="F986" s="37" t="s">
        <v>249</v>
      </c>
      <c r="G986" s="12" t="s">
        <v>1006</v>
      </c>
      <c r="H986" s="13">
        <v>130.37731644867833</v>
      </c>
      <c r="I986" s="13">
        <v>17.008086941482215</v>
      </c>
      <c r="J986" s="13">
        <v>3664.7724234012221</v>
      </c>
      <c r="K986" s="13">
        <v>6851.4359918059235</v>
      </c>
      <c r="L986" s="13">
        <v>770.36202622921962</v>
      </c>
      <c r="M986" s="13">
        <v>4097.571692768196</v>
      </c>
      <c r="N986" s="13">
        <v>2881.7663666270946</v>
      </c>
      <c r="O986" s="13">
        <v>431.74085246703697</v>
      </c>
      <c r="P986" s="13">
        <v>83.305451029923574</v>
      </c>
      <c r="Q986" s="13">
        <v>301.38176498637836</v>
      </c>
      <c r="R986" s="13"/>
      <c r="S986" s="13">
        <v>134.36886103064776</v>
      </c>
      <c r="T986" s="13">
        <v>610.92892465176624</v>
      </c>
      <c r="U986" s="13"/>
      <c r="V986" s="13"/>
      <c r="W986" s="13"/>
      <c r="X986" s="13">
        <v>25.923046700046395</v>
      </c>
      <c r="Y986" s="13">
        <v>2.7501367480271006</v>
      </c>
      <c r="Z986" s="13">
        <v>126.07783531854754</v>
      </c>
      <c r="AA986" s="13"/>
      <c r="AB986" s="13"/>
      <c r="AC986" s="14">
        <v>2917.1679220745741</v>
      </c>
      <c r="AD986" s="14">
        <v>1479.6705333911825</v>
      </c>
      <c r="AE986" s="14">
        <v>1514.4812310873283</v>
      </c>
      <c r="AF986" s="14"/>
      <c r="AG986" s="15">
        <v>0.66777422230524008</v>
      </c>
      <c r="AH986" s="15">
        <v>0.7039671000187131</v>
      </c>
      <c r="AI986" s="15"/>
      <c r="AJ986" s="41">
        <f t="shared" si="30"/>
        <v>14168.336808063459</v>
      </c>
      <c r="AK986" s="44">
        <f t="shared" ref="AK986:AK1029" si="31">M986/T986</f>
        <v>6.7071168632322333</v>
      </c>
      <c r="AL986" s="10"/>
      <c r="AM986" s="10"/>
    </row>
    <row r="987" spans="1:39" s="16" customFormat="1" ht="19" customHeight="1">
      <c r="A987" s="9" t="s">
        <v>1007</v>
      </c>
      <c r="B987" s="10" t="s">
        <v>1005</v>
      </c>
      <c r="C987" s="10"/>
      <c r="D987" s="10"/>
      <c r="E987" s="37" t="s">
        <v>953</v>
      </c>
      <c r="F987" s="37" t="s">
        <v>249</v>
      </c>
      <c r="G987" s="12" t="s">
        <v>1006</v>
      </c>
      <c r="H987" s="13">
        <v>107.10476936991593</v>
      </c>
      <c r="I987" s="13">
        <v>11.349117976099906</v>
      </c>
      <c r="J987" s="13">
        <v>2933.1677525847135</v>
      </c>
      <c r="K987" s="13">
        <v>4691.9726078776666</v>
      </c>
      <c r="L987" s="13">
        <v>462.84207804025891</v>
      </c>
      <c r="M987" s="13">
        <v>3702.0920019368714</v>
      </c>
      <c r="N987" s="13">
        <v>1624.8433725416235</v>
      </c>
      <c r="O987" s="13">
        <v>222.94941493565702</v>
      </c>
      <c r="P987" s="13">
        <v>53.278584684805786</v>
      </c>
      <c r="Q987" s="13">
        <v>171.28354724160656</v>
      </c>
      <c r="R987" s="13"/>
      <c r="S987" s="13">
        <v>81.388115554906179</v>
      </c>
      <c r="T987" s="13">
        <v>431.34943908210869</v>
      </c>
      <c r="U987" s="13"/>
      <c r="V987" s="13"/>
      <c r="W987" s="13"/>
      <c r="X987" s="13">
        <v>21.465773865423657</v>
      </c>
      <c r="Y987" s="13">
        <v>2.3722718623209262</v>
      </c>
      <c r="Z987" s="13">
        <v>66.123022647605438</v>
      </c>
      <c r="AA987" s="13"/>
      <c r="AB987" s="13"/>
      <c r="AC987" s="14">
        <v>1506.4149657814664</v>
      </c>
      <c r="AD987" s="14">
        <v>946.33365337132841</v>
      </c>
      <c r="AE987" s="14">
        <v>860.72134292264593</v>
      </c>
      <c r="AF987" s="14"/>
      <c r="AG987" s="15">
        <v>0.79955991540630655</v>
      </c>
      <c r="AH987" s="15">
        <v>0.83107589854162955</v>
      </c>
      <c r="AI987" s="15"/>
      <c r="AJ987" s="41">
        <f t="shared" si="30"/>
        <v>9712.8258110442621</v>
      </c>
      <c r="AK987" s="44">
        <f t="shared" si="31"/>
        <v>8.5825821631175625</v>
      </c>
      <c r="AL987" s="10"/>
      <c r="AM987" s="10"/>
    </row>
    <row r="988" spans="1:39" s="16" customFormat="1" ht="19" customHeight="1">
      <c r="A988" s="9" t="s">
        <v>1008</v>
      </c>
      <c r="B988" s="10" t="s">
        <v>1005</v>
      </c>
      <c r="C988" s="10"/>
      <c r="D988" s="10"/>
      <c r="E988" s="37" t="s">
        <v>953</v>
      </c>
      <c r="F988" s="37" t="s">
        <v>249</v>
      </c>
      <c r="G988" s="12" t="s">
        <v>1006</v>
      </c>
      <c r="H988" s="13">
        <v>68.831143006407203</v>
      </c>
      <c r="I988" s="13">
        <v>8.943403804846902</v>
      </c>
      <c r="J988" s="13">
        <v>2553.9382189994553</v>
      </c>
      <c r="K988" s="13">
        <v>4780.7762457115214</v>
      </c>
      <c r="L988" s="13">
        <v>533.76333742321492</v>
      </c>
      <c r="M988" s="13">
        <v>3701.1701278722121</v>
      </c>
      <c r="N988" s="13">
        <v>1986.4672312236687</v>
      </c>
      <c r="O988" s="13">
        <v>293.86533213349645</v>
      </c>
      <c r="P988" s="13">
        <v>54.06371363273152</v>
      </c>
      <c r="Q988" s="13">
        <v>223.82897663758445</v>
      </c>
      <c r="R988" s="13"/>
      <c r="S988" s="13">
        <v>93.459571799308264</v>
      </c>
      <c r="T988" s="13">
        <v>423.88198502258996</v>
      </c>
      <c r="U988" s="13"/>
      <c r="V988" s="13"/>
      <c r="W988" s="13"/>
      <c r="X988" s="13">
        <v>16.249466714702098</v>
      </c>
      <c r="Y988" s="13">
        <v>1.7000992019544539</v>
      </c>
      <c r="Z988" s="13">
        <v>103.14176020390886</v>
      </c>
      <c r="AA988" s="13"/>
      <c r="AB988" s="13"/>
      <c r="AC988" s="14">
        <v>1985.5765684695707</v>
      </c>
      <c r="AD988" s="14">
        <v>960.27910537711409</v>
      </c>
      <c r="AE988" s="14">
        <v>1124.7687268220322</v>
      </c>
      <c r="AF988" s="14"/>
      <c r="AG988" s="15">
        <v>0.61747427646105468</v>
      </c>
      <c r="AH988" s="15">
        <v>0.64257310375365717</v>
      </c>
      <c r="AI988" s="15"/>
      <c r="AJ988" s="41">
        <f t="shared" si="30"/>
        <v>9854.9450333578588</v>
      </c>
      <c r="AK988" s="44">
        <f t="shared" si="31"/>
        <v>8.7316051605141123</v>
      </c>
      <c r="AL988" s="10"/>
      <c r="AM988" s="10"/>
    </row>
    <row r="989" spans="1:39" s="16" customFormat="1" ht="19" customHeight="1">
      <c r="A989" s="9" t="s">
        <v>1009</v>
      </c>
      <c r="B989" s="10" t="s">
        <v>1005</v>
      </c>
      <c r="C989" s="10"/>
      <c r="D989" s="10"/>
      <c r="E989" s="37" t="s">
        <v>953</v>
      </c>
      <c r="F989" s="37" t="s">
        <v>249</v>
      </c>
      <c r="G989" s="12" t="s">
        <v>1006</v>
      </c>
      <c r="H989" s="13">
        <v>85.71158759530833</v>
      </c>
      <c r="I989" s="13">
        <v>10.957291397661489</v>
      </c>
      <c r="J989" s="13">
        <v>2865.7344314515158</v>
      </c>
      <c r="K989" s="13">
        <v>5527.4330312476814</v>
      </c>
      <c r="L989" s="13">
        <v>602.3576472562479</v>
      </c>
      <c r="M989" s="13">
        <v>3768.1357132573416</v>
      </c>
      <c r="N989" s="13">
        <v>2272.6198588110537</v>
      </c>
      <c r="O989" s="13">
        <v>341.40661890047727</v>
      </c>
      <c r="P989" s="13">
        <v>62.280798689101118</v>
      </c>
      <c r="Q989" s="13">
        <v>251.2711253333716</v>
      </c>
      <c r="R989" s="13"/>
      <c r="S989" s="13">
        <v>106.93534954922595</v>
      </c>
      <c r="T989" s="13">
        <v>468.26913893292942</v>
      </c>
      <c r="U989" s="13"/>
      <c r="V989" s="13"/>
      <c r="W989" s="13"/>
      <c r="X989" s="13">
        <v>21.2611446125835</v>
      </c>
      <c r="Y989" s="13">
        <v>2.0593745941457899</v>
      </c>
      <c r="Z989" s="13">
        <v>86.449791715936897</v>
      </c>
      <c r="AA989" s="13"/>
      <c r="AB989" s="13"/>
      <c r="AC989" s="14">
        <v>2306.8014790572788</v>
      </c>
      <c r="AD989" s="14">
        <v>1106.2308825772845</v>
      </c>
      <c r="AE989" s="14">
        <v>1262.6689715244804</v>
      </c>
      <c r="AF989" s="14"/>
      <c r="AG989" s="15">
        <v>0.61982913033892129</v>
      </c>
      <c r="AH989" s="15">
        <v>0.64818042866909309</v>
      </c>
      <c r="AI989" s="15"/>
      <c r="AJ989" s="41">
        <f t="shared" si="30"/>
        <v>11268.144968766497</v>
      </c>
      <c r="AK989" s="44">
        <f t="shared" si="31"/>
        <v>8.0469443744338971</v>
      </c>
      <c r="AL989" s="10"/>
      <c r="AM989" s="10"/>
    </row>
    <row r="990" spans="1:39" s="16" customFormat="1" ht="19" customHeight="1">
      <c r="A990" s="9" t="s">
        <v>1010</v>
      </c>
      <c r="B990" s="10" t="s">
        <v>1005</v>
      </c>
      <c r="C990" s="10"/>
      <c r="D990" s="10"/>
      <c r="E990" s="37" t="s">
        <v>953</v>
      </c>
      <c r="F990" s="37" t="s">
        <v>249</v>
      </c>
      <c r="G990" s="12" t="s">
        <v>1006</v>
      </c>
      <c r="H990" s="13">
        <v>95.670795998801367</v>
      </c>
      <c r="I990" s="13">
        <v>11.486946947938932</v>
      </c>
      <c r="J990" s="13">
        <v>3027.3997485125965</v>
      </c>
      <c r="K990" s="13">
        <v>5957.4911687229342</v>
      </c>
      <c r="L990" s="13">
        <v>638.6964709293585</v>
      </c>
      <c r="M990" s="13">
        <v>4014.0588720960022</v>
      </c>
      <c r="N990" s="13">
        <v>2488.4982759408367</v>
      </c>
      <c r="O990" s="13">
        <v>383.27818226637424</v>
      </c>
      <c r="P990" s="13">
        <v>66.222279953590373</v>
      </c>
      <c r="Q990" s="13">
        <v>267.74886734221303</v>
      </c>
      <c r="R990" s="13"/>
      <c r="S990" s="13">
        <v>119.81537030672945</v>
      </c>
      <c r="T990" s="13">
        <v>483.5156070407258</v>
      </c>
      <c r="U990" s="13"/>
      <c r="V990" s="13"/>
      <c r="W990" s="13"/>
      <c r="X990" s="13">
        <v>19.927508095762018</v>
      </c>
      <c r="Y990" s="13">
        <v>2.4302318788821746</v>
      </c>
      <c r="Z990" s="13">
        <v>91.743394629702578</v>
      </c>
      <c r="AA990" s="13"/>
      <c r="AB990" s="13"/>
      <c r="AC990" s="14">
        <v>2589.717447745772</v>
      </c>
      <c r="AD990" s="14">
        <v>1176.2394307920138</v>
      </c>
      <c r="AE990" s="14">
        <v>1345.471695187</v>
      </c>
      <c r="AF990" s="14"/>
      <c r="AG990" s="15">
        <v>0.59780579182803895</v>
      </c>
      <c r="AH990" s="15">
        <v>0.63013305158409127</v>
      </c>
      <c r="AI990" s="15"/>
      <c r="AJ990" s="41">
        <f t="shared" si="30"/>
        <v>12112.085664105725</v>
      </c>
      <c r="AK990" s="44">
        <f t="shared" si="31"/>
        <v>8.3018186251801875</v>
      </c>
      <c r="AL990" s="10"/>
      <c r="AM990" s="10"/>
    </row>
    <row r="991" spans="1:39" s="16" customFormat="1" ht="19" customHeight="1">
      <c r="A991" s="9" t="s">
        <v>1011</v>
      </c>
      <c r="B991" s="10" t="s">
        <v>1005</v>
      </c>
      <c r="C991" s="10"/>
      <c r="D991" s="10"/>
      <c r="E991" s="37" t="s">
        <v>953</v>
      </c>
      <c r="F991" s="37" t="s">
        <v>249</v>
      </c>
      <c r="G991" s="12" t="s">
        <v>1006</v>
      </c>
      <c r="H991" s="13">
        <v>77.248101878382755</v>
      </c>
      <c r="I991" s="13">
        <v>10.594474079781078</v>
      </c>
      <c r="J991" s="13">
        <v>2745.575241588173</v>
      </c>
      <c r="K991" s="13">
        <v>5198.2948413999975</v>
      </c>
      <c r="L991" s="13">
        <v>560.76182530909011</v>
      </c>
      <c r="M991" s="13">
        <v>4059.5376526150199</v>
      </c>
      <c r="N991" s="13">
        <v>2106.3374640932275</v>
      </c>
      <c r="O991" s="13">
        <v>315.01557525133501</v>
      </c>
      <c r="P991" s="13">
        <v>61.674296378758164</v>
      </c>
      <c r="Q991" s="13">
        <v>229.87119455953308</v>
      </c>
      <c r="R991" s="13"/>
      <c r="S991" s="13">
        <v>95.794039222437476</v>
      </c>
      <c r="T991" s="13">
        <v>450.35337560150356</v>
      </c>
      <c r="U991" s="13"/>
      <c r="V991" s="13"/>
      <c r="W991" s="13"/>
      <c r="X991" s="13">
        <v>17.577016155262676</v>
      </c>
      <c r="Y991" s="13">
        <v>1.9717192727127795</v>
      </c>
      <c r="Z991" s="13">
        <v>110.3898600673695</v>
      </c>
      <c r="AA991" s="13"/>
      <c r="AB991" s="13"/>
      <c r="AC991" s="14">
        <v>2128.4836165630745</v>
      </c>
      <c r="AD991" s="14">
        <v>1095.4581950045856</v>
      </c>
      <c r="AE991" s="14">
        <v>1155.1316309524275</v>
      </c>
      <c r="AF991" s="14"/>
      <c r="AG991" s="15">
        <v>0.66722689013790359</v>
      </c>
      <c r="AH991" s="15">
        <v>0.69862627407476863</v>
      </c>
      <c r="AI991" s="15"/>
      <c r="AJ991" s="41">
        <f t="shared" si="30"/>
        <v>10610.969372390487</v>
      </c>
      <c r="AK991" s="44">
        <f t="shared" si="31"/>
        <v>9.0141161864124957</v>
      </c>
      <c r="AL991" s="10"/>
      <c r="AM991" s="10"/>
    </row>
    <row r="992" spans="1:39" s="16" customFormat="1" ht="19" customHeight="1">
      <c r="A992" s="9" t="s">
        <v>1012</v>
      </c>
      <c r="B992" s="10" t="s">
        <v>1005</v>
      </c>
      <c r="C992" s="10"/>
      <c r="D992" s="10"/>
      <c r="E992" s="37" t="s">
        <v>953</v>
      </c>
      <c r="F992" s="37" t="s">
        <v>249</v>
      </c>
      <c r="G992" s="12" t="s">
        <v>1006</v>
      </c>
      <c r="H992" s="13">
        <v>78.00410301105569</v>
      </c>
      <c r="I992" s="13">
        <v>10.757058894534696</v>
      </c>
      <c r="J992" s="13">
        <v>2648.3421161851679</v>
      </c>
      <c r="K992" s="13">
        <v>4981.4446440780939</v>
      </c>
      <c r="L992" s="13">
        <v>552.74915031653347</v>
      </c>
      <c r="M992" s="13">
        <v>3788.1205940326977</v>
      </c>
      <c r="N992" s="13">
        <v>2080.4584843224939</v>
      </c>
      <c r="O992" s="13">
        <v>304.34159935337277</v>
      </c>
      <c r="P992" s="13">
        <v>59.21329317278402</v>
      </c>
      <c r="Q992" s="13">
        <v>222.01249862093167</v>
      </c>
      <c r="R992" s="13"/>
      <c r="S992" s="13">
        <v>96.726389696907205</v>
      </c>
      <c r="T992" s="13">
        <v>430.68205692264019</v>
      </c>
      <c r="U992" s="13"/>
      <c r="V992" s="13"/>
      <c r="W992" s="13"/>
      <c r="X992" s="13">
        <v>17.685081146131864</v>
      </c>
      <c r="Y992" s="13">
        <v>1.5866967276595818</v>
      </c>
      <c r="Z992" s="13">
        <v>106.0645981670465</v>
      </c>
      <c r="AA992" s="13"/>
      <c r="AB992" s="13"/>
      <c r="AC992" s="14">
        <v>2056.3621577930594</v>
      </c>
      <c r="AD992" s="14">
        <v>1051.7458822874605</v>
      </c>
      <c r="AE992" s="14">
        <v>1115.6406965875963</v>
      </c>
      <c r="AF992" s="14"/>
      <c r="AG992" s="15">
        <v>0.66314308692059321</v>
      </c>
      <c r="AH992" s="15">
        <v>0.69438262407167806</v>
      </c>
      <c r="AI992" s="15"/>
      <c r="AJ992" s="41">
        <f t="shared" si="30"/>
        <v>10262.994394902289</v>
      </c>
      <c r="AK992" s="44">
        <f t="shared" si="31"/>
        <v>8.7956313320782851</v>
      </c>
      <c r="AL992" s="10"/>
      <c r="AM992" s="10"/>
    </row>
    <row r="993" spans="1:39" s="16" customFormat="1" ht="19" customHeight="1">
      <c r="A993" s="9" t="s">
        <v>1013</v>
      </c>
      <c r="B993" s="10" t="s">
        <v>1005</v>
      </c>
      <c r="C993" s="10"/>
      <c r="D993" s="10"/>
      <c r="E993" s="37" t="s">
        <v>953</v>
      </c>
      <c r="F993" s="37" t="s">
        <v>249</v>
      </c>
      <c r="G993" s="12" t="s">
        <v>1006</v>
      </c>
      <c r="H993" s="13">
        <v>91.428091289147801</v>
      </c>
      <c r="I993" s="13">
        <v>10.001665502456818</v>
      </c>
      <c r="J993" s="13">
        <v>2822.1136186193489</v>
      </c>
      <c r="K993" s="13">
        <v>4868.1004819407872</v>
      </c>
      <c r="L993" s="13">
        <v>495.03731903412967</v>
      </c>
      <c r="M993" s="13">
        <v>3763.9974656803852</v>
      </c>
      <c r="N993" s="13">
        <v>1803.9956063697944</v>
      </c>
      <c r="O993" s="13">
        <v>274.53919081628936</v>
      </c>
      <c r="P993" s="13">
        <v>59.316803073347835</v>
      </c>
      <c r="Q993" s="13">
        <v>204.93520874125062</v>
      </c>
      <c r="R993" s="13"/>
      <c r="S993" s="13">
        <v>86.736150639054173</v>
      </c>
      <c r="T993" s="13">
        <v>448.88947734820817</v>
      </c>
      <c r="U993" s="13"/>
      <c r="V993" s="13"/>
      <c r="W993" s="13"/>
      <c r="X993" s="13">
        <v>20.932760369499764</v>
      </c>
      <c r="Y993" s="13">
        <v>2.0769517203960928</v>
      </c>
      <c r="Z993" s="13">
        <v>76.7110493217954</v>
      </c>
      <c r="AA993" s="13"/>
      <c r="AB993" s="13"/>
      <c r="AC993" s="14">
        <v>1854.9945325424958</v>
      </c>
      <c r="AD993" s="14">
        <v>1053.5844240381498</v>
      </c>
      <c r="AE993" s="14">
        <v>1029.8251695540232</v>
      </c>
      <c r="AF993" s="14"/>
      <c r="AG993" s="15">
        <v>0.73043346402027554</v>
      </c>
      <c r="AH993" s="15">
        <v>0.76228306849478134</v>
      </c>
      <c r="AI993" s="15"/>
      <c r="AJ993" s="41">
        <f t="shared" si="30"/>
        <v>9989.2470259640595</v>
      </c>
      <c r="AK993" s="44">
        <f t="shared" si="31"/>
        <v>8.3851318768174501</v>
      </c>
      <c r="AL993" s="10"/>
      <c r="AM993" s="10"/>
    </row>
    <row r="994" spans="1:39" s="16" customFormat="1" ht="19" customHeight="1">
      <c r="A994" s="9" t="s">
        <v>1014</v>
      </c>
      <c r="B994" s="10" t="s">
        <v>1005</v>
      </c>
      <c r="C994" s="10"/>
      <c r="D994" s="10"/>
      <c r="E994" s="37" t="s">
        <v>953</v>
      </c>
      <c r="F994" s="37" t="s">
        <v>249</v>
      </c>
      <c r="G994" s="12" t="s">
        <v>1006</v>
      </c>
      <c r="H994" s="13">
        <v>78.231431043662056</v>
      </c>
      <c r="I994" s="13">
        <v>10.444167661120211</v>
      </c>
      <c r="J994" s="13">
        <v>2425.2403610570836</v>
      </c>
      <c r="K994" s="13">
        <v>4468.1615192185127</v>
      </c>
      <c r="L994" s="13">
        <v>468.8298106390132</v>
      </c>
      <c r="M994" s="13">
        <v>4119.5833488150583</v>
      </c>
      <c r="N994" s="13">
        <v>1743.7471713643504</v>
      </c>
      <c r="O994" s="13">
        <v>257.37399061190416</v>
      </c>
      <c r="P994" s="13">
        <v>51.908107796981518</v>
      </c>
      <c r="Q994" s="13">
        <v>192.19130967466566</v>
      </c>
      <c r="R994" s="13"/>
      <c r="S994" s="13">
        <v>80.117124512441592</v>
      </c>
      <c r="T994" s="13">
        <v>382.4426540041564</v>
      </c>
      <c r="U994" s="13"/>
      <c r="V994" s="13"/>
      <c r="W994" s="13"/>
      <c r="X994" s="13">
        <v>16.017267823589165</v>
      </c>
      <c r="Y994" s="13">
        <v>1.7391077374190225</v>
      </c>
      <c r="Z994" s="13">
        <v>91.56391864869525</v>
      </c>
      <c r="AA994" s="13"/>
      <c r="AB994" s="13"/>
      <c r="AC994" s="14">
        <v>1739.0134500804336</v>
      </c>
      <c r="AD994" s="14">
        <v>921.99125749523125</v>
      </c>
      <c r="AE994" s="14">
        <v>965.7854757520887</v>
      </c>
      <c r="AF994" s="14"/>
      <c r="AG994" s="15">
        <v>0.68174476756082514</v>
      </c>
      <c r="AH994" s="15">
        <v>0.71143462406878355</v>
      </c>
      <c r="AI994" s="15"/>
      <c r="AJ994" s="41">
        <f t="shared" si="30"/>
        <v>9105.9788622789602</v>
      </c>
      <c r="AK994" s="44">
        <f t="shared" si="31"/>
        <v>10.771767494245783</v>
      </c>
      <c r="AL994" s="10"/>
      <c r="AM994" s="10"/>
    </row>
    <row r="995" spans="1:39" s="16" customFormat="1" ht="19" customHeight="1">
      <c r="A995" s="9" t="s">
        <v>1015</v>
      </c>
      <c r="B995" s="10" t="s">
        <v>1005</v>
      </c>
      <c r="C995" s="10"/>
      <c r="D995" s="10"/>
      <c r="E995" s="37" t="s">
        <v>953</v>
      </c>
      <c r="F995" s="37" t="s">
        <v>249</v>
      </c>
      <c r="G995" s="12" t="s">
        <v>1006</v>
      </c>
      <c r="H995" s="13">
        <v>65.85265591614754</v>
      </c>
      <c r="I995" s="13">
        <v>8.7113898683850657</v>
      </c>
      <c r="J995" s="13">
        <v>2373.9974923169875</v>
      </c>
      <c r="K995" s="13">
        <v>4330.5225216015924</v>
      </c>
      <c r="L995" s="13">
        <v>493.66770719568018</v>
      </c>
      <c r="M995" s="13">
        <v>3784.4944611856608</v>
      </c>
      <c r="N995" s="13">
        <v>1752.6561502408426</v>
      </c>
      <c r="O995" s="13">
        <v>264.74555590020429</v>
      </c>
      <c r="P995" s="13">
        <v>52.786401073182489</v>
      </c>
      <c r="Q995" s="13">
        <v>181.48903614373233</v>
      </c>
      <c r="R995" s="13"/>
      <c r="S995" s="13">
        <v>81.693561999630617</v>
      </c>
      <c r="T995" s="13">
        <v>374.03045532801582</v>
      </c>
      <c r="U995" s="13"/>
      <c r="V995" s="13"/>
      <c r="W995" s="13"/>
      <c r="X995" s="13">
        <v>15.748450584110874</v>
      </c>
      <c r="Y995" s="13">
        <v>1.3518070778802846</v>
      </c>
      <c r="Z995" s="13">
        <v>87.784543020881301</v>
      </c>
      <c r="AA995" s="13"/>
      <c r="AB995" s="13"/>
      <c r="AC995" s="14">
        <v>1788.8213236500292</v>
      </c>
      <c r="AD995" s="14">
        <v>937.59149330697142</v>
      </c>
      <c r="AE995" s="14">
        <v>912.00520675242376</v>
      </c>
      <c r="AF995" s="14"/>
      <c r="AG995" s="15">
        <v>0.69429967660104397</v>
      </c>
      <c r="AH995" s="15">
        <v>0.7340599298290712</v>
      </c>
      <c r="AI995" s="15"/>
      <c r="AJ995" s="41">
        <f t="shared" si="30"/>
        <v>8950.8438713551022</v>
      </c>
      <c r="AK995" s="44">
        <f t="shared" si="31"/>
        <v>10.118145213246738</v>
      </c>
      <c r="AL995" s="10"/>
      <c r="AM995" s="10"/>
    </row>
    <row r="996" spans="1:39" s="16" customFormat="1" ht="19" customHeight="1">
      <c r="A996" s="9" t="s">
        <v>1016</v>
      </c>
      <c r="B996" s="10" t="s">
        <v>1005</v>
      </c>
      <c r="C996" s="10"/>
      <c r="D996" s="10"/>
      <c r="E996" s="37" t="s">
        <v>953</v>
      </c>
      <c r="F996" s="37" t="s">
        <v>249</v>
      </c>
      <c r="G996" s="12" t="s">
        <v>1006</v>
      </c>
      <c r="H996" s="13">
        <v>90.848970155145125</v>
      </c>
      <c r="I996" s="13">
        <v>10.792768626481093</v>
      </c>
      <c r="J996" s="13">
        <v>2839.2127415208033</v>
      </c>
      <c r="K996" s="13">
        <v>5094.9343367355477</v>
      </c>
      <c r="L996" s="13">
        <v>542.57496819392657</v>
      </c>
      <c r="M996" s="13">
        <v>3781.3522443036431</v>
      </c>
      <c r="N996" s="13">
        <v>1944.2451528092524</v>
      </c>
      <c r="O996" s="13">
        <v>298.05040893254437</v>
      </c>
      <c r="P996" s="13">
        <v>60.598144829796695</v>
      </c>
      <c r="Q996" s="13">
        <v>207.37840732995733</v>
      </c>
      <c r="R996" s="13"/>
      <c r="S996" s="13">
        <v>89.401198311739066</v>
      </c>
      <c r="T996" s="13">
        <v>440.87406952061519</v>
      </c>
      <c r="U996" s="13"/>
      <c r="V996" s="13"/>
      <c r="W996" s="13"/>
      <c r="X996" s="13">
        <v>21.966667767120782</v>
      </c>
      <c r="Y996" s="13">
        <v>1.6326202674242865</v>
      </c>
      <c r="Z996" s="13">
        <v>95.947491270674064</v>
      </c>
      <c r="AA996" s="13"/>
      <c r="AB996" s="13"/>
      <c r="AC996" s="14">
        <v>2013.8541144090836</v>
      </c>
      <c r="AD996" s="14">
        <v>1076.3436026606873</v>
      </c>
      <c r="AE996" s="14">
        <v>1042.1025493967704</v>
      </c>
      <c r="AF996" s="14"/>
      <c r="AG996" s="15">
        <v>0.70442334173693488</v>
      </c>
      <c r="AH996" s="15">
        <v>0.7429878321251403</v>
      </c>
      <c r="AI996" s="15"/>
      <c r="AJ996" s="41">
        <f t="shared" si="30"/>
        <v>10420.967199259529</v>
      </c>
      <c r="AK996" s="44">
        <f t="shared" si="31"/>
        <v>8.5769440883998911</v>
      </c>
      <c r="AL996" s="10"/>
      <c r="AM996" s="10"/>
    </row>
    <row r="997" spans="1:39" s="16" customFormat="1" ht="19" customHeight="1">
      <c r="A997" s="9" t="s">
        <v>1017</v>
      </c>
      <c r="B997" s="10" t="s">
        <v>1005</v>
      </c>
      <c r="C997" s="10"/>
      <c r="D997" s="10"/>
      <c r="E997" s="37" t="s">
        <v>953</v>
      </c>
      <c r="F997" s="37" t="s">
        <v>249</v>
      </c>
      <c r="G997" s="12" t="s">
        <v>1006</v>
      </c>
      <c r="H997" s="13">
        <v>68.074244178206513</v>
      </c>
      <c r="I997" s="13">
        <v>9.1118936846296172</v>
      </c>
      <c r="J997" s="13">
        <v>2294.6766947759302</v>
      </c>
      <c r="K997" s="13">
        <v>4047.9899022363002</v>
      </c>
      <c r="L997" s="13">
        <v>433.67114002310694</v>
      </c>
      <c r="M997" s="13">
        <v>3887.7156245959404</v>
      </c>
      <c r="N997" s="13">
        <v>1578.7792199067362</v>
      </c>
      <c r="O997" s="13">
        <v>235.64485342684523</v>
      </c>
      <c r="P997" s="13">
        <v>48.7698132908099</v>
      </c>
      <c r="Q997" s="13">
        <v>174.37930278854967</v>
      </c>
      <c r="R997" s="13"/>
      <c r="S997" s="13">
        <v>74.622268592737043</v>
      </c>
      <c r="T997" s="13">
        <v>364.78524721171016</v>
      </c>
      <c r="U997" s="13"/>
      <c r="V997" s="13"/>
      <c r="W997" s="13"/>
      <c r="X997" s="13">
        <v>16.455188989377277</v>
      </c>
      <c r="Y997" s="13">
        <v>1.7985112450008298</v>
      </c>
      <c r="Z997" s="13">
        <v>75.298809414872011</v>
      </c>
      <c r="AA997" s="13"/>
      <c r="AB997" s="13"/>
      <c r="AC997" s="14">
        <v>1592.1949555867923</v>
      </c>
      <c r="AD997" s="14">
        <v>866.24890392202315</v>
      </c>
      <c r="AE997" s="14">
        <v>876.27790346004849</v>
      </c>
      <c r="AF997" s="14"/>
      <c r="AG997" s="15">
        <v>0.70185005336174577</v>
      </c>
      <c r="AH997" s="15">
        <v>0.73337085401789759</v>
      </c>
      <c r="AI997" s="15"/>
      <c r="AJ997" s="41">
        <f t="shared" si="30"/>
        <v>8355.1169569420745</v>
      </c>
      <c r="AK997" s="44">
        <f t="shared" si="31"/>
        <v>10.657546198242029</v>
      </c>
      <c r="AL997" s="10"/>
      <c r="AM997" s="10"/>
    </row>
    <row r="998" spans="1:39" s="16" customFormat="1" ht="19" customHeight="1">
      <c r="A998" s="9" t="s">
        <v>1018</v>
      </c>
      <c r="B998" s="10" t="s">
        <v>1005</v>
      </c>
      <c r="C998" s="10"/>
      <c r="D998" s="10"/>
      <c r="E998" s="37" t="s">
        <v>953</v>
      </c>
      <c r="F998" s="37" t="s">
        <v>249</v>
      </c>
      <c r="G998" s="12" t="s">
        <v>1006</v>
      </c>
      <c r="H998" s="13">
        <v>70.547276946550937</v>
      </c>
      <c r="I998" s="13">
        <v>9.0059321035066731</v>
      </c>
      <c r="J998" s="13">
        <v>2536.4472012277015</v>
      </c>
      <c r="K998" s="13">
        <v>4530.1698447734461</v>
      </c>
      <c r="L998" s="13">
        <v>478.47355367655814</v>
      </c>
      <c r="M998" s="13">
        <v>3924.5687871958808</v>
      </c>
      <c r="N998" s="13">
        <v>1756.4600169257481</v>
      </c>
      <c r="O998" s="13">
        <v>259.79958201814134</v>
      </c>
      <c r="P998" s="13">
        <v>54.562102747353791</v>
      </c>
      <c r="Q998" s="13">
        <v>189.86349972777546</v>
      </c>
      <c r="R998" s="13"/>
      <c r="S998" s="13">
        <v>81.368061600822031</v>
      </c>
      <c r="T998" s="13">
        <v>395.82843020332962</v>
      </c>
      <c r="U998" s="13"/>
      <c r="V998" s="13"/>
      <c r="W998" s="13"/>
      <c r="X998" s="13">
        <v>17.415565811783065</v>
      </c>
      <c r="Y998" s="13">
        <v>1.6385460048075022</v>
      </c>
      <c r="Z998" s="13">
        <v>85.542494254872693</v>
      </c>
      <c r="AA998" s="13"/>
      <c r="AB998" s="13"/>
      <c r="AC998" s="14">
        <v>1755.4025812036577</v>
      </c>
      <c r="AD998" s="14">
        <v>969.13148751960557</v>
      </c>
      <c r="AE998" s="14">
        <v>954.08793833052994</v>
      </c>
      <c r="AF998" s="14"/>
      <c r="AG998" s="15">
        <v>0.71536067798179082</v>
      </c>
      <c r="AH998" s="15">
        <v>0.74885914059017811</v>
      </c>
      <c r="AI998" s="15"/>
      <c r="AJ998" s="41">
        <f t="shared" si="30"/>
        <v>9301.5506166034538</v>
      </c>
      <c r="AK998" s="44">
        <f t="shared" si="31"/>
        <v>9.9148229074397296</v>
      </c>
      <c r="AL998" s="10"/>
      <c r="AM998" s="10"/>
    </row>
    <row r="999" spans="1:39" s="16" customFormat="1" ht="19" customHeight="1">
      <c r="A999" s="9" t="s">
        <v>1019</v>
      </c>
      <c r="B999" s="10" t="s">
        <v>1005</v>
      </c>
      <c r="C999" s="10"/>
      <c r="D999" s="10"/>
      <c r="E999" s="37" t="s">
        <v>953</v>
      </c>
      <c r="F999" s="37" t="s">
        <v>249</v>
      </c>
      <c r="G999" s="12" t="s">
        <v>1006</v>
      </c>
      <c r="H999" s="13">
        <v>71.426726285859644</v>
      </c>
      <c r="I999" s="13">
        <v>9.2789703296236414</v>
      </c>
      <c r="J999" s="13">
        <v>2523.8561065806416</v>
      </c>
      <c r="K999" s="13">
        <v>4995.5145896013937</v>
      </c>
      <c r="L999" s="13">
        <v>529.58274361302097</v>
      </c>
      <c r="M999" s="13">
        <v>3691.3748835562474</v>
      </c>
      <c r="N999" s="13">
        <v>1957.3214200896009</v>
      </c>
      <c r="O999" s="13">
        <v>294.81168516274596</v>
      </c>
      <c r="P999" s="13">
        <v>55.899539935316312</v>
      </c>
      <c r="Q999" s="13">
        <v>218.37781649986206</v>
      </c>
      <c r="R999" s="13"/>
      <c r="S999" s="13">
        <v>93.307100092441573</v>
      </c>
      <c r="T999" s="13">
        <v>426.96028133598486</v>
      </c>
      <c r="U999" s="13"/>
      <c r="V999" s="13"/>
      <c r="W999" s="13"/>
      <c r="X999" s="13">
        <v>18.952376212583101</v>
      </c>
      <c r="Y999" s="13">
        <v>1.6954813086250389</v>
      </c>
      <c r="Z999" s="13">
        <v>97.759092577813831</v>
      </c>
      <c r="AA999" s="13"/>
      <c r="AB999" s="13"/>
      <c r="AC999" s="14">
        <v>1991.9708456942296</v>
      </c>
      <c r="AD999" s="14">
        <v>992.88703259886881</v>
      </c>
      <c r="AE999" s="14">
        <v>1097.3759623108647</v>
      </c>
      <c r="AF999" s="14"/>
      <c r="AG999" s="15">
        <v>0.64278120541604888</v>
      </c>
      <c r="AH999" s="15">
        <v>0.67155351772177918</v>
      </c>
      <c r="AI999" s="15"/>
      <c r="AJ999" s="41">
        <f t="shared" si="30"/>
        <v>10006.274859884657</v>
      </c>
      <c r="AK999" s="44">
        <f t="shared" si="31"/>
        <v>8.6457102567145334</v>
      </c>
      <c r="AL999" s="10"/>
      <c r="AM999" s="10"/>
    </row>
    <row r="1000" spans="1:39" s="16" customFormat="1" ht="19" customHeight="1">
      <c r="A1000" s="9" t="s">
        <v>1020</v>
      </c>
      <c r="B1000" s="10" t="s">
        <v>1005</v>
      </c>
      <c r="C1000" s="10"/>
      <c r="D1000" s="10"/>
      <c r="E1000" s="37" t="s">
        <v>953</v>
      </c>
      <c r="F1000" s="37" t="s">
        <v>249</v>
      </c>
      <c r="G1000" s="12" t="s">
        <v>1006</v>
      </c>
      <c r="H1000" s="13">
        <v>74.69732373963619</v>
      </c>
      <c r="I1000" s="13">
        <v>9.9571571305779525</v>
      </c>
      <c r="J1000" s="13">
        <v>2862.6553259032207</v>
      </c>
      <c r="K1000" s="13">
        <v>5569.5343744512347</v>
      </c>
      <c r="L1000" s="13">
        <v>607.7962617333925</v>
      </c>
      <c r="M1000" s="13">
        <v>5012.5736326757642</v>
      </c>
      <c r="N1000" s="13">
        <v>2332.7180024879731</v>
      </c>
      <c r="O1000" s="13">
        <v>369.7760096742673</v>
      </c>
      <c r="P1000" s="13">
        <v>63.891346335780696</v>
      </c>
      <c r="Q1000" s="13">
        <v>241.19825854240568</v>
      </c>
      <c r="R1000" s="13"/>
      <c r="S1000" s="13">
        <v>100.15192371851677</v>
      </c>
      <c r="T1000" s="13">
        <v>498.05544077031112</v>
      </c>
      <c r="U1000" s="13"/>
      <c r="V1000" s="13"/>
      <c r="W1000" s="13"/>
      <c r="X1000" s="13">
        <v>18.390595714659472</v>
      </c>
      <c r="Y1000" s="13">
        <v>2.070481739621997</v>
      </c>
      <c r="Z1000" s="13">
        <v>84.169834911173254</v>
      </c>
      <c r="AA1000" s="13"/>
      <c r="AB1000" s="13"/>
      <c r="AC1000" s="14">
        <v>2498.4865518531574</v>
      </c>
      <c r="AD1000" s="14">
        <v>1134.8374127136892</v>
      </c>
      <c r="AE1000" s="14">
        <v>1212.0515504643502</v>
      </c>
      <c r="AF1000" s="14"/>
      <c r="AG1000" s="15">
        <v>0.61168347092563136</v>
      </c>
      <c r="AH1000" s="15">
        <v>0.65213061800754368</v>
      </c>
      <c r="AI1000" s="15"/>
      <c r="AJ1000" s="41">
        <f t="shared" si="30"/>
        <v>11372.70396457582</v>
      </c>
      <c r="AK1000" s="44">
        <f t="shared" si="31"/>
        <v>10.064288475441872</v>
      </c>
      <c r="AL1000" s="10"/>
      <c r="AM1000" s="10"/>
    </row>
    <row r="1001" spans="1:39" s="16" customFormat="1" ht="19" customHeight="1">
      <c r="A1001" s="9" t="s">
        <v>1021</v>
      </c>
      <c r="B1001" s="10" t="s">
        <v>1005</v>
      </c>
      <c r="C1001" s="10"/>
      <c r="D1001" s="10"/>
      <c r="E1001" s="37" t="s">
        <v>953</v>
      </c>
      <c r="F1001" s="37" t="s">
        <v>249</v>
      </c>
      <c r="G1001" s="12" t="s">
        <v>1006</v>
      </c>
      <c r="H1001" s="13">
        <v>73.899981973613251</v>
      </c>
      <c r="I1001" s="13">
        <v>10.382723660444634</v>
      </c>
      <c r="J1001" s="13">
        <v>2515.8858909238484</v>
      </c>
      <c r="K1001" s="13">
        <v>4186.779600342913</v>
      </c>
      <c r="L1001" s="13">
        <v>430.76202719037269</v>
      </c>
      <c r="M1001" s="13">
        <v>3860.6951545433135</v>
      </c>
      <c r="N1001" s="13">
        <v>1556.5626604620736</v>
      </c>
      <c r="O1001" s="13">
        <v>219.86434021290913</v>
      </c>
      <c r="P1001" s="13">
        <v>51.812436449466894</v>
      </c>
      <c r="Q1001" s="13">
        <v>168.91625734709424</v>
      </c>
      <c r="R1001" s="13"/>
      <c r="S1001" s="13">
        <v>79.10557923722881</v>
      </c>
      <c r="T1001" s="13">
        <v>394.35975920788206</v>
      </c>
      <c r="U1001" s="13"/>
      <c r="V1001" s="13"/>
      <c r="W1001" s="13"/>
      <c r="X1001" s="13">
        <v>16.920448376678941</v>
      </c>
      <c r="Y1001" s="13">
        <v>1.7379742199963073</v>
      </c>
      <c r="Z1001" s="13">
        <v>75.004937151069143</v>
      </c>
      <c r="AA1001" s="13"/>
      <c r="AB1001" s="13"/>
      <c r="AC1001" s="14">
        <v>1485.5698663034402</v>
      </c>
      <c r="AD1001" s="14">
        <v>920.29194404026464</v>
      </c>
      <c r="AE1001" s="14">
        <v>848.82541380449368</v>
      </c>
      <c r="AF1001" s="14"/>
      <c r="AG1001" s="15">
        <v>0.78846282108462251</v>
      </c>
      <c r="AH1001" s="15">
        <v>0.81953950424124711</v>
      </c>
      <c r="AI1001" s="15"/>
      <c r="AJ1001" s="41">
        <f t="shared" si="30"/>
        <v>8689.9901789192081</v>
      </c>
      <c r="AK1001" s="44">
        <f t="shared" si="31"/>
        <v>9.7897796730020676</v>
      </c>
      <c r="AL1001" s="10"/>
      <c r="AM1001" s="10"/>
    </row>
    <row r="1002" spans="1:39" s="16" customFormat="1" ht="19" customHeight="1">
      <c r="A1002" s="9" t="s">
        <v>1022</v>
      </c>
      <c r="B1002" s="10" t="s">
        <v>1005</v>
      </c>
      <c r="C1002" s="10"/>
      <c r="D1002" s="10"/>
      <c r="E1002" s="37" t="s">
        <v>953</v>
      </c>
      <c r="F1002" s="37" t="s">
        <v>249</v>
      </c>
      <c r="G1002" s="12" t="s">
        <v>1006</v>
      </c>
      <c r="H1002" s="13">
        <v>57.272845876242521</v>
      </c>
      <c r="I1002" s="13">
        <v>8.4053611450513106</v>
      </c>
      <c r="J1002" s="13">
        <v>2322.4213846072221</v>
      </c>
      <c r="K1002" s="13">
        <v>4095.5025610683656</v>
      </c>
      <c r="L1002" s="13">
        <v>441.01546789998139</v>
      </c>
      <c r="M1002" s="13">
        <v>3650.1154391616269</v>
      </c>
      <c r="N1002" s="13">
        <v>1624.6957332180282</v>
      </c>
      <c r="O1002" s="13">
        <v>234.98464421016132</v>
      </c>
      <c r="P1002" s="13">
        <v>48.933543785003273</v>
      </c>
      <c r="Q1002" s="13">
        <v>176.00341652469854</v>
      </c>
      <c r="R1002" s="13"/>
      <c r="S1002" s="13">
        <v>76.61542016810975</v>
      </c>
      <c r="T1002" s="13">
        <v>362.36519808857406</v>
      </c>
      <c r="U1002" s="13"/>
      <c r="V1002" s="13"/>
      <c r="W1002" s="13"/>
      <c r="X1002" s="13">
        <v>16.033505694456228</v>
      </c>
      <c r="Y1002" s="13">
        <v>1.3621288298185386</v>
      </c>
      <c r="Z1002" s="13">
        <v>93.869718866111683</v>
      </c>
      <c r="AA1002" s="13"/>
      <c r="AB1002" s="13"/>
      <c r="AC1002" s="14">
        <v>1587.7340825010901</v>
      </c>
      <c r="AD1002" s="14">
        <v>869.15708321497823</v>
      </c>
      <c r="AE1002" s="14">
        <v>884.43927901858558</v>
      </c>
      <c r="AF1002" s="14"/>
      <c r="AG1002" s="15">
        <v>0.70315221152670015</v>
      </c>
      <c r="AH1002" s="15">
        <v>0.73345821825154434</v>
      </c>
      <c r="AI1002" s="15"/>
      <c r="AJ1002" s="41">
        <f t="shared" si="30"/>
        <v>8483.6351467935965</v>
      </c>
      <c r="AK1002" s="44">
        <f t="shared" si="31"/>
        <v>10.073029800917631</v>
      </c>
      <c r="AL1002" s="10"/>
      <c r="AM1002" s="10"/>
    </row>
    <row r="1003" spans="1:39" s="16" customFormat="1" ht="19" customHeight="1">
      <c r="A1003" s="9" t="s">
        <v>1023</v>
      </c>
      <c r="B1003" s="10" t="s">
        <v>1005</v>
      </c>
      <c r="C1003" s="10"/>
      <c r="D1003" s="10"/>
      <c r="E1003" s="37" t="s">
        <v>953</v>
      </c>
      <c r="F1003" s="37" t="s">
        <v>249</v>
      </c>
      <c r="G1003" s="12" t="s">
        <v>1006</v>
      </c>
      <c r="H1003" s="13">
        <v>76.839504833749885</v>
      </c>
      <c r="I1003" s="13">
        <v>10.015928257119572</v>
      </c>
      <c r="J1003" s="13">
        <v>2726.4987047057712</v>
      </c>
      <c r="K1003" s="13">
        <v>5105.3016563489336</v>
      </c>
      <c r="L1003" s="13">
        <v>524.19738081925357</v>
      </c>
      <c r="M1003" s="13">
        <v>3754.5783193116176</v>
      </c>
      <c r="N1003" s="13">
        <v>1995.788506931108</v>
      </c>
      <c r="O1003" s="13">
        <v>295.62081028512097</v>
      </c>
      <c r="P1003" s="13">
        <v>57.339111747697309</v>
      </c>
      <c r="Q1003" s="13">
        <v>206.26577663401369</v>
      </c>
      <c r="R1003" s="13"/>
      <c r="S1003" s="13">
        <v>95.99697450730531</v>
      </c>
      <c r="T1003" s="13">
        <v>449.96049526454374</v>
      </c>
      <c r="U1003" s="13"/>
      <c r="V1003" s="13"/>
      <c r="W1003" s="13"/>
      <c r="X1003" s="13">
        <v>16.672498073948013</v>
      </c>
      <c r="Y1003" s="13">
        <v>2.001271783014777</v>
      </c>
      <c r="Z1003" s="13">
        <v>96.819526557792585</v>
      </c>
      <c r="AA1003" s="13"/>
      <c r="AB1003" s="13"/>
      <c r="AC1003" s="14">
        <v>1997.4379073318985</v>
      </c>
      <c r="AD1003" s="14">
        <v>1018.4566917885846</v>
      </c>
      <c r="AE1003" s="14">
        <v>1036.5114403719281</v>
      </c>
      <c r="AF1003" s="14"/>
      <c r="AG1003" s="15">
        <v>0.67137356301573037</v>
      </c>
      <c r="AH1003" s="15">
        <v>0.70781354999008883</v>
      </c>
      <c r="AI1003" s="15"/>
      <c r="AJ1003" s="41">
        <f t="shared" si="30"/>
        <v>10351.786248805067</v>
      </c>
      <c r="AK1003" s="44">
        <f t="shared" si="31"/>
        <v>8.3442399028923671</v>
      </c>
      <c r="AL1003" s="10"/>
      <c r="AM1003" s="10"/>
    </row>
    <row r="1004" spans="1:39" s="16" customFormat="1" ht="19" customHeight="1">
      <c r="A1004" s="9" t="s">
        <v>1024</v>
      </c>
      <c r="B1004" s="10" t="s">
        <v>1005</v>
      </c>
      <c r="C1004" s="10"/>
      <c r="D1004" s="10"/>
      <c r="E1004" s="37" t="s">
        <v>953</v>
      </c>
      <c r="F1004" s="37" t="s">
        <v>249</v>
      </c>
      <c r="G1004" s="12" t="s">
        <v>1006</v>
      </c>
      <c r="H1004" s="13">
        <v>76.431182496798698</v>
      </c>
      <c r="I1004" s="13">
        <v>10.937468080320027</v>
      </c>
      <c r="J1004" s="13">
        <v>3277.1163189579192</v>
      </c>
      <c r="K1004" s="13">
        <v>6567.7931633768276</v>
      </c>
      <c r="L1004" s="13">
        <v>720.37579616005428</v>
      </c>
      <c r="M1004" s="13">
        <v>4244.3710512088446</v>
      </c>
      <c r="N1004" s="13">
        <v>2637.030478930863</v>
      </c>
      <c r="O1004" s="13">
        <v>396.78723383655347</v>
      </c>
      <c r="P1004" s="13">
        <v>68.146299550118286</v>
      </c>
      <c r="Q1004" s="13">
        <v>270.07650279078484</v>
      </c>
      <c r="R1004" s="13"/>
      <c r="S1004" s="13">
        <v>117.77121613524189</v>
      </c>
      <c r="T1004" s="13">
        <v>548.92309220822062</v>
      </c>
      <c r="U1004" s="13"/>
      <c r="V1004" s="13"/>
      <c r="W1004" s="13"/>
      <c r="X1004" s="13">
        <v>23.491395426701771</v>
      </c>
      <c r="Y1004" s="13">
        <v>2.824330679145481</v>
      </c>
      <c r="Z1004" s="13"/>
      <c r="AA1004" s="13"/>
      <c r="AB1004" s="13"/>
      <c r="AC1004" s="14">
        <v>2680.9948232199558</v>
      </c>
      <c r="AD1004" s="14">
        <v>1210.4138463608933</v>
      </c>
      <c r="AE1004" s="14">
        <v>1357.1683557325871</v>
      </c>
      <c r="AF1004" s="14"/>
      <c r="AG1004" s="15">
        <v>0.59948733754482009</v>
      </c>
      <c r="AH1004" s="15">
        <v>0.63455465289979418</v>
      </c>
      <c r="AI1004" s="15"/>
      <c r="AJ1004" s="41">
        <f t="shared" si="30"/>
        <v>13202.315757425666</v>
      </c>
      <c r="AK1004" s="44">
        <f t="shared" si="31"/>
        <v>7.7321779889683446</v>
      </c>
      <c r="AL1004" s="10"/>
      <c r="AM1004" s="10"/>
    </row>
    <row r="1005" spans="1:39" s="16" customFormat="1" ht="19" customHeight="1">
      <c r="A1005" s="9" t="s">
        <v>1025</v>
      </c>
      <c r="B1005" s="10" t="s">
        <v>1005</v>
      </c>
      <c r="C1005" s="10"/>
      <c r="D1005" s="10"/>
      <c r="E1005" s="37" t="s">
        <v>953</v>
      </c>
      <c r="F1005" s="37" t="s">
        <v>249</v>
      </c>
      <c r="G1005" s="12" t="s">
        <v>1006</v>
      </c>
      <c r="H1005" s="13">
        <v>82.318227090275798</v>
      </c>
      <c r="I1005" s="13">
        <v>11.000719332367401</v>
      </c>
      <c r="J1005" s="13">
        <v>2595.0029826121213</v>
      </c>
      <c r="K1005" s="13">
        <v>4772.9511899616282</v>
      </c>
      <c r="L1005" s="13">
        <v>471.76321766350043</v>
      </c>
      <c r="M1005" s="13">
        <v>3362.1236108705734</v>
      </c>
      <c r="N1005" s="13">
        <v>1739.4397220501373</v>
      </c>
      <c r="O1005" s="13">
        <v>249.55425732094486</v>
      </c>
      <c r="P1005" s="13">
        <v>52.157935660219366</v>
      </c>
      <c r="Q1005" s="13">
        <v>183.59140429653951</v>
      </c>
      <c r="R1005" s="13"/>
      <c r="S1005" s="13">
        <v>79.153366200888442</v>
      </c>
      <c r="T1005" s="13">
        <v>388.18451049174917</v>
      </c>
      <c r="U1005" s="13"/>
      <c r="V1005" s="13"/>
      <c r="W1005" s="13"/>
      <c r="X1005" s="13">
        <v>17.377259350092714</v>
      </c>
      <c r="Y1005" s="13">
        <v>1.9181507793769401</v>
      </c>
      <c r="Z1005" s="13">
        <v>81.553755944838983</v>
      </c>
      <c r="AA1005" s="13"/>
      <c r="AB1005" s="13"/>
      <c r="AC1005" s="14">
        <v>1686.1774143307086</v>
      </c>
      <c r="AD1005" s="14">
        <v>926.42869733959799</v>
      </c>
      <c r="AE1005" s="14">
        <v>922.56987083688193</v>
      </c>
      <c r="AF1005" s="14"/>
      <c r="AG1005" s="15">
        <v>0.71024794360645216</v>
      </c>
      <c r="AH1005" s="15">
        <v>0.74278090710876588</v>
      </c>
      <c r="AI1005" s="15"/>
      <c r="AJ1005" s="41">
        <f t="shared" si="30"/>
        <v>9579.1571122873866</v>
      </c>
      <c r="AK1005" s="44">
        <f t="shared" si="31"/>
        <v>8.6611482941744917</v>
      </c>
      <c r="AL1005" s="10"/>
      <c r="AM1005" s="10"/>
    </row>
    <row r="1006" spans="1:39" s="16" customFormat="1" ht="19" customHeight="1">
      <c r="A1006" s="9" t="s">
        <v>1026</v>
      </c>
      <c r="B1006" s="10" t="s">
        <v>1005</v>
      </c>
      <c r="C1006" s="10"/>
      <c r="D1006" s="10"/>
      <c r="E1006" s="37" t="s">
        <v>953</v>
      </c>
      <c r="F1006" s="37" t="s">
        <v>249</v>
      </c>
      <c r="G1006" s="12" t="s">
        <v>1006</v>
      </c>
      <c r="H1006" s="13">
        <v>72.197220233866986</v>
      </c>
      <c r="I1006" s="13">
        <v>8.0468467064984655</v>
      </c>
      <c r="J1006" s="13">
        <v>2513.0770284495188</v>
      </c>
      <c r="K1006" s="13">
        <v>4270.6427365254212</v>
      </c>
      <c r="L1006" s="13">
        <v>436.0855694071314</v>
      </c>
      <c r="M1006" s="13">
        <v>6989.2343622927401</v>
      </c>
      <c r="N1006" s="13">
        <v>1575.2784447306503</v>
      </c>
      <c r="O1006" s="13">
        <v>234.51665374870905</v>
      </c>
      <c r="P1006" s="13">
        <v>50.198774776447067</v>
      </c>
      <c r="Q1006" s="13">
        <v>168.53803017727927</v>
      </c>
      <c r="R1006" s="13"/>
      <c r="S1006" s="13">
        <v>74.454503590820252</v>
      </c>
      <c r="T1006" s="13">
        <v>378.11327755907195</v>
      </c>
      <c r="U1006" s="13"/>
      <c r="V1006" s="13"/>
      <c r="W1006" s="13"/>
      <c r="X1006" s="13">
        <v>17.939514509534767</v>
      </c>
      <c r="Y1006" s="13">
        <v>1.8061975464266693</v>
      </c>
      <c r="Z1006" s="13">
        <v>55.734008309972083</v>
      </c>
      <c r="AA1006" s="13"/>
      <c r="AB1006" s="13"/>
      <c r="AC1006" s="14">
        <v>1584.5719847885748</v>
      </c>
      <c r="AD1006" s="14">
        <v>891.63010260119131</v>
      </c>
      <c r="AE1006" s="14">
        <v>846.92477476019724</v>
      </c>
      <c r="AF1006" s="14"/>
      <c r="AG1006" s="15">
        <v>0.73340019812870871</v>
      </c>
      <c r="AH1006" s="15">
        <v>0.76967311561925156</v>
      </c>
      <c r="AI1006" s="15"/>
      <c r="AJ1006" s="41">
        <f t="shared" si="30"/>
        <v>8795.0837791127215</v>
      </c>
      <c r="AK1006" s="44">
        <f t="shared" si="31"/>
        <v>18.484498633351549</v>
      </c>
      <c r="AL1006" s="10"/>
      <c r="AM1006" s="10"/>
    </row>
    <row r="1007" spans="1:39" s="16" customFormat="1" ht="19" customHeight="1">
      <c r="A1007" s="9" t="s">
        <v>1027</v>
      </c>
      <c r="B1007" s="10" t="s">
        <v>1028</v>
      </c>
      <c r="C1007" s="10"/>
      <c r="D1007" s="10"/>
      <c r="E1007" s="19" t="s">
        <v>1344</v>
      </c>
      <c r="F1007" s="19" t="s">
        <v>249</v>
      </c>
      <c r="G1007" s="12" t="s">
        <v>1006</v>
      </c>
      <c r="H1007" s="13">
        <v>13.382065462115385</v>
      </c>
      <c r="I1007" s="13">
        <v>0.13291033898425311</v>
      </c>
      <c r="J1007" s="13">
        <v>1105.6555507686599</v>
      </c>
      <c r="K1007" s="13">
        <v>3247.926869964564</v>
      </c>
      <c r="L1007" s="13">
        <v>331.47993197709434</v>
      </c>
      <c r="M1007" s="13">
        <v>6763.1487131862114</v>
      </c>
      <c r="N1007" s="13">
        <v>1082.1107948982353</v>
      </c>
      <c r="O1007" s="13">
        <v>149.87844635548964</v>
      </c>
      <c r="P1007" s="13">
        <v>41.751019776677246</v>
      </c>
      <c r="Q1007" s="13">
        <v>103.53162974119392</v>
      </c>
      <c r="R1007" s="13">
        <v>9.7613975576671344</v>
      </c>
      <c r="S1007" s="13">
        <v>44.925528413464633</v>
      </c>
      <c r="T1007" s="13">
        <v>154.73489891795094</v>
      </c>
      <c r="U1007" s="13">
        <v>6.2695139096358794</v>
      </c>
      <c r="V1007" s="13">
        <v>13.080585682332991</v>
      </c>
      <c r="W1007" s="13">
        <v>1.3342536892302748</v>
      </c>
      <c r="X1007" s="13">
        <v>7.1373667759925015</v>
      </c>
      <c r="Y1007" s="13">
        <v>0.85049658480011947</v>
      </c>
      <c r="Z1007" s="13">
        <v>393.56497726191481</v>
      </c>
      <c r="AA1007" s="13"/>
      <c r="AB1007" s="13"/>
      <c r="AC1007" s="14">
        <v>1012.6922051046598</v>
      </c>
      <c r="AD1007" s="14">
        <v>741.58116832464032</v>
      </c>
      <c r="AE1007" s="14">
        <v>520.25944593564782</v>
      </c>
      <c r="AF1007" s="14">
        <v>270.39882431210896</v>
      </c>
      <c r="AG1007" s="15">
        <v>0.96752062313430531</v>
      </c>
      <c r="AH1007" s="15">
        <v>1.0216684264888507</v>
      </c>
      <c r="AI1007" s="15">
        <v>1.1372050563420841</v>
      </c>
      <c r="AJ1007" s="41">
        <f t="shared" si="30"/>
        <v>5767.1731476085542</v>
      </c>
      <c r="AK1007" s="44">
        <f t="shared" si="31"/>
        <v>43.707972541943555</v>
      </c>
      <c r="AL1007" s="10"/>
      <c r="AM1007" s="10"/>
    </row>
    <row r="1008" spans="1:39" s="16" customFormat="1" ht="19" customHeight="1">
      <c r="A1008" s="9" t="s">
        <v>1029</v>
      </c>
      <c r="B1008" s="10" t="s">
        <v>1028</v>
      </c>
      <c r="C1008" s="10"/>
      <c r="D1008" s="10"/>
      <c r="E1008" s="19" t="s">
        <v>1344</v>
      </c>
      <c r="F1008" s="19" t="s">
        <v>249</v>
      </c>
      <c r="G1008" s="12" t="s">
        <v>1006</v>
      </c>
      <c r="H1008" s="13">
        <v>20.438424692058035</v>
      </c>
      <c r="I1008" s="13">
        <v>0.16402153670517666</v>
      </c>
      <c r="J1008" s="13">
        <v>979.61593469874708</v>
      </c>
      <c r="K1008" s="13">
        <v>3262.1740178983914</v>
      </c>
      <c r="L1008" s="13">
        <v>308.20085984346406</v>
      </c>
      <c r="M1008" s="13">
        <v>6729.0488455854402</v>
      </c>
      <c r="N1008" s="13">
        <v>1014.215572479258</v>
      </c>
      <c r="O1008" s="13">
        <v>148.90790298979755</v>
      </c>
      <c r="P1008" s="13">
        <v>41.07910303862166</v>
      </c>
      <c r="Q1008" s="13">
        <v>101.89626269986239</v>
      </c>
      <c r="R1008" s="13">
        <v>9.9767983831766305</v>
      </c>
      <c r="S1008" s="13">
        <v>46.104069583332759</v>
      </c>
      <c r="T1008" s="13">
        <v>169.37257195122135</v>
      </c>
      <c r="U1008" s="13">
        <v>6.9887126135902911</v>
      </c>
      <c r="V1008" s="13">
        <v>14.990994438753029</v>
      </c>
      <c r="W1008" s="13">
        <v>1.5072705678183247</v>
      </c>
      <c r="X1008" s="13">
        <v>7.2713983353268965</v>
      </c>
      <c r="Y1008" s="13">
        <v>0.91171938599767144</v>
      </c>
      <c r="Z1008" s="13">
        <v>344.85899909257</v>
      </c>
      <c r="AA1008" s="13"/>
      <c r="AB1008" s="13"/>
      <c r="AC1008" s="14">
        <v>1006.1344796607943</v>
      </c>
      <c r="AD1008" s="14">
        <v>729.64659038404375</v>
      </c>
      <c r="AE1008" s="14">
        <v>512.04152110483608</v>
      </c>
      <c r="AF1008" s="14">
        <v>276.36560618217811</v>
      </c>
      <c r="AG1008" s="15">
        <v>0.96121476036517006</v>
      </c>
      <c r="AH1008" s="15">
        <v>1.016557506636917</v>
      </c>
      <c r="AI1008" s="15">
        <v>1.1156137837868889</v>
      </c>
      <c r="AJ1008" s="41">
        <f t="shared" si="30"/>
        <v>5564.2063849198612</v>
      </c>
      <c r="AK1008" s="44">
        <f t="shared" si="31"/>
        <v>39.729271204096612</v>
      </c>
      <c r="AL1008" s="10"/>
      <c r="AM1008" s="10"/>
    </row>
    <row r="1009" spans="1:39" s="16" customFormat="1" ht="19" customHeight="1">
      <c r="A1009" s="9" t="s">
        <v>1030</v>
      </c>
      <c r="B1009" s="10" t="s">
        <v>1031</v>
      </c>
      <c r="C1009" s="10"/>
      <c r="D1009" s="10"/>
      <c r="E1009" s="19" t="s">
        <v>1344</v>
      </c>
      <c r="F1009" s="19" t="s">
        <v>249</v>
      </c>
      <c r="G1009" s="12" t="s">
        <v>1006</v>
      </c>
      <c r="H1009" s="13">
        <v>485.14423210313038</v>
      </c>
      <c r="I1009" s="13">
        <v>9.5599108515077376</v>
      </c>
      <c r="J1009" s="13">
        <v>2038.6660665232569</v>
      </c>
      <c r="K1009" s="13">
        <v>6494.2544217582272</v>
      </c>
      <c r="L1009" s="13">
        <v>575.82786878881905</v>
      </c>
      <c r="M1009" s="13">
        <v>3601.2029577936933</v>
      </c>
      <c r="N1009" s="13">
        <v>1700.9123424654156</v>
      </c>
      <c r="O1009" s="13">
        <v>216.23428252112259</v>
      </c>
      <c r="P1009" s="13">
        <v>54.877892980353842</v>
      </c>
      <c r="Q1009" s="13">
        <v>139.27190952123203</v>
      </c>
      <c r="R1009" s="13">
        <v>12.623937164125039</v>
      </c>
      <c r="S1009" s="13">
        <v>53.209593129346217</v>
      </c>
      <c r="T1009" s="13">
        <v>187.63769223536215</v>
      </c>
      <c r="U1009" s="13">
        <v>7.8768933871643974</v>
      </c>
      <c r="V1009" s="13">
        <v>16.536144510141799</v>
      </c>
      <c r="W1009" s="13">
        <v>1.6625056874094748</v>
      </c>
      <c r="X1009" s="13">
        <v>8.0164820684045566</v>
      </c>
      <c r="Y1009" s="13">
        <v>0.92358212067432466</v>
      </c>
      <c r="Z1009" s="13">
        <v>257.6968600230818</v>
      </c>
      <c r="AA1009" s="13"/>
      <c r="AB1009" s="13"/>
      <c r="AC1009" s="14">
        <v>1461.0424494670447</v>
      </c>
      <c r="AD1009" s="14">
        <v>974.74055027271481</v>
      </c>
      <c r="AE1009" s="14">
        <v>699.85884181523636</v>
      </c>
      <c r="AF1009" s="14">
        <v>349.69355025277116</v>
      </c>
      <c r="AG1009" s="15">
        <v>0.9021611067614318</v>
      </c>
      <c r="AH1009" s="15">
        <v>0.96394529878548019</v>
      </c>
      <c r="AI1009" s="15">
        <v>1.0745284952567684</v>
      </c>
      <c r="AJ1009" s="41">
        <f t="shared" si="30"/>
        <v>10809.66069953572</v>
      </c>
      <c r="AK1009" s="44">
        <f t="shared" si="31"/>
        <v>19.192321728603158</v>
      </c>
      <c r="AL1009" s="10"/>
      <c r="AM1009" s="10"/>
    </row>
    <row r="1010" spans="1:39" s="16" customFormat="1" ht="19" customHeight="1">
      <c r="A1010" s="9" t="s">
        <v>1032</v>
      </c>
      <c r="B1010" s="10" t="s">
        <v>1031</v>
      </c>
      <c r="C1010" s="10"/>
      <c r="D1010" s="10"/>
      <c r="E1010" s="19" t="s">
        <v>1344</v>
      </c>
      <c r="F1010" s="19" t="s">
        <v>249</v>
      </c>
      <c r="G1010" s="12" t="s">
        <v>1006</v>
      </c>
      <c r="H1010" s="13">
        <v>498.47000039444254</v>
      </c>
      <c r="I1010" s="13">
        <v>12.094064103017203</v>
      </c>
      <c r="J1010" s="13">
        <v>2228.9518144685048</v>
      </c>
      <c r="K1010" s="13">
        <v>6414.0622831486016</v>
      </c>
      <c r="L1010" s="13">
        <v>613.90553818095816</v>
      </c>
      <c r="M1010" s="13">
        <v>3759.3244354570479</v>
      </c>
      <c r="N1010" s="13">
        <v>1841.6727674245353</v>
      </c>
      <c r="O1010" s="13">
        <v>230.16995236581113</v>
      </c>
      <c r="P1010" s="13">
        <v>59.670696953679716</v>
      </c>
      <c r="Q1010" s="13">
        <v>147.32489720088972</v>
      </c>
      <c r="R1010" s="13">
        <v>13.195538325354212</v>
      </c>
      <c r="S1010" s="13">
        <v>59.620496516428517</v>
      </c>
      <c r="T1010" s="13">
        <v>207.85848489725291</v>
      </c>
      <c r="U1010" s="13">
        <v>8.4447177896342573</v>
      </c>
      <c r="V1010" s="13">
        <v>18.084153580557377</v>
      </c>
      <c r="W1010" s="13">
        <v>1.8333378090523085</v>
      </c>
      <c r="X1010" s="13">
        <v>8.8206435088012896</v>
      </c>
      <c r="Y1010" s="13">
        <v>1.0852785914310952</v>
      </c>
      <c r="Z1010" s="13">
        <v>198.00129692085426</v>
      </c>
      <c r="AA1010" s="13"/>
      <c r="AB1010" s="13"/>
      <c r="AC1010" s="14">
        <v>1555.2023808500753</v>
      </c>
      <c r="AD1010" s="14">
        <v>1059.8702833690891</v>
      </c>
      <c r="AE1010" s="14">
        <v>740.32611658738551</v>
      </c>
      <c r="AF1010" s="14">
        <v>365.52737743363468</v>
      </c>
      <c r="AG1010" s="15">
        <v>0.92342158640351546</v>
      </c>
      <c r="AH1010" s="15">
        <v>0.98775155987817498</v>
      </c>
      <c r="AI1010" s="15">
        <v>1.1043027086721557</v>
      </c>
      <c r="AJ1010" s="41">
        <f t="shared" si="30"/>
        <v>11098.592403222599</v>
      </c>
      <c r="AK1010" s="44">
        <f t="shared" si="31"/>
        <v>18.085980167301468</v>
      </c>
      <c r="AL1010" s="10"/>
      <c r="AM1010" s="10"/>
    </row>
    <row r="1011" spans="1:39" s="16" customFormat="1" ht="19" customHeight="1">
      <c r="A1011" s="9" t="s">
        <v>1033</v>
      </c>
      <c r="B1011" s="10" t="s">
        <v>1028</v>
      </c>
      <c r="C1011" s="10"/>
      <c r="D1011" s="10"/>
      <c r="E1011" s="19" t="s">
        <v>1344</v>
      </c>
      <c r="F1011" s="19" t="s">
        <v>249</v>
      </c>
      <c r="G1011" s="12" t="s">
        <v>1006</v>
      </c>
      <c r="H1011" s="13">
        <v>10.434213200023398</v>
      </c>
      <c r="I1011" s="13">
        <v>0.20237980984533668</v>
      </c>
      <c r="J1011" s="13">
        <v>532.65187225539319</v>
      </c>
      <c r="K1011" s="13">
        <v>2397.6827358937926</v>
      </c>
      <c r="L1011" s="13">
        <v>252.79350610695775</v>
      </c>
      <c r="M1011" s="13">
        <v>8023.0515057526036</v>
      </c>
      <c r="N1011" s="13">
        <v>841.95643984379922</v>
      </c>
      <c r="O1011" s="13">
        <v>114.62423754003115</v>
      </c>
      <c r="P1011" s="13">
        <v>32.837507271524707</v>
      </c>
      <c r="Q1011" s="13">
        <v>71.475638208575262</v>
      </c>
      <c r="R1011" s="13">
        <v>6.8622209423588894</v>
      </c>
      <c r="S1011" s="13">
        <v>30.089930392432763</v>
      </c>
      <c r="T1011" s="13">
        <v>107.4337793526545</v>
      </c>
      <c r="U1011" s="13">
        <v>4.5834676507026497</v>
      </c>
      <c r="V1011" s="13">
        <v>10.277078623202883</v>
      </c>
      <c r="W1011" s="13">
        <v>1.0268770669504312</v>
      </c>
      <c r="X1011" s="13">
        <v>4.8854465821257147</v>
      </c>
      <c r="Y1011" s="13">
        <v>0.54141628227112815</v>
      </c>
      <c r="Z1011" s="13">
        <v>227.36250553115272</v>
      </c>
      <c r="AA1011" s="13"/>
      <c r="AB1011" s="13"/>
      <c r="AC1011" s="14">
        <v>774.48809148669693</v>
      </c>
      <c r="AD1011" s="14">
        <v>583.25945420114942</v>
      </c>
      <c r="AE1011" s="14">
        <v>359.17406134962442</v>
      </c>
      <c r="AF1011" s="14">
        <v>190.08922278002464</v>
      </c>
      <c r="AG1011" s="15">
        <v>1.0289828459773247</v>
      </c>
      <c r="AH1011" s="15">
        <v>1.1058645392434292</v>
      </c>
      <c r="AI1011" s="15">
        <v>1.2028167281841378</v>
      </c>
      <c r="AJ1011" s="41">
        <f t="shared" si="30"/>
        <v>4025.084554099943</v>
      </c>
      <c r="AK1011" s="44">
        <f t="shared" si="31"/>
        <v>74.679040001159265</v>
      </c>
      <c r="AL1011" s="10"/>
      <c r="AM1011" s="10"/>
    </row>
    <row r="1012" spans="1:39" s="16" customFormat="1" ht="19" customHeight="1">
      <c r="A1012" s="9" t="s">
        <v>1034</v>
      </c>
      <c r="B1012" s="10" t="s">
        <v>1028</v>
      </c>
      <c r="C1012" s="10"/>
      <c r="D1012" s="10"/>
      <c r="E1012" s="19" t="s">
        <v>1344</v>
      </c>
      <c r="F1012" s="19" t="s">
        <v>249</v>
      </c>
      <c r="G1012" s="12" t="s">
        <v>1006</v>
      </c>
      <c r="H1012" s="13">
        <v>10.428916032397927</v>
      </c>
      <c r="I1012" s="13">
        <v>0.39863280113959498</v>
      </c>
      <c r="J1012" s="13">
        <v>506.4334077892982</v>
      </c>
      <c r="K1012" s="13">
        <v>2144.5133757913745</v>
      </c>
      <c r="L1012" s="13">
        <v>238.72280098548816</v>
      </c>
      <c r="M1012" s="13">
        <v>7558.9630598205176</v>
      </c>
      <c r="N1012" s="13">
        <v>827.71693772092476</v>
      </c>
      <c r="O1012" s="13">
        <v>114.74650032199955</v>
      </c>
      <c r="P1012" s="13">
        <v>31.752387908912159</v>
      </c>
      <c r="Q1012" s="13">
        <v>70.871214835828098</v>
      </c>
      <c r="R1012" s="13">
        <v>6.4647572241155968</v>
      </c>
      <c r="S1012" s="13">
        <v>28.868067038147441</v>
      </c>
      <c r="T1012" s="13">
        <v>99.270161213471027</v>
      </c>
      <c r="U1012" s="13">
        <v>4.2475741829321843</v>
      </c>
      <c r="V1012" s="13">
        <v>9.577697680521954</v>
      </c>
      <c r="W1012" s="13">
        <v>0.88238328853239256</v>
      </c>
      <c r="X1012" s="13">
        <v>4.6520265292359317</v>
      </c>
      <c r="Y1012" s="13">
        <v>0.47625759199812162</v>
      </c>
      <c r="Z1012" s="13">
        <v>186.45402115384999</v>
      </c>
      <c r="AA1012" s="13"/>
      <c r="AB1012" s="13"/>
      <c r="AC1012" s="14">
        <v>775.31419136486181</v>
      </c>
      <c r="AD1012" s="14">
        <v>563.98557564675241</v>
      </c>
      <c r="AE1012" s="14">
        <v>356.13675796898542</v>
      </c>
      <c r="AF1012" s="14">
        <v>179.07914748242649</v>
      </c>
      <c r="AG1012" s="15">
        <v>0.99692448175292858</v>
      </c>
      <c r="AH1012" s="15">
        <v>1.0732990120541974</v>
      </c>
      <c r="AI1012" s="15">
        <v>1.1855899302512871</v>
      </c>
      <c r="AJ1012" s="41">
        <f t="shared" si="30"/>
        <v>3717.3865222870854</v>
      </c>
      <c r="AK1012" s="44">
        <f t="shared" si="31"/>
        <v>76.145369035572401</v>
      </c>
      <c r="AL1012" s="10"/>
      <c r="AM1012" s="10"/>
    </row>
    <row r="1013" spans="1:39" s="16" customFormat="1" ht="19" customHeight="1">
      <c r="A1013" s="9" t="s">
        <v>1035</v>
      </c>
      <c r="B1013" s="10" t="s">
        <v>1028</v>
      </c>
      <c r="C1013" s="10"/>
      <c r="D1013" s="10"/>
      <c r="E1013" s="19" t="s">
        <v>1344</v>
      </c>
      <c r="F1013" s="19" t="s">
        <v>249</v>
      </c>
      <c r="G1013" s="12" t="s">
        <v>1006</v>
      </c>
      <c r="H1013" s="13">
        <v>176.09254158238815</v>
      </c>
      <c r="I1013" s="13">
        <v>0.75733773871167653</v>
      </c>
      <c r="J1013" s="13">
        <v>2304.5921221254944</v>
      </c>
      <c r="K1013" s="13">
        <v>7223.8985551860542</v>
      </c>
      <c r="L1013" s="13">
        <v>674.93277424378482</v>
      </c>
      <c r="M1013" s="13">
        <v>15163.923946094961</v>
      </c>
      <c r="N1013" s="13">
        <v>1976.9506478644091</v>
      </c>
      <c r="O1013" s="13">
        <v>285.64551523834314</v>
      </c>
      <c r="P1013" s="13">
        <v>80.852807953909476</v>
      </c>
      <c r="Q1013" s="13">
        <v>192.51213599461238</v>
      </c>
      <c r="R1013" s="13">
        <v>19.778618635777278</v>
      </c>
      <c r="S1013" s="13">
        <v>93.527081924542017</v>
      </c>
      <c r="T1013" s="13">
        <v>334.85686659083859</v>
      </c>
      <c r="U1013" s="13">
        <v>14.353524177302624</v>
      </c>
      <c r="V1013" s="13">
        <v>32.551941243902505</v>
      </c>
      <c r="W1013" s="13">
        <v>3.2317418550963315</v>
      </c>
      <c r="X1013" s="13">
        <v>14.299267579570767</v>
      </c>
      <c r="Y1013" s="13">
        <v>1.3868477270320669</v>
      </c>
      <c r="Z1013" s="13">
        <v>404.25745745016008</v>
      </c>
      <c r="AA1013" s="13"/>
      <c r="AB1013" s="13"/>
      <c r="AC1013" s="14">
        <v>1930.0372651239402</v>
      </c>
      <c r="AD1013" s="14">
        <v>1436.1067132133123</v>
      </c>
      <c r="AE1013" s="14">
        <v>967.39766831463498</v>
      </c>
      <c r="AF1013" s="14">
        <v>547.88417273621269</v>
      </c>
      <c r="AG1013" s="15">
        <v>0.99129522919708213</v>
      </c>
      <c r="AH1013" s="15">
        <v>1.050996686915235</v>
      </c>
      <c r="AI1013" s="15">
        <v>1.1321744020664546</v>
      </c>
      <c r="AJ1013" s="41">
        <f t="shared" si="30"/>
        <v>12180.374099419743</v>
      </c>
      <c r="AK1013" s="44">
        <f t="shared" si="31"/>
        <v>45.284793172910355</v>
      </c>
      <c r="AL1013" s="10"/>
      <c r="AM1013" s="10"/>
    </row>
    <row r="1014" spans="1:39" s="16" customFormat="1" ht="19" customHeight="1">
      <c r="A1014" s="9" t="s">
        <v>1036</v>
      </c>
      <c r="B1014" s="10" t="s">
        <v>1028</v>
      </c>
      <c r="C1014" s="10"/>
      <c r="D1014" s="10"/>
      <c r="E1014" s="19" t="s">
        <v>1344</v>
      </c>
      <c r="F1014" s="19" t="s">
        <v>249</v>
      </c>
      <c r="G1014" s="12" t="s">
        <v>1006</v>
      </c>
      <c r="H1014" s="13">
        <v>275.39568992939252</v>
      </c>
      <c r="I1014" s="13">
        <v>1.4444775139627153</v>
      </c>
      <c r="J1014" s="13">
        <v>2541.1057798141205</v>
      </c>
      <c r="K1014" s="13">
        <v>7883.8488753416786</v>
      </c>
      <c r="L1014" s="13">
        <v>789.14142770105036</v>
      </c>
      <c r="M1014" s="13">
        <v>14270.337191463359</v>
      </c>
      <c r="N1014" s="13">
        <v>2199.2805548146066</v>
      </c>
      <c r="O1014" s="13">
        <v>316.31288067416409</v>
      </c>
      <c r="P1014" s="13">
        <v>89.503344816170198</v>
      </c>
      <c r="Q1014" s="13">
        <v>220.98189418643898</v>
      </c>
      <c r="R1014" s="13">
        <v>22.662314439468236</v>
      </c>
      <c r="S1014" s="13">
        <v>105.07482702519802</v>
      </c>
      <c r="T1014" s="13">
        <v>393.57817034844015</v>
      </c>
      <c r="U1014" s="13">
        <v>16.430280069086884</v>
      </c>
      <c r="V1014" s="13">
        <v>37.210420982508417</v>
      </c>
      <c r="W1014" s="13">
        <v>3.9655612955859567</v>
      </c>
      <c r="X1014" s="13">
        <v>18.260752518782439</v>
      </c>
      <c r="Y1014" s="13">
        <v>1.8331013956767488</v>
      </c>
      <c r="Z1014" s="13">
        <v>414.42252210471298</v>
      </c>
      <c r="AA1014" s="13"/>
      <c r="AB1014" s="13"/>
      <c r="AC1014" s="14">
        <v>2137.2491937443519</v>
      </c>
      <c r="AD1014" s="14">
        <v>1589.7574567703412</v>
      </c>
      <c r="AE1014" s="14">
        <v>1110.4617798313516</v>
      </c>
      <c r="AF1014" s="14">
        <v>627.7649429215578</v>
      </c>
      <c r="AG1014" s="15">
        <v>0.97900180755310939</v>
      </c>
      <c r="AH1014" s="15">
        <v>1.0319329551436478</v>
      </c>
      <c r="AI1014" s="15">
        <v>1.1189956803564238</v>
      </c>
      <c r="AJ1014" s="41">
        <f t="shared" si="30"/>
        <v>13413.376637671456</v>
      </c>
      <c r="AK1014" s="44">
        <f t="shared" si="31"/>
        <v>36.257948907150094</v>
      </c>
      <c r="AL1014" s="10"/>
      <c r="AM1014" s="10"/>
    </row>
    <row r="1015" spans="1:39" s="16" customFormat="1" ht="19" customHeight="1">
      <c r="A1015" s="9" t="s">
        <v>1037</v>
      </c>
      <c r="B1015" s="10" t="s">
        <v>1038</v>
      </c>
      <c r="C1015" s="10"/>
      <c r="D1015" s="10"/>
      <c r="E1015" s="19" t="s">
        <v>1344</v>
      </c>
      <c r="F1015" s="19" t="s">
        <v>249</v>
      </c>
      <c r="G1015" s="12" t="s">
        <v>1006</v>
      </c>
      <c r="H1015" s="13">
        <v>5.2328937387628969</v>
      </c>
      <c r="I1015" s="13">
        <v>1.3534827318469529</v>
      </c>
      <c r="J1015" s="13">
        <v>638.13951582551283</v>
      </c>
      <c r="K1015" s="13">
        <v>1381.8294331962395</v>
      </c>
      <c r="L1015" s="13">
        <v>119.48216652678239</v>
      </c>
      <c r="M1015" s="13">
        <v>5170.8925316530294</v>
      </c>
      <c r="N1015" s="13">
        <v>398.46855104212187</v>
      </c>
      <c r="O1015" s="13">
        <v>75.067161192061903</v>
      </c>
      <c r="P1015" s="13">
        <v>27.115909349693741</v>
      </c>
      <c r="Q1015" s="13">
        <v>83.05704919918233</v>
      </c>
      <c r="R1015" s="13">
        <v>9.4104798714394224</v>
      </c>
      <c r="S1015" s="13">
        <v>49.503453061647647</v>
      </c>
      <c r="T1015" s="13">
        <v>268.68536168168157</v>
      </c>
      <c r="U1015" s="13">
        <v>7.9278376367210583</v>
      </c>
      <c r="V1015" s="13">
        <v>17.851431320817962</v>
      </c>
      <c r="W1015" s="13">
        <v>1.7313529509505978</v>
      </c>
      <c r="X1015" s="13">
        <v>8.6316629123959263</v>
      </c>
      <c r="Y1015" s="13">
        <v>1.0607798439714944</v>
      </c>
      <c r="Z1015" s="13">
        <v>85.998811292616878</v>
      </c>
      <c r="AA1015" s="13"/>
      <c r="AB1015" s="13"/>
      <c r="AC1015" s="14">
        <v>507.21054859501288</v>
      </c>
      <c r="AD1015" s="14">
        <v>481.63249288976453</v>
      </c>
      <c r="AE1015" s="14">
        <v>417.37210652855441</v>
      </c>
      <c r="AF1015" s="14">
        <v>260.67811278225548</v>
      </c>
      <c r="AG1015" s="15">
        <v>1.0418376122909119</v>
      </c>
      <c r="AH1015" s="15">
        <v>1.0467908777200228</v>
      </c>
      <c r="AI1015" s="15">
        <v>1.1854650046358943</v>
      </c>
      <c r="AJ1015" s="41">
        <f t="shared" si="30"/>
        <v>2537.9196665906566</v>
      </c>
      <c r="AK1015" s="44">
        <f t="shared" si="31"/>
        <v>19.245159093479451</v>
      </c>
      <c r="AL1015" s="10"/>
      <c r="AM1015" s="10"/>
    </row>
    <row r="1016" spans="1:39" s="16" customFormat="1" ht="19" customHeight="1">
      <c r="A1016" s="9" t="s">
        <v>1039</v>
      </c>
      <c r="B1016" s="10" t="s">
        <v>1038</v>
      </c>
      <c r="C1016" s="10"/>
      <c r="D1016" s="10"/>
      <c r="E1016" s="19" t="s">
        <v>1344</v>
      </c>
      <c r="F1016" s="19" t="s">
        <v>249</v>
      </c>
      <c r="G1016" s="12" t="s">
        <v>1006</v>
      </c>
      <c r="H1016" s="13">
        <v>5.7094029887034701</v>
      </c>
      <c r="I1016" s="13">
        <v>1.4165376762774868</v>
      </c>
      <c r="J1016" s="13">
        <v>655.89326399172671</v>
      </c>
      <c r="K1016" s="13">
        <v>1320.5238584269771</v>
      </c>
      <c r="L1016" s="13">
        <v>123.55548499389751</v>
      </c>
      <c r="M1016" s="13">
        <v>5119.2581033454253</v>
      </c>
      <c r="N1016" s="13">
        <v>415.18000719290166</v>
      </c>
      <c r="O1016" s="13">
        <v>83.064668924003186</v>
      </c>
      <c r="P1016" s="13">
        <v>28.444464340452406</v>
      </c>
      <c r="Q1016" s="13">
        <v>91.399630132481974</v>
      </c>
      <c r="R1016" s="13">
        <v>10.323504928546582</v>
      </c>
      <c r="S1016" s="13">
        <v>52.906249624959038</v>
      </c>
      <c r="T1016" s="13">
        <v>296.25056615036397</v>
      </c>
      <c r="U1016" s="13">
        <v>8.9458541966307479</v>
      </c>
      <c r="V1016" s="13">
        <v>20.383846644563711</v>
      </c>
      <c r="W1016" s="13">
        <v>1.9084214294646036</v>
      </c>
      <c r="X1016" s="13">
        <v>9.8243819803538042</v>
      </c>
      <c r="Y1016" s="13">
        <v>1.1861694068168174</v>
      </c>
      <c r="Z1016" s="13">
        <v>75.205042149398679</v>
      </c>
      <c r="AA1016" s="13"/>
      <c r="AB1016" s="13"/>
      <c r="AC1016" s="14">
        <v>561.24776300002156</v>
      </c>
      <c r="AD1016" s="14">
        <v>505.23027247695217</v>
      </c>
      <c r="AE1016" s="14">
        <v>459.29462378131643</v>
      </c>
      <c r="AF1016" s="14">
        <v>285.96966561070866</v>
      </c>
      <c r="AG1016" s="15">
        <v>0.990121094470921</v>
      </c>
      <c r="AH1016" s="15">
        <v>0.99509918914201756</v>
      </c>
      <c r="AI1016" s="15">
        <v>1.1270580722385093</v>
      </c>
      <c r="AJ1016" s="41">
        <f t="shared" si="30"/>
        <v>2515.152614605503</v>
      </c>
      <c r="AK1016" s="44">
        <f t="shared" si="31"/>
        <v>17.280163106075253</v>
      </c>
      <c r="AL1016" s="10"/>
      <c r="AM1016" s="10"/>
    </row>
    <row r="1017" spans="1:39" s="16" customFormat="1" ht="19" customHeight="1">
      <c r="A1017" s="9" t="s">
        <v>1040</v>
      </c>
      <c r="B1017" s="10" t="s">
        <v>1041</v>
      </c>
      <c r="C1017" s="10"/>
      <c r="D1017" s="10"/>
      <c r="E1017" s="19" t="s">
        <v>1344</v>
      </c>
      <c r="F1017" s="19" t="s">
        <v>249</v>
      </c>
      <c r="G1017" s="12" t="s">
        <v>1006</v>
      </c>
      <c r="H1017" s="13">
        <v>141.69747503924401</v>
      </c>
      <c r="I1017" s="13">
        <v>3.9245535853273057</v>
      </c>
      <c r="J1017" s="13">
        <v>1399.3048499523368</v>
      </c>
      <c r="K1017" s="13">
        <v>5002.8947224674002</v>
      </c>
      <c r="L1017" s="13">
        <v>545.86001411821326</v>
      </c>
      <c r="M1017" s="13">
        <v>8103.5188350342014</v>
      </c>
      <c r="N1017" s="13">
        <v>1888.6568354105621</v>
      </c>
      <c r="O1017" s="13">
        <v>304.07435477257104</v>
      </c>
      <c r="P1017" s="13">
        <v>83.12735062332618</v>
      </c>
      <c r="Q1017" s="13">
        <v>209.34323361385069</v>
      </c>
      <c r="R1017" s="13">
        <v>20.417845124862254</v>
      </c>
      <c r="S1017" s="13">
        <v>91.838416243224145</v>
      </c>
      <c r="T1017" s="13">
        <v>309.30972133878066</v>
      </c>
      <c r="U1017" s="13">
        <v>13.224379595230921</v>
      </c>
      <c r="V1017" s="13">
        <v>26.246277477438127</v>
      </c>
      <c r="W1017" s="13">
        <v>2.455848253530073</v>
      </c>
      <c r="X1017" s="13">
        <v>11.500129191675718</v>
      </c>
      <c r="Y1017" s="13">
        <v>1.311583891529092</v>
      </c>
      <c r="Z1017" s="13">
        <v>311.74898730671686</v>
      </c>
      <c r="AA1017" s="13"/>
      <c r="AB1017" s="13"/>
      <c r="AC1017" s="14">
        <v>2054.5564511660205</v>
      </c>
      <c r="AD1017" s="14">
        <v>1476.5071158672501</v>
      </c>
      <c r="AE1017" s="14">
        <v>1051.9760483108073</v>
      </c>
      <c r="AF1017" s="14">
        <v>565.59127769701536</v>
      </c>
      <c r="AG1017" s="15">
        <v>0.950582114377306</v>
      </c>
      <c r="AH1017" s="15">
        <v>1.0043233945790737</v>
      </c>
      <c r="AI1017" s="15">
        <v>1.1047294320043575</v>
      </c>
      <c r="AJ1017" s="41">
        <f t="shared" si="30"/>
        <v>8836.716421948513</v>
      </c>
      <c r="AK1017" s="44">
        <f t="shared" si="31"/>
        <v>26.198720169414209</v>
      </c>
      <c r="AL1017" s="10"/>
      <c r="AM1017" s="10"/>
    </row>
    <row r="1018" spans="1:39" s="16" customFormat="1" ht="19" customHeight="1">
      <c r="A1018" s="9" t="s">
        <v>1042</v>
      </c>
      <c r="B1018" s="10" t="s">
        <v>1041</v>
      </c>
      <c r="C1018" s="10"/>
      <c r="D1018" s="10"/>
      <c r="E1018" s="19" t="s">
        <v>1344</v>
      </c>
      <c r="F1018" s="19" t="s">
        <v>249</v>
      </c>
      <c r="G1018" s="12" t="s">
        <v>1006</v>
      </c>
      <c r="H1018" s="13">
        <v>110.57763080579137</v>
      </c>
      <c r="I1018" s="13">
        <v>0.51615957059601225</v>
      </c>
      <c r="J1018" s="13">
        <v>1267.853566703332</v>
      </c>
      <c r="K1018" s="13">
        <v>4934.6392447930439</v>
      </c>
      <c r="L1018" s="13">
        <v>540.54995468934783</v>
      </c>
      <c r="M1018" s="13">
        <v>8145.9262600230268</v>
      </c>
      <c r="N1018" s="13">
        <v>2009.3314344699927</v>
      </c>
      <c r="O1018" s="13">
        <v>324.51174325428735</v>
      </c>
      <c r="P1018" s="13">
        <v>87.93709870980399</v>
      </c>
      <c r="Q1018" s="13">
        <v>230.67752360120625</v>
      </c>
      <c r="R1018" s="13">
        <v>23.086643184649006</v>
      </c>
      <c r="S1018" s="13">
        <v>103.07385099005963</v>
      </c>
      <c r="T1018" s="13">
        <v>329.56851046064719</v>
      </c>
      <c r="U1018" s="13">
        <v>14.48261988621616</v>
      </c>
      <c r="V1018" s="13">
        <v>29.820743402785233</v>
      </c>
      <c r="W1018" s="13">
        <v>2.7160739873656334</v>
      </c>
      <c r="X1018" s="13">
        <v>11.692596186146048</v>
      </c>
      <c r="Y1018" s="13">
        <v>1.3202835929459009</v>
      </c>
      <c r="Z1018" s="13">
        <v>308.32356855475115</v>
      </c>
      <c r="AA1018" s="13"/>
      <c r="AB1018" s="13"/>
      <c r="AC1018" s="14">
        <v>2192.64691388032</v>
      </c>
      <c r="AD1018" s="14">
        <v>1561.9378101208524</v>
      </c>
      <c r="AE1018" s="14">
        <v>1159.1835356844535</v>
      </c>
      <c r="AF1018" s="14">
        <v>639.51920179083118</v>
      </c>
      <c r="AG1018" s="15">
        <v>0.93199094263474214</v>
      </c>
      <c r="AH1018" s="15">
        <v>0.97972295794321296</v>
      </c>
      <c r="AI1018" s="15">
        <v>1.0741544717064893</v>
      </c>
      <c r="AJ1018" s="41">
        <f t="shared" si="30"/>
        <v>8752.3742006557168</v>
      </c>
      <c r="AK1018" s="44">
        <f t="shared" si="31"/>
        <v>24.716943523024199</v>
      </c>
      <c r="AL1018" s="10"/>
      <c r="AM1018" s="10"/>
    </row>
    <row r="1019" spans="1:39" s="16" customFormat="1" ht="19" customHeight="1">
      <c r="A1019" s="9" t="s">
        <v>1043</v>
      </c>
      <c r="B1019" s="10" t="s">
        <v>1044</v>
      </c>
      <c r="C1019" s="10"/>
      <c r="D1019" s="10"/>
      <c r="E1019" s="19" t="s">
        <v>1344</v>
      </c>
      <c r="F1019" s="19" t="s">
        <v>249</v>
      </c>
      <c r="G1019" s="12" t="s">
        <v>1006</v>
      </c>
      <c r="H1019" s="13">
        <v>2.2616683193266418</v>
      </c>
      <c r="I1019" s="13">
        <v>0.01</v>
      </c>
      <c r="J1019" s="13">
        <v>839.12690712681137</v>
      </c>
      <c r="K1019" s="13">
        <v>2755.7753163139214</v>
      </c>
      <c r="L1019" s="13">
        <v>329.60471981081935</v>
      </c>
      <c r="M1019" s="13">
        <v>7128.0244651111516</v>
      </c>
      <c r="N1019" s="13">
        <v>1216.7892365639466</v>
      </c>
      <c r="O1019" s="13">
        <v>191.27178792948374</v>
      </c>
      <c r="P1019" s="13">
        <v>51.344220602951061</v>
      </c>
      <c r="Q1019" s="13">
        <v>130.39087609438434</v>
      </c>
      <c r="R1019" s="13">
        <v>12.281700563237038</v>
      </c>
      <c r="S1019" s="13">
        <v>54.227244415496372</v>
      </c>
      <c r="T1019" s="13">
        <v>173.70146081838919</v>
      </c>
      <c r="U1019" s="13">
        <v>7.3279478062352092</v>
      </c>
      <c r="V1019" s="13">
        <v>15.037194246736481</v>
      </c>
      <c r="W1019" s="13">
        <v>1.4230928814259585</v>
      </c>
      <c r="X1019" s="13">
        <v>5.9686480336114709</v>
      </c>
      <c r="Y1019" s="13">
        <v>0.73072990670408333</v>
      </c>
      <c r="Z1019" s="13">
        <v>237.34938341682471</v>
      </c>
      <c r="AA1019" s="13"/>
      <c r="AB1019" s="13"/>
      <c r="AC1019" s="14">
        <v>1292.3769454694848</v>
      </c>
      <c r="AD1019" s="14">
        <v>911.97549916431728</v>
      </c>
      <c r="AE1019" s="14">
        <v>655.23053313760965</v>
      </c>
      <c r="AF1019" s="14">
        <v>340.213312001026</v>
      </c>
      <c r="AG1019" s="15">
        <v>0.93650852051210165</v>
      </c>
      <c r="AH1019" s="15">
        <v>0.99104073632695844</v>
      </c>
      <c r="AI1019" s="15">
        <v>1.1010488867541259</v>
      </c>
      <c r="AJ1019" s="41">
        <f t="shared" si="30"/>
        <v>5141.2961798154993</v>
      </c>
      <c r="AK1019" s="44">
        <f t="shared" si="31"/>
        <v>41.036065163342201</v>
      </c>
      <c r="AL1019" s="10"/>
      <c r="AM1019" s="10"/>
    </row>
    <row r="1020" spans="1:39" s="16" customFormat="1" ht="19" customHeight="1">
      <c r="A1020" s="9" t="s">
        <v>1045</v>
      </c>
      <c r="B1020" s="10" t="s">
        <v>1044</v>
      </c>
      <c r="C1020" s="10"/>
      <c r="D1020" s="10"/>
      <c r="E1020" s="19" t="s">
        <v>1344</v>
      </c>
      <c r="F1020" s="19" t="s">
        <v>249</v>
      </c>
      <c r="G1020" s="12" t="s">
        <v>1006</v>
      </c>
      <c r="H1020" s="13">
        <v>3.5677341125336728</v>
      </c>
      <c r="I1020" s="13">
        <v>0.01</v>
      </c>
      <c r="J1020" s="13">
        <v>985.42261038475465</v>
      </c>
      <c r="K1020" s="13">
        <v>3265.3461639286161</v>
      </c>
      <c r="L1020" s="13">
        <v>370.66321484078088</v>
      </c>
      <c r="M1020" s="13">
        <v>7458.3762200728306</v>
      </c>
      <c r="N1020" s="13">
        <v>1315.1149511375945</v>
      </c>
      <c r="O1020" s="13">
        <v>206.13071253387196</v>
      </c>
      <c r="P1020" s="13">
        <v>54.722904265713353</v>
      </c>
      <c r="Q1020" s="13">
        <v>137.06870237159393</v>
      </c>
      <c r="R1020" s="13">
        <v>13.289871846959635</v>
      </c>
      <c r="S1020" s="13">
        <v>57.441233359402887</v>
      </c>
      <c r="T1020" s="13">
        <v>182.89538790817153</v>
      </c>
      <c r="U1020" s="13">
        <v>7.6624048358150336</v>
      </c>
      <c r="V1020" s="13">
        <v>15.748099315996736</v>
      </c>
      <c r="W1020" s="13">
        <v>1.4840594598832382</v>
      </c>
      <c r="X1020" s="13">
        <v>6.915836583826751</v>
      </c>
      <c r="Y1020" s="13">
        <v>0.71607739887762278</v>
      </c>
      <c r="Z1020" s="13">
        <v>253.3339811365511</v>
      </c>
      <c r="AA1020" s="13"/>
      <c r="AB1020" s="13"/>
      <c r="AC1020" s="14">
        <v>1392.7750846883241</v>
      </c>
      <c r="AD1020" s="14">
        <v>971.98764237501518</v>
      </c>
      <c r="AE1020" s="14">
        <v>688.78744910348701</v>
      </c>
      <c r="AF1020" s="14">
        <v>368.14049437561317</v>
      </c>
      <c r="AG1020" s="15">
        <v>0.93390193817951306</v>
      </c>
      <c r="AH1020" s="15">
        <v>0.99237916214063104</v>
      </c>
      <c r="AI1020" s="15">
        <v>1.087432279722587</v>
      </c>
      <c r="AJ1020" s="41">
        <f t="shared" si="30"/>
        <v>5936.5469402917461</v>
      </c>
      <c r="AK1020" s="44">
        <f t="shared" si="31"/>
        <v>40.779465821289854</v>
      </c>
      <c r="AL1020" s="10"/>
      <c r="AM1020" s="10"/>
    </row>
    <row r="1021" spans="1:39" s="16" customFormat="1" ht="19" customHeight="1">
      <c r="A1021" s="9" t="s">
        <v>1046</v>
      </c>
      <c r="B1021" s="10" t="s">
        <v>1028</v>
      </c>
      <c r="C1021" s="10"/>
      <c r="D1021" s="10"/>
      <c r="E1021" s="19" t="s">
        <v>1344</v>
      </c>
      <c r="F1021" s="19" t="s">
        <v>249</v>
      </c>
      <c r="G1021" s="12" t="s">
        <v>1006</v>
      </c>
      <c r="H1021" s="13">
        <v>1.5777424099091344</v>
      </c>
      <c r="I1021" s="13">
        <v>0.01</v>
      </c>
      <c r="J1021" s="13">
        <v>1174.5133052885685</v>
      </c>
      <c r="K1021" s="13">
        <v>4583.1476670138263</v>
      </c>
      <c r="L1021" s="13">
        <v>384.3236252708536</v>
      </c>
      <c r="M1021" s="13">
        <v>6036.6979241636445</v>
      </c>
      <c r="N1021" s="13">
        <v>1153.4848141229745</v>
      </c>
      <c r="O1021" s="13">
        <v>170.37153527575356</v>
      </c>
      <c r="P1021" s="13">
        <v>49.448736103684041</v>
      </c>
      <c r="Q1021" s="13">
        <v>113.31631587889574</v>
      </c>
      <c r="R1021" s="13">
        <v>11.403729175563564</v>
      </c>
      <c r="S1021" s="13">
        <v>48.504293398849043</v>
      </c>
      <c r="T1021" s="13">
        <v>164.57823980114404</v>
      </c>
      <c r="U1021" s="13">
        <v>6.8840284383614865</v>
      </c>
      <c r="V1021" s="13">
        <v>14.523084327161856</v>
      </c>
      <c r="W1021" s="13">
        <v>1.3042977184190769</v>
      </c>
      <c r="X1021" s="13">
        <v>5.7742803249550283</v>
      </c>
      <c r="Y1021" s="13">
        <v>0.61594850879940843</v>
      </c>
      <c r="Z1021" s="13">
        <v>251.27541682400627</v>
      </c>
      <c r="AA1021" s="13"/>
      <c r="AB1021" s="13"/>
      <c r="AC1021" s="14">
        <v>1151.15902213347</v>
      </c>
      <c r="AD1021" s="14">
        <v>878.30792368888183</v>
      </c>
      <c r="AE1021" s="14">
        <v>569.42872300952627</v>
      </c>
      <c r="AF1021" s="14">
        <v>315.89277494635911</v>
      </c>
      <c r="AG1021" s="15">
        <v>1.0209394158109462</v>
      </c>
      <c r="AH1021" s="15">
        <v>1.0848244253743911</v>
      </c>
      <c r="AI1021" s="15">
        <v>1.1741133398102759</v>
      </c>
      <c r="AJ1021" s="41">
        <f t="shared" si="30"/>
        <v>7295.4694116962237</v>
      </c>
      <c r="AK1021" s="44">
        <f t="shared" si="31"/>
        <v>36.679806099868628</v>
      </c>
      <c r="AL1021" s="10"/>
      <c r="AM1021" s="10"/>
    </row>
    <row r="1022" spans="1:39" s="16" customFormat="1" ht="19" customHeight="1">
      <c r="A1022" s="9" t="s">
        <v>1047</v>
      </c>
      <c r="B1022" s="10" t="s">
        <v>1028</v>
      </c>
      <c r="C1022" s="10"/>
      <c r="D1022" s="10"/>
      <c r="E1022" s="19" t="s">
        <v>1344</v>
      </c>
      <c r="F1022" s="19" t="s">
        <v>249</v>
      </c>
      <c r="G1022" s="12" t="s">
        <v>1006</v>
      </c>
      <c r="H1022" s="13">
        <v>5.4153566718439761</v>
      </c>
      <c r="I1022" s="13">
        <v>0.12379154985907463</v>
      </c>
      <c r="J1022" s="13">
        <v>2057.5131700068159</v>
      </c>
      <c r="K1022" s="13">
        <v>8129.9684174248287</v>
      </c>
      <c r="L1022" s="13">
        <v>671.97316424244207</v>
      </c>
      <c r="M1022" s="13">
        <v>5981.3587545872451</v>
      </c>
      <c r="N1022" s="13">
        <v>1919.2445444292907</v>
      </c>
      <c r="O1022" s="13">
        <v>275.67806335309422</v>
      </c>
      <c r="P1022" s="13">
        <v>85.456829367440776</v>
      </c>
      <c r="Q1022" s="13">
        <v>200.67378061975651</v>
      </c>
      <c r="R1022" s="13">
        <v>20.549817108519875</v>
      </c>
      <c r="S1022" s="13">
        <v>94.736013888513753</v>
      </c>
      <c r="T1022" s="13">
        <v>328.91913242960851</v>
      </c>
      <c r="U1022" s="13">
        <v>13.588636337211064</v>
      </c>
      <c r="V1022" s="13">
        <v>28.390590377041956</v>
      </c>
      <c r="W1022" s="13">
        <v>2.8874385248793368</v>
      </c>
      <c r="X1022" s="13">
        <v>12.421422091511687</v>
      </c>
      <c r="Y1022" s="13">
        <v>1.4979715286307023</v>
      </c>
      <c r="Z1022" s="13">
        <v>334.33979870938572</v>
      </c>
      <c r="AA1022" s="13"/>
      <c r="AB1022" s="13"/>
      <c r="AC1022" s="14">
        <v>1862.6896172506367</v>
      </c>
      <c r="AD1022" s="14">
        <v>1517.8832924945077</v>
      </c>
      <c r="AE1022" s="14">
        <v>1008.4109578882236</v>
      </c>
      <c r="AF1022" s="14">
        <v>569.24701131634004</v>
      </c>
      <c r="AG1022" s="15">
        <v>1.0573529228742504</v>
      </c>
      <c r="AH1022" s="15">
        <v>1.1075143336021709</v>
      </c>
      <c r="AI1022" s="15">
        <v>1.2097931804266664</v>
      </c>
      <c r="AJ1022" s="41">
        <f t="shared" si="30"/>
        <v>12778.699296103376</v>
      </c>
      <c r="AK1022" s="44">
        <f t="shared" si="31"/>
        <v>18.184891558010257</v>
      </c>
      <c r="AL1022" s="10"/>
      <c r="AM1022" s="10"/>
    </row>
    <row r="1023" spans="1:39" s="16" customFormat="1" ht="19" customHeight="1">
      <c r="A1023" s="9" t="s">
        <v>1048</v>
      </c>
      <c r="B1023" s="10" t="s">
        <v>1028</v>
      </c>
      <c r="C1023" s="10"/>
      <c r="D1023" s="10"/>
      <c r="E1023" s="19" t="s">
        <v>1344</v>
      </c>
      <c r="F1023" s="19" t="s">
        <v>249</v>
      </c>
      <c r="G1023" s="12" t="s">
        <v>1006</v>
      </c>
      <c r="H1023" s="13">
        <v>145.37738358942815</v>
      </c>
      <c r="I1023" s="13">
        <v>9.6924091246685578</v>
      </c>
      <c r="J1023" s="13">
        <v>1993.2765169032275</v>
      </c>
      <c r="K1023" s="13">
        <v>5152.311759577743</v>
      </c>
      <c r="L1023" s="13">
        <v>507.90734311006003</v>
      </c>
      <c r="M1023" s="13">
        <v>7700.0269821440088</v>
      </c>
      <c r="N1023" s="13">
        <v>1493.0042815396887</v>
      </c>
      <c r="O1023" s="13">
        <v>163.23823593105459</v>
      </c>
      <c r="P1023" s="13">
        <v>39.824952928395469</v>
      </c>
      <c r="Q1023" s="13">
        <v>85.64032009500616</v>
      </c>
      <c r="R1023" s="13">
        <v>5.7598378752073156</v>
      </c>
      <c r="S1023" s="13">
        <v>19.652449859659757</v>
      </c>
      <c r="T1023" s="13">
        <v>78.359995388223354</v>
      </c>
      <c r="U1023" s="13">
        <v>2.2606374012544008</v>
      </c>
      <c r="V1023" s="13">
        <v>4.3491953387740141</v>
      </c>
      <c r="W1023" s="13">
        <v>0.35250047887857167</v>
      </c>
      <c r="X1023" s="13">
        <v>1.6660557746005822</v>
      </c>
      <c r="Y1023" s="13">
        <v>0.19114339711767664</v>
      </c>
      <c r="Z1023" s="13">
        <v>145.2509309356017</v>
      </c>
      <c r="AA1023" s="13"/>
      <c r="AB1023" s="13"/>
      <c r="AC1023" s="14">
        <v>1102.9610535882068</v>
      </c>
      <c r="AD1023" s="14">
        <v>707.37038949192663</v>
      </c>
      <c r="AE1023" s="14">
        <v>430.35336731158873</v>
      </c>
      <c r="AF1023" s="14">
        <v>159.55229571211402</v>
      </c>
      <c r="AG1023" s="15">
        <v>0.92266841014489409</v>
      </c>
      <c r="AH1023" s="15">
        <v>1.0267251133597379</v>
      </c>
      <c r="AI1023" s="15">
        <v>1.2217220319892803</v>
      </c>
      <c r="AJ1023" s="41">
        <f t="shared" si="30"/>
        <v>9146.4999011307191</v>
      </c>
      <c r="AK1023" s="44">
        <f t="shared" si="31"/>
        <v>98.264770741694534</v>
      </c>
      <c r="AL1023" s="10"/>
      <c r="AM1023" s="10"/>
    </row>
    <row r="1024" spans="1:39" s="16" customFormat="1" ht="19" customHeight="1">
      <c r="A1024" s="9" t="s">
        <v>1049</v>
      </c>
      <c r="B1024" s="10" t="s">
        <v>1028</v>
      </c>
      <c r="C1024" s="10"/>
      <c r="D1024" s="10"/>
      <c r="E1024" s="19" t="s">
        <v>1344</v>
      </c>
      <c r="F1024" s="19" t="s">
        <v>249</v>
      </c>
      <c r="G1024" s="12" t="s">
        <v>1006</v>
      </c>
      <c r="H1024" s="13">
        <v>134.50846232995454</v>
      </c>
      <c r="I1024" s="13">
        <v>58.24112842970991</v>
      </c>
      <c r="J1024" s="13">
        <v>1930.2635133499443</v>
      </c>
      <c r="K1024" s="13">
        <v>5226.5874525235122</v>
      </c>
      <c r="L1024" s="13">
        <v>493.99371071936508</v>
      </c>
      <c r="M1024" s="13">
        <v>7143.5471061042645</v>
      </c>
      <c r="N1024" s="13">
        <v>1441.1734458351598</v>
      </c>
      <c r="O1024" s="13">
        <v>156.11904555196031</v>
      </c>
      <c r="P1024" s="13">
        <v>37.741383278063267</v>
      </c>
      <c r="Q1024" s="13">
        <v>81.375117465057969</v>
      </c>
      <c r="R1024" s="13">
        <v>5.6808744964615379</v>
      </c>
      <c r="S1024" s="13">
        <v>19.17566133406066</v>
      </c>
      <c r="T1024" s="13">
        <v>78.409224764227346</v>
      </c>
      <c r="U1024" s="13">
        <v>2.2061289192627549</v>
      </c>
      <c r="V1024" s="13">
        <v>4.4742472005887066</v>
      </c>
      <c r="W1024" s="13">
        <v>0.36282107242516226</v>
      </c>
      <c r="X1024" s="13">
        <v>1.629306799504586</v>
      </c>
      <c r="Y1024" s="13">
        <v>0.21881150850659331</v>
      </c>
      <c r="Z1024" s="13">
        <v>208.16417295136915</v>
      </c>
      <c r="AA1024" s="13"/>
      <c r="AB1024" s="13"/>
      <c r="AC1024" s="14">
        <v>1054.8584158916237</v>
      </c>
      <c r="AD1024" s="14">
        <v>670.36204756773122</v>
      </c>
      <c r="AE1024" s="14">
        <v>408.92018826662292</v>
      </c>
      <c r="AF1024" s="14">
        <v>157.36494450031961</v>
      </c>
      <c r="AG1024" s="15">
        <v>0.91593366054592162</v>
      </c>
      <c r="AH1024" s="15">
        <v>1.0206881123760945</v>
      </c>
      <c r="AI1024" s="15">
        <v>1.1982404417838235</v>
      </c>
      <c r="AJ1024" s="41">
        <f t="shared" si="30"/>
        <v>9092.0181224279822</v>
      </c>
      <c r="AK1024" s="44">
        <f t="shared" si="31"/>
        <v>91.105952489449507</v>
      </c>
      <c r="AL1024" s="10"/>
      <c r="AM1024" s="10"/>
    </row>
    <row r="1025" spans="1:39" s="16" customFormat="1" ht="19" customHeight="1">
      <c r="A1025" s="9" t="s">
        <v>1050</v>
      </c>
      <c r="B1025" s="10" t="s">
        <v>1028</v>
      </c>
      <c r="C1025" s="10"/>
      <c r="D1025" s="10"/>
      <c r="E1025" s="19" t="s">
        <v>1344</v>
      </c>
      <c r="F1025" s="19" t="s">
        <v>249</v>
      </c>
      <c r="G1025" s="12" t="s">
        <v>1006</v>
      </c>
      <c r="H1025" s="13">
        <v>4.8014594836852886</v>
      </c>
      <c r="I1025" s="13">
        <v>0.01</v>
      </c>
      <c r="J1025" s="13">
        <v>1279.3896410972211</v>
      </c>
      <c r="K1025" s="13">
        <v>2788.8151690016052</v>
      </c>
      <c r="L1025" s="13">
        <v>251.02252053364947</v>
      </c>
      <c r="M1025" s="13">
        <v>10195.061243885842</v>
      </c>
      <c r="N1025" s="13">
        <v>782.5697394633612</v>
      </c>
      <c r="O1025" s="13">
        <v>113.84794169850308</v>
      </c>
      <c r="P1025" s="13">
        <v>31.804421334167046</v>
      </c>
      <c r="Q1025" s="13">
        <v>85.222576828123323</v>
      </c>
      <c r="R1025" s="13">
        <v>8.5526570383628773</v>
      </c>
      <c r="S1025" s="13">
        <v>39.965814475295154</v>
      </c>
      <c r="T1025" s="13">
        <v>165.18102436730302</v>
      </c>
      <c r="U1025" s="13">
        <v>5.7168504354288974</v>
      </c>
      <c r="V1025" s="13">
        <v>12.942700019778389</v>
      </c>
      <c r="W1025" s="13">
        <v>1.2462090298046231</v>
      </c>
      <c r="X1025" s="13">
        <v>6.0107210494955057</v>
      </c>
      <c r="Y1025" s="13">
        <v>0.68400102122733442</v>
      </c>
      <c r="Z1025" s="13">
        <v>183.48305061798698</v>
      </c>
      <c r="AA1025" s="13"/>
      <c r="AB1025" s="13"/>
      <c r="AC1025" s="14">
        <v>769.24284931421005</v>
      </c>
      <c r="AD1025" s="14">
        <v>564.90979279159944</v>
      </c>
      <c r="AE1025" s="14">
        <v>428.25415491519254</v>
      </c>
      <c r="AF1025" s="14">
        <v>236.91570743387473</v>
      </c>
      <c r="AG1025" s="15">
        <v>0.94348426893163329</v>
      </c>
      <c r="AH1025" s="15">
        <v>0.98422995094721</v>
      </c>
      <c r="AI1025" s="15">
        <v>1.0874405076813858</v>
      </c>
      <c r="AJ1025" s="41">
        <f t="shared" si="30"/>
        <v>5101.7970700958376</v>
      </c>
      <c r="AK1025" s="44">
        <f t="shared" si="31"/>
        <v>61.720535291122204</v>
      </c>
      <c r="AL1025" s="10"/>
      <c r="AM1025" s="10"/>
    </row>
    <row r="1026" spans="1:39" s="16" customFormat="1" ht="19" customHeight="1">
      <c r="A1026" s="9" t="s">
        <v>1051</v>
      </c>
      <c r="B1026" s="10" t="s">
        <v>1028</v>
      </c>
      <c r="C1026" s="10"/>
      <c r="D1026" s="10"/>
      <c r="E1026" s="19" t="s">
        <v>1344</v>
      </c>
      <c r="F1026" s="19" t="s">
        <v>249</v>
      </c>
      <c r="G1026" s="12" t="s">
        <v>1006</v>
      </c>
      <c r="H1026" s="13">
        <v>10.847266062331515</v>
      </c>
      <c r="I1026" s="13">
        <v>31.854873190533436</v>
      </c>
      <c r="J1026" s="13">
        <v>1184.8524859846887</v>
      </c>
      <c r="K1026" s="13">
        <v>2311.0772411674061</v>
      </c>
      <c r="L1026" s="13">
        <v>202.83248272930553</v>
      </c>
      <c r="M1026" s="13">
        <v>12025.976894174917</v>
      </c>
      <c r="N1026" s="13">
        <v>625.25533636097521</v>
      </c>
      <c r="O1026" s="13">
        <v>90.329576039060456</v>
      </c>
      <c r="P1026" s="13">
        <v>26.31043895839106</v>
      </c>
      <c r="Q1026" s="13">
        <v>74.959408691558821</v>
      </c>
      <c r="R1026" s="13">
        <v>7.718405550176489</v>
      </c>
      <c r="S1026" s="13">
        <v>38.087200650362497</v>
      </c>
      <c r="T1026" s="13">
        <v>168.59456952126536</v>
      </c>
      <c r="U1026" s="13">
        <v>5.7319165192028674</v>
      </c>
      <c r="V1026" s="13">
        <v>13.269067030858274</v>
      </c>
      <c r="W1026" s="13">
        <v>1.3188204746937542</v>
      </c>
      <c r="X1026" s="13">
        <v>6.952379856415952</v>
      </c>
      <c r="Y1026" s="13">
        <v>0.79281883155987665</v>
      </c>
      <c r="Z1026" s="13">
        <v>174.44540534813817</v>
      </c>
      <c r="AA1026" s="13"/>
      <c r="AB1026" s="13"/>
      <c r="AC1026" s="14">
        <v>610.33497323689505</v>
      </c>
      <c r="AD1026" s="14">
        <v>467.32573638350021</v>
      </c>
      <c r="AE1026" s="14">
        <v>376.6804456862252</v>
      </c>
      <c r="AF1026" s="14">
        <v>213.80624792732655</v>
      </c>
      <c r="AG1026" s="15">
        <v>0.94694718526965738</v>
      </c>
      <c r="AH1026" s="15">
        <v>0.97465077607494099</v>
      </c>
      <c r="AI1026" s="15">
        <v>1.0861773215685357</v>
      </c>
      <c r="AJ1026" s="41">
        <f t="shared" si="30"/>
        <v>4324.0175462423749</v>
      </c>
      <c r="AK1026" s="44">
        <f t="shared" si="31"/>
        <v>71.33074883920294</v>
      </c>
      <c r="AL1026" s="10"/>
      <c r="AM1026" s="10"/>
    </row>
    <row r="1027" spans="1:39" s="16" customFormat="1" ht="19" customHeight="1">
      <c r="A1027" s="9" t="s">
        <v>1052</v>
      </c>
      <c r="B1027" s="10" t="s">
        <v>1053</v>
      </c>
      <c r="C1027" s="10"/>
      <c r="D1027" s="10"/>
      <c r="E1027" s="19" t="s">
        <v>1344</v>
      </c>
      <c r="F1027" s="19" t="s">
        <v>249</v>
      </c>
      <c r="G1027" s="12" t="s">
        <v>1006</v>
      </c>
      <c r="H1027" s="13">
        <v>17.883212885954286</v>
      </c>
      <c r="I1027" s="13">
        <v>2.0318100735889311</v>
      </c>
      <c r="J1027" s="13">
        <v>458.45261889312604</v>
      </c>
      <c r="K1027" s="13">
        <v>1017.4203810457449</v>
      </c>
      <c r="L1027" s="13">
        <v>121.15757772813915</v>
      </c>
      <c r="M1027" s="13">
        <v>4177.1657313162914</v>
      </c>
      <c r="N1027" s="13">
        <v>411.70326380589586</v>
      </c>
      <c r="O1027" s="13">
        <v>62.289720450666621</v>
      </c>
      <c r="P1027" s="13">
        <v>15.997826444538763</v>
      </c>
      <c r="Q1027" s="13">
        <v>47.310393241939323</v>
      </c>
      <c r="R1027" s="13">
        <v>4.975209629653774</v>
      </c>
      <c r="S1027" s="13">
        <v>24.900685881098017</v>
      </c>
      <c r="T1027" s="13">
        <v>89.05881832437079</v>
      </c>
      <c r="U1027" s="13">
        <v>3.8295338712504439</v>
      </c>
      <c r="V1027" s="13">
        <v>7.5764646735945469</v>
      </c>
      <c r="W1027" s="13">
        <v>0.88249409231090892</v>
      </c>
      <c r="X1027" s="13">
        <v>4.0930568513027357</v>
      </c>
      <c r="Y1027" s="13">
        <v>0.57300643903153214</v>
      </c>
      <c r="Z1027" s="13">
        <v>217.06733686544644</v>
      </c>
      <c r="AA1027" s="13"/>
      <c r="AB1027" s="13"/>
      <c r="AC1027" s="14">
        <v>420.87648953153126</v>
      </c>
      <c r="AD1027" s="14">
        <v>284.15322281596383</v>
      </c>
      <c r="AE1027" s="14">
        <v>237.74066955748401</v>
      </c>
      <c r="AF1027" s="14">
        <v>137.81744126464747</v>
      </c>
      <c r="AG1027" s="15">
        <v>0.8628782864054082</v>
      </c>
      <c r="AH1027" s="15">
        <v>0.89830436945876035</v>
      </c>
      <c r="AI1027" s="15">
        <v>0.97952324779368949</v>
      </c>
      <c r="AJ1027" s="41">
        <f t="shared" si="30"/>
        <v>2008.7338414729059</v>
      </c>
      <c r="AK1027" s="44">
        <f t="shared" si="31"/>
        <v>46.903448865694386</v>
      </c>
      <c r="AL1027" s="10"/>
      <c r="AM1027" s="10"/>
    </row>
    <row r="1028" spans="1:39" s="16" customFormat="1" ht="19" customHeight="1">
      <c r="A1028" s="9" t="s">
        <v>1054</v>
      </c>
      <c r="B1028" s="10" t="s">
        <v>1053</v>
      </c>
      <c r="C1028" s="10"/>
      <c r="D1028" s="10"/>
      <c r="E1028" s="19" t="s">
        <v>1344</v>
      </c>
      <c r="F1028" s="19" t="s">
        <v>249</v>
      </c>
      <c r="G1028" s="12" t="s">
        <v>1006</v>
      </c>
      <c r="H1028" s="13">
        <v>8.9545746030231115</v>
      </c>
      <c r="I1028" s="13">
        <v>1.6303407705817705</v>
      </c>
      <c r="J1028" s="13">
        <v>488.24346678944067</v>
      </c>
      <c r="K1028" s="13">
        <v>1054.7599430067949</v>
      </c>
      <c r="L1028" s="13">
        <v>121.7155686784985</v>
      </c>
      <c r="M1028" s="13">
        <v>5063.1702648170849</v>
      </c>
      <c r="N1028" s="13">
        <v>400.37802484647102</v>
      </c>
      <c r="O1028" s="13">
        <v>59.414456698132668</v>
      </c>
      <c r="P1028" s="13">
        <v>15.741790546044632</v>
      </c>
      <c r="Q1028" s="13">
        <v>43.833309196360858</v>
      </c>
      <c r="R1028" s="13">
        <v>4.5822311106041393</v>
      </c>
      <c r="S1028" s="13">
        <v>24.010800039231178</v>
      </c>
      <c r="T1028" s="13">
        <v>90.623331123892044</v>
      </c>
      <c r="U1028" s="13">
        <v>3.4622948948039189</v>
      </c>
      <c r="V1028" s="13">
        <v>8.6389363271132815</v>
      </c>
      <c r="W1028" s="13">
        <v>0.90304069028219369</v>
      </c>
      <c r="X1028" s="13">
        <v>4.9000617270637425</v>
      </c>
      <c r="Y1028" s="13">
        <v>0.54623536023530528</v>
      </c>
      <c r="Z1028" s="13">
        <v>294.01452443765902</v>
      </c>
      <c r="AA1028" s="13"/>
      <c r="AB1028" s="13"/>
      <c r="AC1028" s="14">
        <v>401.44903174413969</v>
      </c>
      <c r="AD1028" s="14">
        <v>279.60551591553519</v>
      </c>
      <c r="AE1028" s="14">
        <v>220.26788540884851</v>
      </c>
      <c r="AF1028" s="14">
        <v>126.93160971202602</v>
      </c>
      <c r="AG1028" s="15">
        <v>0.89946246660272755</v>
      </c>
      <c r="AH1028" s="15">
        <v>0.94027510128217906</v>
      </c>
      <c r="AI1028" s="15">
        <v>1.0223561076839627</v>
      </c>
      <c r="AJ1028" s="41">
        <f t="shared" si="30"/>
        <v>2065.0970033212052</v>
      </c>
      <c r="AK1028" s="44">
        <f t="shared" si="31"/>
        <v>55.870493856545345</v>
      </c>
      <c r="AL1028" s="10"/>
      <c r="AM1028" s="10"/>
    </row>
    <row r="1029" spans="1:39" s="16" customFormat="1" ht="19" customHeight="1">
      <c r="A1029" s="9" t="s">
        <v>1055</v>
      </c>
      <c r="B1029" s="10" t="s">
        <v>1028</v>
      </c>
      <c r="C1029" s="10"/>
      <c r="D1029" s="10"/>
      <c r="E1029" s="19" t="s">
        <v>1344</v>
      </c>
      <c r="F1029" s="19" t="s">
        <v>249</v>
      </c>
      <c r="G1029" s="12" t="s">
        <v>1006</v>
      </c>
      <c r="H1029" s="13">
        <v>3.3352232979234144</v>
      </c>
      <c r="I1029" s="13">
        <v>25.563309095140365</v>
      </c>
      <c r="J1029" s="13">
        <v>2011.7582942656754</v>
      </c>
      <c r="K1029" s="13">
        <v>2208.2758175445838</v>
      </c>
      <c r="L1029" s="13">
        <v>144.1985472949743</v>
      </c>
      <c r="M1029" s="13">
        <v>3467.740464051858</v>
      </c>
      <c r="N1029" s="13">
        <v>400.48258019401004</v>
      </c>
      <c r="O1029" s="13">
        <v>65.000444634646939</v>
      </c>
      <c r="P1029" s="13">
        <v>25.316470926994526</v>
      </c>
      <c r="Q1029" s="13">
        <v>73.21924374455304</v>
      </c>
      <c r="R1029" s="13">
        <v>9.5627563522638166</v>
      </c>
      <c r="S1029" s="13">
        <v>57.53698805615501</v>
      </c>
      <c r="T1029" s="13">
        <v>361.94146085916253</v>
      </c>
      <c r="U1029" s="13">
        <v>10.386178191979406</v>
      </c>
      <c r="V1029" s="13">
        <v>27.13064646093197</v>
      </c>
      <c r="W1029" s="13">
        <v>3.104437833715016</v>
      </c>
      <c r="X1029" s="13">
        <v>17.20060234163299</v>
      </c>
      <c r="Y1029" s="13">
        <v>2.1766877028193008</v>
      </c>
      <c r="Z1029" s="13">
        <v>46.69877043110629</v>
      </c>
      <c r="AA1029" s="13"/>
      <c r="AB1029" s="13"/>
      <c r="AC1029" s="14">
        <v>439.19219347734423</v>
      </c>
      <c r="AD1029" s="14">
        <v>449.67088680274475</v>
      </c>
      <c r="AE1029" s="14">
        <v>367.93589821383438</v>
      </c>
      <c r="AF1029" s="14">
        <v>264.89629784664311</v>
      </c>
      <c r="AG1029" s="15">
        <v>1.1142491295540156</v>
      </c>
      <c r="AH1029" s="15">
        <v>1.1186169185398909</v>
      </c>
      <c r="AI1029" s="15">
        <v>1.211805911582206</v>
      </c>
      <c r="AJ1029" s="41">
        <f t="shared" si="30"/>
        <v>4764.715239299243</v>
      </c>
      <c r="AK1029" s="44">
        <f t="shared" si="31"/>
        <v>9.5809428845766131</v>
      </c>
      <c r="AL1029" s="10"/>
      <c r="AM1029" s="10"/>
    </row>
    <row r="1030" spans="1:39" s="16" customFormat="1" ht="19" customHeight="1">
      <c r="A1030" s="9" t="s">
        <v>1056</v>
      </c>
      <c r="B1030" s="10" t="s">
        <v>1028</v>
      </c>
      <c r="C1030" s="10"/>
      <c r="D1030" s="10"/>
      <c r="E1030" s="19" t="s">
        <v>1344</v>
      </c>
      <c r="F1030" s="19" t="s">
        <v>249</v>
      </c>
      <c r="G1030" s="12" t="s">
        <v>1006</v>
      </c>
      <c r="H1030" s="13">
        <v>2.3741284089196073</v>
      </c>
      <c r="I1030" s="13">
        <v>18.16587039509724</v>
      </c>
      <c r="J1030" s="13">
        <v>1660.8550573222169</v>
      </c>
      <c r="K1030" s="13">
        <v>1991.1800398016542</v>
      </c>
      <c r="L1030" s="13">
        <v>133.99635389386003</v>
      </c>
      <c r="M1030" s="13">
        <v>3167.5900161543659</v>
      </c>
      <c r="N1030" s="13">
        <v>350.80914578981725</v>
      </c>
      <c r="O1030" s="13">
        <v>60.185272398382637</v>
      </c>
      <c r="P1030" s="13">
        <v>23.556842201485786</v>
      </c>
      <c r="Q1030" s="13">
        <v>64.034847821766775</v>
      </c>
      <c r="R1030" s="13">
        <v>8.4278818532063564</v>
      </c>
      <c r="S1030" s="13">
        <v>49.851310053477029</v>
      </c>
      <c r="T1030" s="13">
        <v>307.32545682926582</v>
      </c>
      <c r="U1030" s="13">
        <v>8.8739476315443664</v>
      </c>
      <c r="V1030" s="13">
        <v>22.910953692274298</v>
      </c>
      <c r="W1030" s="13">
        <v>2.5885529544097654</v>
      </c>
      <c r="X1030" s="13">
        <v>14.119536757829119</v>
      </c>
      <c r="Y1030" s="13">
        <v>1.6105078521338332</v>
      </c>
      <c r="Z1030" s="13">
        <v>76.18802426226722</v>
      </c>
      <c r="AA1030" s="13"/>
      <c r="AB1030" s="13"/>
      <c r="AC1030" s="14">
        <v>406.65724593501784</v>
      </c>
      <c r="AD1030" s="14">
        <v>418.4163801329625</v>
      </c>
      <c r="AE1030" s="14">
        <v>321.78315488325012</v>
      </c>
      <c r="AF1030" s="14">
        <v>233.45933111374947</v>
      </c>
      <c r="AG1030" s="15">
        <v>1.1488005872901863</v>
      </c>
      <c r="AH1030" s="15">
        <v>1.1566787785321866</v>
      </c>
      <c r="AI1030" s="15">
        <v>1.2379960409029522</v>
      </c>
      <c r="AJ1030" s="41">
        <f t="shared" ref="AJ1030:AJ1093" si="32">J1030+K1030+L1030+N1030</f>
        <v>4136.8405968075485</v>
      </c>
      <c r="AK1030" s="44">
        <f t="shared" ref="AK1030:AK1093" si="33">M1030/T1030</f>
        <v>10.306956178752598</v>
      </c>
      <c r="AL1030" s="10"/>
      <c r="AM1030" s="10"/>
    </row>
    <row r="1031" spans="1:39" s="16" customFormat="1" ht="19" customHeight="1">
      <c r="A1031" s="9" t="s">
        <v>1057</v>
      </c>
      <c r="B1031" s="10" t="s">
        <v>1028</v>
      </c>
      <c r="C1031" s="10"/>
      <c r="D1031" s="10"/>
      <c r="E1031" s="19" t="s">
        <v>1344</v>
      </c>
      <c r="F1031" s="19" t="s">
        <v>249</v>
      </c>
      <c r="G1031" s="12" t="s">
        <v>1006</v>
      </c>
      <c r="H1031" s="13">
        <v>235.42502103541793</v>
      </c>
      <c r="I1031" s="13">
        <v>97.080960636552604</v>
      </c>
      <c r="J1031" s="13">
        <v>10065.185313400545</v>
      </c>
      <c r="K1031" s="13">
        <v>22693.216389783509</v>
      </c>
      <c r="L1031" s="13">
        <v>2029.0765179445766</v>
      </c>
      <c r="M1031" s="13">
        <v>6977.0697839568647</v>
      </c>
      <c r="N1031" s="13">
        <v>5294.2253502332896</v>
      </c>
      <c r="O1031" s="13">
        <v>592.03619561143807</v>
      </c>
      <c r="P1031" s="13">
        <v>154.8112033992831</v>
      </c>
      <c r="Q1031" s="13">
        <v>363.03674711528629</v>
      </c>
      <c r="R1031" s="13">
        <v>35.851668878791465</v>
      </c>
      <c r="S1031" s="13">
        <v>171.86225884916325</v>
      </c>
      <c r="T1031" s="13">
        <v>750.64760632896264</v>
      </c>
      <c r="U1031" s="13">
        <v>27.583793850532899</v>
      </c>
      <c r="V1031" s="13">
        <v>68.072366470244333</v>
      </c>
      <c r="W1031" s="13">
        <v>8.0726204767465113</v>
      </c>
      <c r="X1031" s="13">
        <v>44.596363930284987</v>
      </c>
      <c r="Y1031" s="13">
        <v>5.6147661979401438</v>
      </c>
      <c r="Z1031" s="13">
        <v>510.70594693387625</v>
      </c>
      <c r="AA1031" s="13"/>
      <c r="AB1031" s="13"/>
      <c r="AC1031" s="14">
        <v>4000.2445649421493</v>
      </c>
      <c r="AD1031" s="14">
        <v>2749.7549449250996</v>
      </c>
      <c r="AE1031" s="14">
        <v>1824.3052618858605</v>
      </c>
      <c r="AF1031" s="14">
        <v>993.12102157317076</v>
      </c>
      <c r="AG1031" s="15">
        <v>0.94419483966285789</v>
      </c>
      <c r="AH1031" s="15">
        <v>1.0178926171802893</v>
      </c>
      <c r="AI1031" s="15">
        <v>1.0937101383837469</v>
      </c>
      <c r="AJ1031" s="41">
        <f t="shared" si="32"/>
        <v>40081.703571361919</v>
      </c>
      <c r="AK1031" s="44">
        <f t="shared" si="33"/>
        <v>9.2947339405745666</v>
      </c>
      <c r="AL1031" s="10"/>
      <c r="AM1031" s="10"/>
    </row>
    <row r="1032" spans="1:39" s="16" customFormat="1" ht="19" customHeight="1">
      <c r="A1032" s="9" t="s">
        <v>1058</v>
      </c>
      <c r="B1032" s="10" t="s">
        <v>1028</v>
      </c>
      <c r="C1032" s="10"/>
      <c r="D1032" s="10"/>
      <c r="E1032" s="19" t="s">
        <v>1344</v>
      </c>
      <c r="F1032" s="19" t="s">
        <v>249</v>
      </c>
      <c r="G1032" s="12" t="s">
        <v>1006</v>
      </c>
      <c r="H1032" s="13">
        <v>230.54525056478434</v>
      </c>
      <c r="I1032" s="13">
        <v>115.23202034452079</v>
      </c>
      <c r="J1032" s="13">
        <v>10185.223029158371</v>
      </c>
      <c r="K1032" s="13">
        <v>20030.472085256271</v>
      </c>
      <c r="L1032" s="13">
        <v>1949.373443898771</v>
      </c>
      <c r="M1032" s="13">
        <v>6725.9267073267511</v>
      </c>
      <c r="N1032" s="13">
        <v>5133.6476846483911</v>
      </c>
      <c r="O1032" s="13">
        <v>580.21533761487865</v>
      </c>
      <c r="P1032" s="13">
        <v>148.70285798626406</v>
      </c>
      <c r="Q1032" s="13">
        <v>369.70348891645409</v>
      </c>
      <c r="R1032" s="13">
        <v>36.850037342070898</v>
      </c>
      <c r="S1032" s="13">
        <v>179.91825814021612</v>
      </c>
      <c r="T1032" s="13">
        <v>811.46000539343015</v>
      </c>
      <c r="U1032" s="13">
        <v>30.074638380666244</v>
      </c>
      <c r="V1032" s="13">
        <v>71.416760815356383</v>
      </c>
      <c r="W1032" s="13">
        <v>8.421210885855027</v>
      </c>
      <c r="X1032" s="13">
        <v>46.97796982837486</v>
      </c>
      <c r="Y1032" s="13">
        <v>6.0084946087859077</v>
      </c>
      <c r="Z1032" s="13">
        <v>479.92765291957687</v>
      </c>
      <c r="AA1032" s="13"/>
      <c r="AB1032" s="13"/>
      <c r="AC1032" s="14">
        <v>3920.3739028032342</v>
      </c>
      <c r="AD1032" s="14">
        <v>2641.2585787968751</v>
      </c>
      <c r="AE1032" s="14">
        <v>1857.8064769671059</v>
      </c>
      <c r="AF1032" s="14">
        <v>1020.7766576750942</v>
      </c>
      <c r="AG1032" s="15">
        <v>0.91421811200080771</v>
      </c>
      <c r="AH1032" s="15">
        <v>0.97869403095045648</v>
      </c>
      <c r="AI1032" s="15">
        <v>1.0550726158695485</v>
      </c>
      <c r="AJ1032" s="41">
        <f t="shared" si="32"/>
        <v>37298.716242961804</v>
      </c>
      <c r="AK1032" s="44">
        <f t="shared" si="33"/>
        <v>8.2886730863164804</v>
      </c>
      <c r="AL1032" s="10"/>
      <c r="AM1032" s="10"/>
    </row>
    <row r="1033" spans="1:39" s="16" customFormat="1" ht="19" customHeight="1">
      <c r="A1033" s="9" t="s">
        <v>1059</v>
      </c>
      <c r="B1033" s="10" t="s">
        <v>1028</v>
      </c>
      <c r="C1033" s="10"/>
      <c r="D1033" s="10"/>
      <c r="E1033" s="19" t="s">
        <v>1344</v>
      </c>
      <c r="F1033" s="19" t="s">
        <v>249</v>
      </c>
      <c r="G1033" s="12" t="s">
        <v>1006</v>
      </c>
      <c r="H1033" s="13">
        <v>11.629982305406337</v>
      </c>
      <c r="I1033" s="13">
        <v>0.29986715064804109</v>
      </c>
      <c r="J1033" s="13">
        <v>262.4047866584516</v>
      </c>
      <c r="K1033" s="13">
        <v>829.58917249529986</v>
      </c>
      <c r="L1033" s="13">
        <v>91.277342052027834</v>
      </c>
      <c r="M1033" s="13">
        <v>3462.244743461385</v>
      </c>
      <c r="N1033" s="13">
        <v>319.71165883998577</v>
      </c>
      <c r="O1033" s="13">
        <v>52.23906814583929</v>
      </c>
      <c r="P1033" s="13">
        <v>15.456914401457299</v>
      </c>
      <c r="Q1033" s="13">
        <v>38.13411788872974</v>
      </c>
      <c r="R1033" s="13">
        <v>3.8411115956368391</v>
      </c>
      <c r="S1033" s="13">
        <v>16.567618759855193</v>
      </c>
      <c r="T1033" s="13">
        <v>48.524237081201662</v>
      </c>
      <c r="U1033" s="13">
        <v>2.0110175098161522</v>
      </c>
      <c r="V1033" s="13">
        <v>3.6768577832744338</v>
      </c>
      <c r="W1033" s="13">
        <v>0.32034059128727405</v>
      </c>
      <c r="X1033" s="13">
        <v>1.2916202763241318</v>
      </c>
      <c r="Y1033" s="13">
        <v>0.12798247926036571</v>
      </c>
      <c r="Z1033" s="13">
        <v>128.8271179029984</v>
      </c>
      <c r="AA1033" s="13"/>
      <c r="AB1033" s="13"/>
      <c r="AC1033" s="14">
        <v>352.96667666107629</v>
      </c>
      <c r="AD1033" s="14">
        <v>274.54554887135527</v>
      </c>
      <c r="AE1033" s="14">
        <v>191.62873310919466</v>
      </c>
      <c r="AF1033" s="14">
        <v>106.4019832586382</v>
      </c>
      <c r="AG1033" s="15">
        <v>1.0082550970716702</v>
      </c>
      <c r="AH1033" s="15">
        <v>1.0556434074688621</v>
      </c>
      <c r="AI1033" s="15">
        <v>1.1600464044699981</v>
      </c>
      <c r="AJ1033" s="41">
        <f t="shared" si="32"/>
        <v>1502.9829600457649</v>
      </c>
      <c r="AK1033" s="44">
        <f t="shared" si="33"/>
        <v>71.350833144838091</v>
      </c>
      <c r="AL1033" s="10"/>
      <c r="AM1033" s="10"/>
    </row>
    <row r="1034" spans="1:39" s="16" customFormat="1" ht="19" customHeight="1">
      <c r="A1034" s="9" t="s">
        <v>1060</v>
      </c>
      <c r="B1034" s="10" t="s">
        <v>1028</v>
      </c>
      <c r="C1034" s="10"/>
      <c r="D1034" s="10"/>
      <c r="E1034" s="19" t="s">
        <v>1344</v>
      </c>
      <c r="F1034" s="19" t="s">
        <v>249</v>
      </c>
      <c r="G1034" s="12" t="s">
        <v>1006</v>
      </c>
      <c r="H1034" s="13">
        <v>4.114846261350114</v>
      </c>
      <c r="I1034" s="13">
        <v>0.12837047464234738</v>
      </c>
      <c r="J1034" s="13">
        <v>289.22551794330781</v>
      </c>
      <c r="K1034" s="13">
        <v>752.4914596348882</v>
      </c>
      <c r="L1034" s="13">
        <v>95.178043045652657</v>
      </c>
      <c r="M1034" s="13">
        <v>3667.5169558586126</v>
      </c>
      <c r="N1034" s="13">
        <v>378.50870647155205</v>
      </c>
      <c r="O1034" s="13">
        <v>68.47860998876375</v>
      </c>
      <c r="P1034" s="13">
        <v>18.107448368895216</v>
      </c>
      <c r="Q1034" s="13">
        <v>52.012085395174225</v>
      </c>
      <c r="R1034" s="13">
        <v>5.3157124264349171</v>
      </c>
      <c r="S1034" s="13">
        <v>22.610656919121872</v>
      </c>
      <c r="T1034" s="13">
        <v>72.129527155210582</v>
      </c>
      <c r="U1034" s="13">
        <v>3.1270169819497595</v>
      </c>
      <c r="V1034" s="13">
        <v>5.6531905337258115</v>
      </c>
      <c r="W1034" s="13">
        <v>0.49439716527978567</v>
      </c>
      <c r="X1034" s="13">
        <v>1.9798965578771484</v>
      </c>
      <c r="Y1034" s="13">
        <v>0.22430623353361337</v>
      </c>
      <c r="Z1034" s="13">
        <v>118.89792142512218</v>
      </c>
      <c r="AA1034" s="13"/>
      <c r="AB1034" s="13"/>
      <c r="AC1034" s="14">
        <v>462.69331073489025</v>
      </c>
      <c r="AD1034" s="14">
        <v>321.62430495373388</v>
      </c>
      <c r="AE1034" s="14">
        <v>261.36726329233278</v>
      </c>
      <c r="AF1034" s="14">
        <v>147.24965170179826</v>
      </c>
      <c r="AG1034" s="15">
        <v>0.88839060291561056</v>
      </c>
      <c r="AH1034" s="15">
        <v>0.9248614019011564</v>
      </c>
      <c r="AI1034" s="15">
        <v>1.0181270004552778</v>
      </c>
      <c r="AJ1034" s="41">
        <f t="shared" si="32"/>
        <v>1515.4037270954009</v>
      </c>
      <c r="AK1034" s="44">
        <f t="shared" si="33"/>
        <v>50.846263666289317</v>
      </c>
      <c r="AL1034" s="10"/>
      <c r="AM1034" s="10"/>
    </row>
    <row r="1035" spans="1:39" s="16" customFormat="1" ht="19" customHeight="1">
      <c r="A1035" s="9" t="s">
        <v>1061</v>
      </c>
      <c r="B1035" s="10" t="s">
        <v>1062</v>
      </c>
      <c r="C1035" s="10"/>
      <c r="D1035" s="10"/>
      <c r="E1035" s="19" t="s">
        <v>1344</v>
      </c>
      <c r="F1035" s="19" t="s">
        <v>249</v>
      </c>
      <c r="G1035" s="12" t="s">
        <v>1006</v>
      </c>
      <c r="H1035" s="13">
        <v>80.979365145745092</v>
      </c>
      <c r="I1035" s="13">
        <v>2.0360165943483275</v>
      </c>
      <c r="J1035" s="13">
        <v>969.43725675424844</v>
      </c>
      <c r="K1035" s="13">
        <v>3222.4696309652818</v>
      </c>
      <c r="L1035" s="13">
        <v>360.0720383803087</v>
      </c>
      <c r="M1035" s="13">
        <v>2844.5544841372957</v>
      </c>
      <c r="N1035" s="13">
        <v>1296.9186310220921</v>
      </c>
      <c r="O1035" s="13">
        <v>225.47201283295354</v>
      </c>
      <c r="P1035" s="13">
        <v>61.942445174941902</v>
      </c>
      <c r="Q1035" s="13">
        <v>167.66251737559543</v>
      </c>
      <c r="R1035" s="13">
        <v>17.093365920107981</v>
      </c>
      <c r="S1035" s="13">
        <v>78.175352372889932</v>
      </c>
      <c r="T1035" s="13">
        <v>254.88198225408794</v>
      </c>
      <c r="U1035" s="13">
        <v>10.779644032557092</v>
      </c>
      <c r="V1035" s="13">
        <v>21.795925349173793</v>
      </c>
      <c r="W1035" s="13">
        <v>1.9474753825184488</v>
      </c>
      <c r="X1035" s="13">
        <v>8.28167325238487</v>
      </c>
      <c r="Y1035" s="13">
        <v>0.93216045595306929</v>
      </c>
      <c r="Z1035" s="13">
        <v>194.21333372431909</v>
      </c>
      <c r="AA1035" s="13"/>
      <c r="AB1035" s="13"/>
      <c r="AC1035" s="14">
        <v>1523.4595461686051</v>
      </c>
      <c r="AD1035" s="14">
        <v>1100.2210510646876</v>
      </c>
      <c r="AE1035" s="14">
        <v>842.52521294269059</v>
      </c>
      <c r="AF1035" s="14">
        <v>473.50044100022109</v>
      </c>
      <c r="AG1035" s="15">
        <v>0.93003223865055618</v>
      </c>
      <c r="AH1035" s="15">
        <v>0.97112030300606755</v>
      </c>
      <c r="AI1035" s="15">
        <v>1.0661521907096694</v>
      </c>
      <c r="AJ1035" s="41">
        <f t="shared" si="32"/>
        <v>5848.8975571219316</v>
      </c>
      <c r="AK1035" s="44">
        <f t="shared" si="33"/>
        <v>11.160280765949171</v>
      </c>
      <c r="AL1035" s="10"/>
      <c r="AM1035" s="10"/>
    </row>
    <row r="1036" spans="1:39" s="16" customFormat="1" ht="19" customHeight="1">
      <c r="A1036" s="9" t="s">
        <v>1063</v>
      </c>
      <c r="B1036" s="10" t="s">
        <v>1062</v>
      </c>
      <c r="C1036" s="10"/>
      <c r="D1036" s="10"/>
      <c r="E1036" s="19" t="s">
        <v>1344</v>
      </c>
      <c r="F1036" s="19" t="s">
        <v>249</v>
      </c>
      <c r="G1036" s="12" t="s">
        <v>1006</v>
      </c>
      <c r="H1036" s="13">
        <v>40.296815830255539</v>
      </c>
      <c r="I1036" s="13">
        <v>1.1285344521057443</v>
      </c>
      <c r="J1036" s="13">
        <v>764.33701983920434</v>
      </c>
      <c r="K1036" s="13">
        <v>1970.8346179709006</v>
      </c>
      <c r="L1036" s="13">
        <v>244.14559667883859</v>
      </c>
      <c r="M1036" s="13">
        <v>2819.7594485078944</v>
      </c>
      <c r="N1036" s="13">
        <v>973.11037507281173</v>
      </c>
      <c r="O1036" s="13">
        <v>175.08727130412186</v>
      </c>
      <c r="P1036" s="13">
        <v>46.198518794408798</v>
      </c>
      <c r="Q1036" s="13">
        <v>133.22515178477227</v>
      </c>
      <c r="R1036" s="13">
        <v>13.667132608732409</v>
      </c>
      <c r="S1036" s="13">
        <v>62.675835107580561</v>
      </c>
      <c r="T1036" s="13">
        <v>207.02275063284932</v>
      </c>
      <c r="U1036" s="13">
        <v>8.8674862531412533</v>
      </c>
      <c r="V1036" s="13">
        <v>17.237848353623942</v>
      </c>
      <c r="W1036" s="13">
        <v>1.5766210960244966</v>
      </c>
      <c r="X1036" s="13">
        <v>6.9261397547622368</v>
      </c>
      <c r="Y1036" s="13">
        <v>0.74355262650240983</v>
      </c>
      <c r="Z1036" s="13">
        <v>169.49127673491463</v>
      </c>
      <c r="AA1036" s="13"/>
      <c r="AB1036" s="13"/>
      <c r="AC1036" s="14">
        <v>1183.0221034062288</v>
      </c>
      <c r="AD1036" s="14">
        <v>820.57759847973</v>
      </c>
      <c r="AE1036" s="14">
        <v>669.47312454659425</v>
      </c>
      <c r="AF1036" s="14">
        <v>378.59093098981742</v>
      </c>
      <c r="AG1036" s="15">
        <v>0.88591601867341219</v>
      </c>
      <c r="AH1036" s="15">
        <v>0.92205463125447473</v>
      </c>
      <c r="AI1036" s="15">
        <v>1.014069410042568</v>
      </c>
      <c r="AJ1036" s="41">
        <f t="shared" si="32"/>
        <v>3952.4276095617552</v>
      </c>
      <c r="AK1036" s="44">
        <f t="shared" si="33"/>
        <v>13.620529337418963</v>
      </c>
      <c r="AL1036" s="10"/>
      <c r="AM1036" s="10"/>
    </row>
    <row r="1037" spans="1:39" s="16" customFormat="1" ht="19" customHeight="1">
      <c r="A1037" s="9" t="s">
        <v>1064</v>
      </c>
      <c r="B1037" s="10" t="s">
        <v>1347</v>
      </c>
      <c r="C1037" s="10"/>
      <c r="D1037" s="10"/>
      <c r="E1037" s="19" t="s">
        <v>1344</v>
      </c>
      <c r="F1037" s="19" t="s">
        <v>249</v>
      </c>
      <c r="G1037" s="12" t="s">
        <v>1006</v>
      </c>
      <c r="H1037" s="13">
        <v>17.777167921288541</v>
      </c>
      <c r="I1037" s="13">
        <v>4.5912278505090462</v>
      </c>
      <c r="J1037" s="13">
        <v>658.50792248781795</v>
      </c>
      <c r="K1037" s="13">
        <v>1698.426510485474</v>
      </c>
      <c r="L1037" s="13">
        <v>191.06980512722379</v>
      </c>
      <c r="M1037" s="13">
        <v>1840.4624629629393</v>
      </c>
      <c r="N1037" s="13">
        <v>774.61640617847047</v>
      </c>
      <c r="O1037" s="13">
        <v>135.3334866852494</v>
      </c>
      <c r="P1037" s="13">
        <v>35.321970940649123</v>
      </c>
      <c r="Q1037" s="13">
        <v>104.09791773839869</v>
      </c>
      <c r="R1037" s="13">
        <v>10.371372188413524</v>
      </c>
      <c r="S1037" s="13">
        <v>44.183217430993828</v>
      </c>
      <c r="T1037" s="13">
        <v>142.69936789625922</v>
      </c>
      <c r="U1037" s="13">
        <v>6.0984231003700415</v>
      </c>
      <c r="V1037" s="13">
        <v>11.371551231299954</v>
      </c>
      <c r="W1037" s="13">
        <v>1.0424524460329549</v>
      </c>
      <c r="X1037" s="13">
        <v>4.2690311839538877</v>
      </c>
      <c r="Y1037" s="13">
        <v>0.40090926980844693</v>
      </c>
      <c r="Z1037" s="13">
        <v>71.502126517389215</v>
      </c>
      <c r="AA1037" s="13"/>
      <c r="AB1037" s="13"/>
      <c r="AC1037" s="14">
        <v>914.41545057600945</v>
      </c>
      <c r="AD1037" s="14">
        <v>627.38847141472695</v>
      </c>
      <c r="AE1037" s="14">
        <v>523.10511426330993</v>
      </c>
      <c r="AF1037" s="14">
        <v>287.29562848790925</v>
      </c>
      <c r="AG1037" s="15">
        <v>0.872875820715447</v>
      </c>
      <c r="AH1037" s="15">
        <v>0.90713155270137313</v>
      </c>
      <c r="AI1037" s="15">
        <v>1.0092478308890471</v>
      </c>
      <c r="AJ1037" s="41">
        <f t="shared" si="32"/>
        <v>3322.6206442789862</v>
      </c>
      <c r="AK1037" s="44">
        <f t="shared" si="33"/>
        <v>12.897481538256947</v>
      </c>
      <c r="AL1037" s="10"/>
      <c r="AM1037" s="10"/>
    </row>
    <row r="1038" spans="1:39" s="16" customFormat="1" ht="19" customHeight="1">
      <c r="A1038" s="9" t="s">
        <v>1065</v>
      </c>
      <c r="B1038" s="10" t="s">
        <v>1347</v>
      </c>
      <c r="C1038" s="10"/>
      <c r="D1038" s="10"/>
      <c r="E1038" s="19" t="s">
        <v>1344</v>
      </c>
      <c r="F1038" s="19" t="s">
        <v>249</v>
      </c>
      <c r="G1038" s="12" t="s">
        <v>1006</v>
      </c>
      <c r="H1038" s="13">
        <v>15.21844012781585</v>
      </c>
      <c r="I1038" s="13">
        <v>3.8632505771930767</v>
      </c>
      <c r="J1038" s="13">
        <v>646.40471908656002</v>
      </c>
      <c r="K1038" s="13">
        <v>1563.3208199731705</v>
      </c>
      <c r="L1038" s="13">
        <v>186.18611433132145</v>
      </c>
      <c r="M1038" s="13">
        <v>1951.7594658805669</v>
      </c>
      <c r="N1038" s="13">
        <v>744.99395563918381</v>
      </c>
      <c r="O1038" s="13">
        <v>128.1239243944006</v>
      </c>
      <c r="P1038" s="13">
        <v>33.78236464540533</v>
      </c>
      <c r="Q1038" s="13">
        <v>98.104790786463639</v>
      </c>
      <c r="R1038" s="13">
        <v>9.8472026664089789</v>
      </c>
      <c r="S1038" s="13">
        <v>41.333169333219331</v>
      </c>
      <c r="T1038" s="13">
        <v>131.68294789617957</v>
      </c>
      <c r="U1038" s="13">
        <v>5.7505967558798599</v>
      </c>
      <c r="V1038" s="13">
        <v>10.877003755028209</v>
      </c>
      <c r="W1038" s="13">
        <v>0.96845242474406978</v>
      </c>
      <c r="X1038" s="13">
        <v>3.968148681629966</v>
      </c>
      <c r="Y1038" s="13">
        <v>0.43962848683924122</v>
      </c>
      <c r="Z1038" s="13">
        <v>93.70116216683121</v>
      </c>
      <c r="AA1038" s="13"/>
      <c r="AB1038" s="13"/>
      <c r="AC1038" s="14">
        <v>865.70219185405813</v>
      </c>
      <c r="AD1038" s="14">
        <v>600.042000806489</v>
      </c>
      <c r="AE1038" s="14">
        <v>492.98889842444038</v>
      </c>
      <c r="AF1038" s="14">
        <v>272.77569713044261</v>
      </c>
      <c r="AG1038" s="15">
        <v>0.8832647907972887</v>
      </c>
      <c r="AH1038" s="15">
        <v>0.91849928420832161</v>
      </c>
      <c r="AI1038" s="15">
        <v>1.0185931422625814</v>
      </c>
      <c r="AJ1038" s="41">
        <f t="shared" si="32"/>
        <v>3140.9056090302356</v>
      </c>
      <c r="AK1038" s="44">
        <f t="shared" si="33"/>
        <v>14.821656843673926</v>
      </c>
      <c r="AL1038" s="10"/>
      <c r="AM1038" s="10"/>
    </row>
    <row r="1039" spans="1:39" s="16" customFormat="1" ht="19" customHeight="1">
      <c r="A1039" s="9" t="s">
        <v>1066</v>
      </c>
      <c r="B1039" s="10" t="s">
        <v>1067</v>
      </c>
      <c r="C1039" s="10"/>
      <c r="D1039" s="10"/>
      <c r="E1039" s="19" t="s">
        <v>1344</v>
      </c>
      <c r="F1039" s="19" t="s">
        <v>249</v>
      </c>
      <c r="G1039" s="12" t="s">
        <v>1006</v>
      </c>
      <c r="H1039" s="13">
        <v>661.09632546987223</v>
      </c>
      <c r="I1039" s="13">
        <v>32.312023150908075</v>
      </c>
      <c r="J1039" s="13">
        <v>2863.6782460071936</v>
      </c>
      <c r="K1039" s="13">
        <v>7033.5274860082409</v>
      </c>
      <c r="L1039" s="13">
        <v>707.94594043758104</v>
      </c>
      <c r="M1039" s="13">
        <v>4466.7035732390323</v>
      </c>
      <c r="N1039" s="13">
        <v>2360.5399395203549</v>
      </c>
      <c r="O1039" s="13">
        <v>282.10199444612999</v>
      </c>
      <c r="P1039" s="13">
        <v>69.177374022736686</v>
      </c>
      <c r="Q1039" s="13">
        <v>182.69983076437052</v>
      </c>
      <c r="R1039" s="13">
        <v>16.979643265793648</v>
      </c>
      <c r="S1039" s="13">
        <v>73.7224042518544</v>
      </c>
      <c r="T1039" s="13">
        <v>257.70557667523252</v>
      </c>
      <c r="U1039" s="13">
        <v>10.45746001978962</v>
      </c>
      <c r="V1039" s="13">
        <v>21.996294829148006</v>
      </c>
      <c r="W1039" s="13">
        <v>2.1163695156003608</v>
      </c>
      <c r="X1039" s="13">
        <v>10.028506618488144</v>
      </c>
      <c r="Y1039" s="13">
        <v>1.1349312281746324</v>
      </c>
      <c r="Z1039" s="13">
        <v>126.83440914266028</v>
      </c>
      <c r="AA1039" s="13"/>
      <c r="AB1039" s="13"/>
      <c r="AC1039" s="14">
        <v>1906.094557068446</v>
      </c>
      <c r="AD1039" s="14">
        <v>1228.7277801551811</v>
      </c>
      <c r="AE1039" s="14">
        <v>918.0896018310076</v>
      </c>
      <c r="AF1039" s="14">
        <v>470.35022896935311</v>
      </c>
      <c r="AG1039" s="15">
        <v>0.87014706621256577</v>
      </c>
      <c r="AH1039" s="15">
        <v>0.92884002688235867</v>
      </c>
      <c r="AI1039" s="15">
        <v>1.0277455307143382</v>
      </c>
      <c r="AJ1039" s="41">
        <f t="shared" si="32"/>
        <v>12965.691611973371</v>
      </c>
      <c r="AK1039" s="44">
        <f t="shared" si="33"/>
        <v>17.332584070806089</v>
      </c>
      <c r="AL1039" s="10"/>
      <c r="AM1039" s="10"/>
    </row>
    <row r="1040" spans="1:39" s="16" customFormat="1" ht="19" customHeight="1">
      <c r="A1040" s="9" t="s">
        <v>1068</v>
      </c>
      <c r="B1040" s="10" t="s">
        <v>1067</v>
      </c>
      <c r="C1040" s="10"/>
      <c r="D1040" s="10"/>
      <c r="E1040" s="19" t="s">
        <v>1344</v>
      </c>
      <c r="F1040" s="19" t="s">
        <v>249</v>
      </c>
      <c r="G1040" s="12" t="s">
        <v>1006</v>
      </c>
      <c r="H1040" s="13">
        <v>568.26305286812658</v>
      </c>
      <c r="I1040" s="13">
        <v>29.649598711894356</v>
      </c>
      <c r="J1040" s="13">
        <v>2634.0361839715574</v>
      </c>
      <c r="K1040" s="13">
        <v>6788.4598992767897</v>
      </c>
      <c r="L1040" s="13">
        <v>649.33095334958091</v>
      </c>
      <c r="M1040" s="13">
        <v>4235.5449896015598</v>
      </c>
      <c r="N1040" s="13">
        <v>2087.4171280509709</v>
      </c>
      <c r="O1040" s="13">
        <v>257.80981864249515</v>
      </c>
      <c r="P1040" s="13">
        <v>64.238367681799048</v>
      </c>
      <c r="Q1040" s="13">
        <v>161.70617970292528</v>
      </c>
      <c r="R1040" s="13">
        <v>14.987474980651044</v>
      </c>
      <c r="S1040" s="13">
        <v>65.880148338829429</v>
      </c>
      <c r="T1040" s="13">
        <v>236.6576037936031</v>
      </c>
      <c r="U1040" s="13">
        <v>9.6449938356624507</v>
      </c>
      <c r="V1040" s="13">
        <v>19.654741634444854</v>
      </c>
      <c r="W1040" s="13">
        <v>1.958670058928681</v>
      </c>
      <c r="X1040" s="13">
        <v>9.4250218306159379</v>
      </c>
      <c r="Y1040" s="13">
        <v>1.002918178767096</v>
      </c>
      <c r="Z1040" s="13">
        <v>145.70384682809762</v>
      </c>
      <c r="AA1040" s="13"/>
      <c r="AB1040" s="13"/>
      <c r="AC1040" s="14">
        <v>1741.9582340709132</v>
      </c>
      <c r="AD1040" s="14">
        <v>1141.0012021633934</v>
      </c>
      <c r="AE1040" s="14">
        <v>812.59386785389586</v>
      </c>
      <c r="AF1040" s="14">
        <v>415.16551192939181</v>
      </c>
      <c r="AG1040" s="15">
        <v>0.89330822519037256</v>
      </c>
      <c r="AH1040" s="15">
        <v>0.95902617945457658</v>
      </c>
      <c r="AI1040" s="15">
        <v>1.0564619353688089</v>
      </c>
      <c r="AJ1040" s="41">
        <f t="shared" si="32"/>
        <v>12159.244164648899</v>
      </c>
      <c r="AK1040" s="44">
        <f t="shared" si="33"/>
        <v>17.897354328388783</v>
      </c>
      <c r="AL1040" s="10"/>
      <c r="AM1040" s="10"/>
    </row>
    <row r="1041" spans="1:39" s="16" customFormat="1" ht="19" customHeight="1">
      <c r="A1041" s="9" t="s">
        <v>1069</v>
      </c>
      <c r="B1041" s="10" t="s">
        <v>1070</v>
      </c>
      <c r="C1041" s="10"/>
      <c r="D1041" s="10"/>
      <c r="E1041" s="19" t="s">
        <v>1344</v>
      </c>
      <c r="F1041" s="19" t="s">
        <v>249</v>
      </c>
      <c r="G1041" s="12" t="s">
        <v>1006</v>
      </c>
      <c r="H1041" s="13">
        <v>14.905053519197248</v>
      </c>
      <c r="I1041" s="13">
        <v>0.56793017862850559</v>
      </c>
      <c r="J1041" s="13">
        <v>160.11477434656064</v>
      </c>
      <c r="K1041" s="13">
        <v>500.83465104879645</v>
      </c>
      <c r="L1041" s="13">
        <v>54.81148897045864</v>
      </c>
      <c r="M1041" s="13">
        <v>2345.3437315449305</v>
      </c>
      <c r="N1041" s="13">
        <v>192.50394589669779</v>
      </c>
      <c r="O1041" s="13">
        <v>30.198494759765858</v>
      </c>
      <c r="P1041" s="13">
        <v>8.9787290001542512</v>
      </c>
      <c r="Q1041" s="13">
        <v>24.081955943299032</v>
      </c>
      <c r="R1041" s="13">
        <v>2.4953579402578256</v>
      </c>
      <c r="S1041" s="13">
        <v>11.773801962530982</v>
      </c>
      <c r="T1041" s="13">
        <v>39.884686961897742</v>
      </c>
      <c r="U1041" s="13">
        <v>1.8724873612166</v>
      </c>
      <c r="V1041" s="13">
        <v>4.1059532160105876</v>
      </c>
      <c r="W1041" s="13">
        <v>0.38254011276673155</v>
      </c>
      <c r="X1041" s="13">
        <v>1.9578294939354832</v>
      </c>
      <c r="Y1041" s="13">
        <v>0.24638873930688265</v>
      </c>
      <c r="Z1041" s="13">
        <v>121.97876163770063</v>
      </c>
      <c r="AA1041" s="13"/>
      <c r="AB1041" s="13"/>
      <c r="AC1041" s="14">
        <v>204.04388351193148</v>
      </c>
      <c r="AD1041" s="14">
        <v>159.48008881268655</v>
      </c>
      <c r="AE1041" s="14">
        <v>121.0148539864273</v>
      </c>
      <c r="AF1041" s="14">
        <v>69.12348864980126</v>
      </c>
      <c r="AG1041" s="15">
        <v>0.98123859115457102</v>
      </c>
      <c r="AH1041" s="15">
        <v>1.0149048733653943</v>
      </c>
      <c r="AI1041" s="15">
        <v>1.1211977020104726</v>
      </c>
      <c r="AJ1041" s="41">
        <f t="shared" si="32"/>
        <v>908.26486026251359</v>
      </c>
      <c r="AK1041" s="44">
        <f t="shared" si="33"/>
        <v>58.803112427219546</v>
      </c>
      <c r="AL1041" s="10"/>
      <c r="AM1041" s="10"/>
    </row>
    <row r="1042" spans="1:39" s="16" customFormat="1" ht="19" customHeight="1">
      <c r="A1042" s="9" t="s">
        <v>1071</v>
      </c>
      <c r="B1042" s="10" t="s">
        <v>1070</v>
      </c>
      <c r="C1042" s="10"/>
      <c r="D1042" s="10"/>
      <c r="E1042" s="19" t="s">
        <v>1344</v>
      </c>
      <c r="F1042" s="19" t="s">
        <v>249</v>
      </c>
      <c r="G1042" s="12" t="s">
        <v>1006</v>
      </c>
      <c r="H1042" s="13">
        <v>16.263053336222363</v>
      </c>
      <c r="I1042" s="13">
        <v>0.51084227869811605</v>
      </c>
      <c r="J1042" s="13">
        <v>162.71686722940754</v>
      </c>
      <c r="K1042" s="13">
        <v>434.21463328636042</v>
      </c>
      <c r="L1042" s="13">
        <v>54.15700670900231</v>
      </c>
      <c r="M1042" s="13">
        <v>2231.1828820181649</v>
      </c>
      <c r="N1042" s="13">
        <v>198.33135589049823</v>
      </c>
      <c r="O1042" s="13">
        <v>31.639155076329722</v>
      </c>
      <c r="P1042" s="13">
        <v>8.7618961724766997</v>
      </c>
      <c r="Q1042" s="13">
        <v>24.965971011200054</v>
      </c>
      <c r="R1042" s="13">
        <v>2.6767224218581482</v>
      </c>
      <c r="S1042" s="13">
        <v>12.813959202242126</v>
      </c>
      <c r="T1042" s="13">
        <v>42.3052090118167</v>
      </c>
      <c r="U1042" s="13">
        <v>1.951242745414369</v>
      </c>
      <c r="V1042" s="13">
        <v>4.3162437902849842</v>
      </c>
      <c r="W1042" s="13">
        <v>0.44072836981295976</v>
      </c>
      <c r="X1042" s="13">
        <v>1.7207841505331434</v>
      </c>
      <c r="Y1042" s="13">
        <v>0.25543230674567835</v>
      </c>
      <c r="Z1042" s="13">
        <v>110.72606356194841</v>
      </c>
      <c r="AA1042" s="13"/>
      <c r="AB1042" s="13"/>
      <c r="AC1042" s="14">
        <v>213.7780748400657</v>
      </c>
      <c r="AD1042" s="14">
        <v>155.62870643830729</v>
      </c>
      <c r="AE1042" s="14">
        <v>125.45714075979926</v>
      </c>
      <c r="AF1042" s="14">
        <v>74.147435508535963</v>
      </c>
      <c r="AG1042" s="15">
        <v>0.91752683260263057</v>
      </c>
      <c r="AH1042" s="15">
        <v>0.9502993540408734</v>
      </c>
      <c r="AI1042" s="15">
        <v>1.0361331174451196</v>
      </c>
      <c r="AJ1042" s="41">
        <f t="shared" si="32"/>
        <v>849.41986311526853</v>
      </c>
      <c r="AK1042" s="44">
        <f t="shared" si="33"/>
        <v>52.740145578643769</v>
      </c>
      <c r="AL1042" s="10"/>
      <c r="AM1042" s="10"/>
    </row>
    <row r="1043" spans="1:39" s="16" customFormat="1" ht="19" customHeight="1">
      <c r="A1043" s="9" t="s">
        <v>1072</v>
      </c>
      <c r="B1043" s="10" t="s">
        <v>1070</v>
      </c>
      <c r="C1043" s="10"/>
      <c r="D1043" s="10"/>
      <c r="E1043" s="19" t="s">
        <v>1344</v>
      </c>
      <c r="F1043" s="19" t="s">
        <v>249</v>
      </c>
      <c r="G1043" s="12" t="s">
        <v>1006</v>
      </c>
      <c r="H1043" s="13">
        <v>26.698124484930709</v>
      </c>
      <c r="I1043" s="13">
        <v>0.69296655436540855</v>
      </c>
      <c r="J1043" s="13">
        <v>174.13327619977932</v>
      </c>
      <c r="K1043" s="13">
        <v>520.58208375028266</v>
      </c>
      <c r="L1043" s="13">
        <v>58.850642598626663</v>
      </c>
      <c r="M1043" s="13">
        <v>2142.9503531561027</v>
      </c>
      <c r="N1043" s="13">
        <v>208.29051821556422</v>
      </c>
      <c r="O1043" s="13">
        <v>30.86295200227163</v>
      </c>
      <c r="P1043" s="13">
        <v>10.064233637289371</v>
      </c>
      <c r="Q1043" s="13">
        <v>26.156938958450549</v>
      </c>
      <c r="R1043" s="13">
        <v>2.8216432916483458</v>
      </c>
      <c r="S1043" s="13">
        <v>14.737716206552181</v>
      </c>
      <c r="T1043" s="13">
        <v>47.739536789594347</v>
      </c>
      <c r="U1043" s="13">
        <v>2.4568993928304392</v>
      </c>
      <c r="V1043" s="13">
        <v>4.778803709066799</v>
      </c>
      <c r="W1043" s="13">
        <v>0.62528473302551435</v>
      </c>
      <c r="X1043" s="13">
        <v>2.15244442663524</v>
      </c>
      <c r="Y1043" s="13">
        <v>0.22489565753901455</v>
      </c>
      <c r="Z1043" s="13">
        <v>122.29833009998258</v>
      </c>
      <c r="AA1043" s="13"/>
      <c r="AB1043" s="13"/>
      <c r="AC1043" s="14">
        <v>208.53345947480832</v>
      </c>
      <c r="AD1043" s="14">
        <v>178.76081060904747</v>
      </c>
      <c r="AE1043" s="14">
        <v>131.44190431382185</v>
      </c>
      <c r="AF1043" s="14">
        <v>78.161864034580219</v>
      </c>
      <c r="AG1043" s="15">
        <v>1.0516103791578664</v>
      </c>
      <c r="AH1043" s="15">
        <v>1.079735846981928</v>
      </c>
      <c r="AI1043" s="15">
        <v>1.1889315381931302</v>
      </c>
      <c r="AJ1043" s="41">
        <f t="shared" si="32"/>
        <v>961.85652076425288</v>
      </c>
      <c r="AK1043" s="44">
        <f t="shared" si="33"/>
        <v>44.888377585247028</v>
      </c>
      <c r="AL1043" s="10"/>
      <c r="AM1043" s="10"/>
    </row>
    <row r="1044" spans="1:39" s="16" customFormat="1" ht="19" customHeight="1">
      <c r="A1044" s="9" t="s">
        <v>1073</v>
      </c>
      <c r="B1044" s="10" t="s">
        <v>1070</v>
      </c>
      <c r="C1044" s="10"/>
      <c r="D1044" s="10"/>
      <c r="E1044" s="19" t="s">
        <v>1344</v>
      </c>
      <c r="F1044" s="19" t="s">
        <v>249</v>
      </c>
      <c r="G1044" s="12" t="s">
        <v>1006</v>
      </c>
      <c r="H1044" s="13">
        <v>28.78859212043935</v>
      </c>
      <c r="I1044" s="13">
        <v>0.75693811198531769</v>
      </c>
      <c r="J1044" s="13">
        <v>188.98179107568123</v>
      </c>
      <c r="K1044" s="13">
        <v>563.78969051024853</v>
      </c>
      <c r="L1044" s="13">
        <v>67.119178971384301</v>
      </c>
      <c r="M1044" s="13">
        <v>2289.3210243250983</v>
      </c>
      <c r="N1044" s="13">
        <v>230.95769051940485</v>
      </c>
      <c r="O1044" s="13">
        <v>37.404027267904745</v>
      </c>
      <c r="P1044" s="13">
        <v>10.434224778613199</v>
      </c>
      <c r="Q1044" s="13">
        <v>28.65988053701367</v>
      </c>
      <c r="R1044" s="13">
        <v>3.0474033143349475</v>
      </c>
      <c r="S1044" s="13">
        <v>16.595077204482067</v>
      </c>
      <c r="T1044" s="13">
        <v>53.181947872962716</v>
      </c>
      <c r="U1044" s="13">
        <v>2.5187225205276969</v>
      </c>
      <c r="V1044" s="13">
        <v>5.089472903631429</v>
      </c>
      <c r="W1044" s="13">
        <v>0.55805391197109977</v>
      </c>
      <c r="X1044" s="13">
        <v>2.5505084133990481</v>
      </c>
      <c r="Y1044" s="13">
        <v>0.41684050048432542</v>
      </c>
      <c r="Z1044" s="13">
        <v>120.00102672225428</v>
      </c>
      <c r="AA1044" s="13"/>
      <c r="AB1044" s="13"/>
      <c r="AC1044" s="14">
        <v>252.72991397232937</v>
      </c>
      <c r="AD1044" s="14">
        <v>185.33258931817406</v>
      </c>
      <c r="AE1044" s="14">
        <v>144.01950018599834</v>
      </c>
      <c r="AF1044" s="14">
        <v>84.415604275206306</v>
      </c>
      <c r="AG1044" s="15">
        <v>0.93425513790029102</v>
      </c>
      <c r="AH1044" s="15">
        <v>0.97143292479214671</v>
      </c>
      <c r="AI1044" s="15">
        <v>1.056914321398561</v>
      </c>
      <c r="AJ1044" s="41">
        <f t="shared" si="32"/>
        <v>1050.8483510767189</v>
      </c>
      <c r="AK1044" s="44">
        <f t="shared" si="33"/>
        <v>43.046957019958477</v>
      </c>
      <c r="AL1044" s="10"/>
      <c r="AM1044" s="10"/>
    </row>
    <row r="1045" spans="1:39" s="16" customFormat="1" ht="19" customHeight="1">
      <c r="A1045" s="9" t="s">
        <v>1074</v>
      </c>
      <c r="B1045" s="10" t="s">
        <v>1053</v>
      </c>
      <c r="C1045" s="10"/>
      <c r="D1045" s="10"/>
      <c r="E1045" s="19" t="s">
        <v>1344</v>
      </c>
      <c r="F1045" s="19" t="s">
        <v>249</v>
      </c>
      <c r="G1045" s="12" t="s">
        <v>1006</v>
      </c>
      <c r="H1045" s="13">
        <v>19.654459133191004</v>
      </c>
      <c r="I1045" s="13">
        <v>1.9767117210227987</v>
      </c>
      <c r="J1045" s="13">
        <v>456.79451816835848</v>
      </c>
      <c r="K1045" s="13">
        <v>1053.8795214102438</v>
      </c>
      <c r="L1045" s="13">
        <v>117.30635404533676</v>
      </c>
      <c r="M1045" s="13">
        <v>4352.4873488947351</v>
      </c>
      <c r="N1045" s="13">
        <v>413.43930862461502</v>
      </c>
      <c r="O1045" s="13">
        <v>59.939525382927847</v>
      </c>
      <c r="P1045" s="13">
        <v>16.758724701992033</v>
      </c>
      <c r="Q1045" s="13">
        <v>46.922532765589622</v>
      </c>
      <c r="R1045" s="13">
        <v>5.0404873350306234</v>
      </c>
      <c r="S1045" s="13">
        <v>25.007551830450165</v>
      </c>
      <c r="T1045" s="13">
        <v>93.907167798041641</v>
      </c>
      <c r="U1045" s="13">
        <v>3.9219990021215789</v>
      </c>
      <c r="V1045" s="13">
        <v>9.1954698108476158</v>
      </c>
      <c r="W1045" s="13">
        <v>0.98521701923420724</v>
      </c>
      <c r="X1045" s="13">
        <v>4.5058238305544629</v>
      </c>
      <c r="Y1045" s="13">
        <v>0.48635047422338257</v>
      </c>
      <c r="Z1045" s="13">
        <v>201.63092222898655</v>
      </c>
      <c r="AA1045" s="13"/>
      <c r="AB1045" s="13"/>
      <c r="AC1045" s="14">
        <v>404.9967931278909</v>
      </c>
      <c r="AD1045" s="14">
        <v>297.66828955580877</v>
      </c>
      <c r="AE1045" s="14">
        <v>235.79162193763628</v>
      </c>
      <c r="AF1045" s="14">
        <v>139.62568795098679</v>
      </c>
      <c r="AG1045" s="15">
        <v>0.9290688862574682</v>
      </c>
      <c r="AH1045" s="15">
        <v>0.96325793405293347</v>
      </c>
      <c r="AI1045" s="15">
        <v>1.0481973899739341</v>
      </c>
      <c r="AJ1045" s="41">
        <f t="shared" si="32"/>
        <v>2041.4197022485541</v>
      </c>
      <c r="AK1045" s="44">
        <f t="shared" si="33"/>
        <v>46.348829923773962</v>
      </c>
      <c r="AL1045" s="10"/>
      <c r="AM1045" s="10"/>
    </row>
    <row r="1046" spans="1:39" s="16" customFormat="1" ht="19" customHeight="1">
      <c r="A1046" s="9" t="s">
        <v>1075</v>
      </c>
      <c r="B1046" s="10" t="s">
        <v>1348</v>
      </c>
      <c r="C1046" s="10"/>
      <c r="D1046" s="10"/>
      <c r="E1046" s="19" t="s">
        <v>1344</v>
      </c>
      <c r="F1046" s="19" t="s">
        <v>249</v>
      </c>
      <c r="G1046" s="12" t="s">
        <v>1006</v>
      </c>
      <c r="H1046" s="13">
        <v>19.209904595290297</v>
      </c>
      <c r="I1046" s="13">
        <v>0.43111498541237064</v>
      </c>
      <c r="J1046" s="13">
        <v>937.69554186392827</v>
      </c>
      <c r="K1046" s="13">
        <v>3482.3714924063306</v>
      </c>
      <c r="L1046" s="13">
        <v>366.81836593235181</v>
      </c>
      <c r="M1046" s="13">
        <v>6352.8785410440887</v>
      </c>
      <c r="N1046" s="13">
        <v>1304.0171795053636</v>
      </c>
      <c r="O1046" s="13">
        <v>211.08964849297749</v>
      </c>
      <c r="P1046" s="13">
        <v>56.385184960882093</v>
      </c>
      <c r="Q1046" s="13">
        <v>150.46458515265604</v>
      </c>
      <c r="R1046" s="13">
        <v>15.514749233352971</v>
      </c>
      <c r="S1046" s="13">
        <v>72.050288949623663</v>
      </c>
      <c r="T1046" s="13">
        <v>233.82822120952491</v>
      </c>
      <c r="U1046" s="13">
        <v>10.184902153778973</v>
      </c>
      <c r="V1046" s="13">
        <v>20.767247214172595</v>
      </c>
      <c r="W1046" s="13">
        <v>1.8797506843141758</v>
      </c>
      <c r="X1046" s="13">
        <v>9.1026380186667861</v>
      </c>
      <c r="Y1046" s="13">
        <v>1.1309332550462052</v>
      </c>
      <c r="Z1046" s="13">
        <v>332.5585641677111</v>
      </c>
      <c r="AA1046" s="13"/>
      <c r="AB1046" s="13"/>
      <c r="AC1046" s="14">
        <v>1426.2814087363345</v>
      </c>
      <c r="AD1046" s="14">
        <v>1001.5130543673552</v>
      </c>
      <c r="AE1046" s="14">
        <v>756.10344297817107</v>
      </c>
      <c r="AF1046" s="14">
        <v>429.77144690728448</v>
      </c>
      <c r="AG1046" s="15">
        <v>0.91781525479390624</v>
      </c>
      <c r="AH1046" s="15">
        <v>0.96441375535075535</v>
      </c>
      <c r="AI1046" s="15">
        <v>1.0473872457993496</v>
      </c>
      <c r="AJ1046" s="41">
        <f t="shared" si="32"/>
        <v>6090.9025797079748</v>
      </c>
      <c r="AK1046" s="44">
        <f t="shared" si="33"/>
        <v>27.168998285076576</v>
      </c>
      <c r="AL1046" s="10"/>
      <c r="AM1046" s="10"/>
    </row>
    <row r="1047" spans="1:39" s="16" customFormat="1" ht="19" customHeight="1">
      <c r="A1047" s="9" t="s">
        <v>1076</v>
      </c>
      <c r="B1047" s="10" t="s">
        <v>1348</v>
      </c>
      <c r="C1047" s="10"/>
      <c r="D1047" s="10"/>
      <c r="E1047" s="19" t="s">
        <v>1344</v>
      </c>
      <c r="F1047" s="19" t="s">
        <v>249</v>
      </c>
      <c r="G1047" s="12" t="s">
        <v>1006</v>
      </c>
      <c r="H1047" s="13">
        <v>22.395048702137753</v>
      </c>
      <c r="I1047" s="13">
        <v>1.7874540075651026</v>
      </c>
      <c r="J1047" s="13">
        <v>1090.6653285054836</v>
      </c>
      <c r="K1047" s="13">
        <v>3656.7463611926846</v>
      </c>
      <c r="L1047" s="13">
        <v>394.9074267231012</v>
      </c>
      <c r="M1047" s="13">
        <v>5867.4946681265455</v>
      </c>
      <c r="N1047" s="13">
        <v>1548.6109475984038</v>
      </c>
      <c r="O1047" s="13">
        <v>264.03975654213139</v>
      </c>
      <c r="P1047" s="13">
        <v>68.207710711587097</v>
      </c>
      <c r="Q1047" s="13">
        <v>199.89000113606886</v>
      </c>
      <c r="R1047" s="13">
        <v>20.158268497257843</v>
      </c>
      <c r="S1047" s="13">
        <v>91.554156929035273</v>
      </c>
      <c r="T1047" s="13">
        <v>280.94971024976172</v>
      </c>
      <c r="U1047" s="13">
        <v>13.214039675762281</v>
      </c>
      <c r="V1047" s="13">
        <v>25.97225241720961</v>
      </c>
      <c r="W1047" s="13">
        <v>2.5034755635489243</v>
      </c>
      <c r="X1047" s="13">
        <v>11.202994627784241</v>
      </c>
      <c r="Y1047" s="13">
        <v>1.302644737729252</v>
      </c>
      <c r="Z1047" s="13">
        <v>327.9955250574618</v>
      </c>
      <c r="AA1047" s="13"/>
      <c r="AB1047" s="13"/>
      <c r="AC1047" s="14">
        <v>1784.0524090684553</v>
      </c>
      <c r="AD1047" s="14">
        <v>1211.5046307564317</v>
      </c>
      <c r="AE1047" s="14">
        <v>1004.4723675179339</v>
      </c>
      <c r="AF1047" s="14">
        <v>558.40078939772422</v>
      </c>
      <c r="AG1047" s="15">
        <v>0.86892154656736575</v>
      </c>
      <c r="AH1047" s="15">
        <v>0.90500770635955052</v>
      </c>
      <c r="AI1047" s="15">
        <v>1.0001642617473774</v>
      </c>
      <c r="AJ1047" s="41">
        <f t="shared" si="32"/>
        <v>6690.9300640196734</v>
      </c>
      <c r="AK1047" s="44">
        <f t="shared" si="33"/>
        <v>20.884501581832552</v>
      </c>
      <c r="AL1047" s="10"/>
      <c r="AM1047" s="10"/>
    </row>
    <row r="1048" spans="1:39" s="16" customFormat="1" ht="19" customHeight="1">
      <c r="A1048" s="9" t="s">
        <v>1077</v>
      </c>
      <c r="B1048" s="10" t="s">
        <v>1028</v>
      </c>
      <c r="C1048" s="10"/>
      <c r="D1048" s="10"/>
      <c r="E1048" s="19" t="s">
        <v>1344</v>
      </c>
      <c r="F1048" s="19" t="s">
        <v>249</v>
      </c>
      <c r="G1048" s="12" t="s">
        <v>1006</v>
      </c>
      <c r="H1048" s="13">
        <v>11.058612505836924</v>
      </c>
      <c r="I1048" s="13">
        <v>0.45975178470211625</v>
      </c>
      <c r="J1048" s="13">
        <v>622.93982945742232</v>
      </c>
      <c r="K1048" s="13">
        <v>2311.4137324878925</v>
      </c>
      <c r="L1048" s="13">
        <v>236.94331345542983</v>
      </c>
      <c r="M1048" s="13">
        <v>4195.5960322038063</v>
      </c>
      <c r="N1048" s="13">
        <v>851.16473670811411</v>
      </c>
      <c r="O1048" s="13">
        <v>133.33010758601912</v>
      </c>
      <c r="P1048" s="13">
        <v>35.887058644724213</v>
      </c>
      <c r="Q1048" s="13">
        <v>96.327643396785021</v>
      </c>
      <c r="R1048" s="13">
        <v>9.5974371390484361</v>
      </c>
      <c r="S1048" s="13">
        <v>41.535134600888867</v>
      </c>
      <c r="T1048" s="13">
        <v>118.87774959419779</v>
      </c>
      <c r="U1048" s="13">
        <v>5.7371648334663377</v>
      </c>
      <c r="V1048" s="13">
        <v>10.843184001193046</v>
      </c>
      <c r="W1048" s="13">
        <v>0.98160755524753807</v>
      </c>
      <c r="X1048" s="13">
        <v>4.1679833705555724</v>
      </c>
      <c r="Y1048" s="13">
        <v>0.43678864281712448</v>
      </c>
      <c r="Z1048" s="13">
        <v>260.42572574582135</v>
      </c>
      <c r="AA1048" s="13"/>
      <c r="AB1048" s="13"/>
      <c r="AC1048" s="14">
        <v>900.87910531094008</v>
      </c>
      <c r="AD1048" s="14">
        <v>637.4255531922596</v>
      </c>
      <c r="AE1048" s="14">
        <v>484.05850953158301</v>
      </c>
      <c r="AF1048" s="14">
        <v>265.8569844611755</v>
      </c>
      <c r="AG1048" s="15">
        <v>0.92051157591634802</v>
      </c>
      <c r="AH1048" s="15">
        <v>0.96526660840672784</v>
      </c>
      <c r="AI1048" s="15">
        <v>1.0627613918752556</v>
      </c>
      <c r="AJ1048" s="41">
        <f t="shared" si="32"/>
        <v>4022.4616121088588</v>
      </c>
      <c r="AK1048" s="44">
        <f t="shared" si="33"/>
        <v>35.293366896041796</v>
      </c>
      <c r="AL1048" s="10"/>
      <c r="AM1048" s="10"/>
    </row>
    <row r="1049" spans="1:39" s="16" customFormat="1" ht="19" customHeight="1">
      <c r="A1049" s="9" t="s">
        <v>1078</v>
      </c>
      <c r="B1049" s="10" t="s">
        <v>1028</v>
      </c>
      <c r="C1049" s="10"/>
      <c r="D1049" s="10"/>
      <c r="E1049" s="19" t="s">
        <v>1344</v>
      </c>
      <c r="F1049" s="19" t="s">
        <v>249</v>
      </c>
      <c r="G1049" s="12" t="s">
        <v>1006</v>
      </c>
      <c r="H1049" s="13">
        <v>16.282405668960823</v>
      </c>
      <c r="I1049" s="13">
        <v>0.35581432570539773</v>
      </c>
      <c r="J1049" s="13">
        <v>605.24040950446988</v>
      </c>
      <c r="K1049" s="13">
        <v>2310.677612474527</v>
      </c>
      <c r="L1049" s="13">
        <v>230.42572325363534</v>
      </c>
      <c r="M1049" s="13">
        <v>3835.090178425879</v>
      </c>
      <c r="N1049" s="13">
        <v>830.68027805933241</v>
      </c>
      <c r="O1049" s="13">
        <v>126.89661005799944</v>
      </c>
      <c r="P1049" s="13">
        <v>35.712082326592601</v>
      </c>
      <c r="Q1049" s="13">
        <v>91.195728468621439</v>
      </c>
      <c r="R1049" s="13">
        <v>9.04292363602117</v>
      </c>
      <c r="S1049" s="13">
        <v>39.705784984997003</v>
      </c>
      <c r="T1049" s="13">
        <v>114.86339383004247</v>
      </c>
      <c r="U1049" s="13">
        <v>5.6318831231582092</v>
      </c>
      <c r="V1049" s="13">
        <v>10.658804329652172</v>
      </c>
      <c r="W1049" s="13">
        <v>1.0164336397961267</v>
      </c>
      <c r="X1049" s="13">
        <v>4.038141234916079</v>
      </c>
      <c r="Y1049" s="13">
        <v>0.44146211094215471</v>
      </c>
      <c r="Z1049" s="13">
        <v>227.86462700282658</v>
      </c>
      <c r="AA1049" s="13"/>
      <c r="AB1049" s="13"/>
      <c r="AC1049" s="14">
        <v>857.40952741891522</v>
      </c>
      <c r="AD1049" s="14">
        <v>634.31762569436239</v>
      </c>
      <c r="AE1049" s="14">
        <v>458.26999230463031</v>
      </c>
      <c r="AF1049" s="14">
        <v>250.49649961277478</v>
      </c>
      <c r="AG1049" s="15">
        <v>0.96424336806222699</v>
      </c>
      <c r="AH1049" s="15">
        <v>1.0119333673949165</v>
      </c>
      <c r="AI1049" s="15">
        <v>1.1149293691482465</v>
      </c>
      <c r="AJ1049" s="41">
        <f t="shared" si="32"/>
        <v>3977.0240232919646</v>
      </c>
      <c r="AK1049" s="44">
        <f t="shared" si="33"/>
        <v>33.388271498406773</v>
      </c>
      <c r="AL1049" s="10"/>
      <c r="AM1049" s="10"/>
    </row>
    <row r="1050" spans="1:39" s="16" customFormat="1" ht="19" customHeight="1">
      <c r="A1050" s="9" t="s">
        <v>1079</v>
      </c>
      <c r="B1050" s="10" t="s">
        <v>1031</v>
      </c>
      <c r="C1050" s="10"/>
      <c r="D1050" s="10"/>
      <c r="E1050" s="19" t="s">
        <v>1344</v>
      </c>
      <c r="F1050" s="19" t="s">
        <v>249</v>
      </c>
      <c r="G1050" s="12" t="s">
        <v>1006</v>
      </c>
      <c r="H1050" s="13">
        <v>8.0962559311076898</v>
      </c>
      <c r="I1050" s="13">
        <v>0.36417657684711746</v>
      </c>
      <c r="J1050" s="13">
        <v>449.4974996015535</v>
      </c>
      <c r="K1050" s="13">
        <v>1865.4063500188038</v>
      </c>
      <c r="L1050" s="13">
        <v>181.4019502476942</v>
      </c>
      <c r="M1050" s="13">
        <v>3081.5384773374381</v>
      </c>
      <c r="N1050" s="13">
        <v>675.43091434711175</v>
      </c>
      <c r="O1050" s="13">
        <v>121.54292120408728</v>
      </c>
      <c r="P1050" s="13">
        <v>34.791642953130356</v>
      </c>
      <c r="Q1050" s="13">
        <v>90.903309651526072</v>
      </c>
      <c r="R1050" s="13">
        <v>9.5354878816623732</v>
      </c>
      <c r="S1050" s="13">
        <v>43.053885726813157</v>
      </c>
      <c r="T1050" s="13">
        <v>136.0265645495908</v>
      </c>
      <c r="U1050" s="13">
        <v>6.2819109376861544</v>
      </c>
      <c r="V1050" s="13">
        <v>11.836517592120263</v>
      </c>
      <c r="W1050" s="13">
        <v>1.1211928605110575</v>
      </c>
      <c r="X1050" s="13">
        <v>4.7858809040934815</v>
      </c>
      <c r="Y1050" s="13">
        <v>0.59160000612049735</v>
      </c>
      <c r="Z1050" s="13">
        <v>238.74170554991645</v>
      </c>
      <c r="AA1050" s="13"/>
      <c r="AB1050" s="13"/>
      <c r="AC1050" s="14">
        <v>821.2359540816708</v>
      </c>
      <c r="AD1050" s="14">
        <v>617.96879135222662</v>
      </c>
      <c r="AE1050" s="14">
        <v>456.8005510126938</v>
      </c>
      <c r="AF1050" s="14">
        <v>264.14093855020423</v>
      </c>
      <c r="AG1050" s="15">
        <v>0.96705968708866963</v>
      </c>
      <c r="AH1050" s="15">
        <v>1.0089490970425177</v>
      </c>
      <c r="AI1050" s="15">
        <v>1.0982705406100053</v>
      </c>
      <c r="AJ1050" s="41">
        <f t="shared" si="32"/>
        <v>3171.7367142151634</v>
      </c>
      <c r="AK1050" s="44">
        <f t="shared" si="33"/>
        <v>22.653946216615729</v>
      </c>
      <c r="AL1050" s="10"/>
      <c r="AM1050" s="10"/>
    </row>
    <row r="1051" spans="1:39" s="16" customFormat="1" ht="19" customHeight="1">
      <c r="A1051" s="9" t="s">
        <v>1080</v>
      </c>
      <c r="B1051" s="10" t="s">
        <v>1031</v>
      </c>
      <c r="C1051" s="10"/>
      <c r="D1051" s="10"/>
      <c r="E1051" s="19" t="s">
        <v>1344</v>
      </c>
      <c r="F1051" s="19" t="s">
        <v>249</v>
      </c>
      <c r="G1051" s="12" t="s">
        <v>1006</v>
      </c>
      <c r="H1051" s="13">
        <v>9.8338268756314093</v>
      </c>
      <c r="I1051" s="13">
        <v>1.066350677355554</v>
      </c>
      <c r="J1051" s="13">
        <v>358.14936093589739</v>
      </c>
      <c r="K1051" s="13">
        <v>1428.7746048166496</v>
      </c>
      <c r="L1051" s="13">
        <v>145.42729118598251</v>
      </c>
      <c r="M1051" s="13">
        <v>3180.3370006155487</v>
      </c>
      <c r="N1051" s="13">
        <v>540.20418798011087</v>
      </c>
      <c r="O1051" s="13">
        <v>92.813652971356206</v>
      </c>
      <c r="P1051" s="13">
        <v>26.725983465775016</v>
      </c>
      <c r="Q1051" s="13">
        <v>70.197003030472047</v>
      </c>
      <c r="R1051" s="13">
        <v>7.7380868079802241</v>
      </c>
      <c r="S1051" s="13">
        <v>35.511876935599176</v>
      </c>
      <c r="T1051" s="13">
        <v>108.68623757367355</v>
      </c>
      <c r="U1051" s="13">
        <v>4.9475890347613873</v>
      </c>
      <c r="V1051" s="13">
        <v>9.6043052057795073</v>
      </c>
      <c r="W1051" s="13">
        <v>0.88257346828330618</v>
      </c>
      <c r="X1051" s="13">
        <v>3.8794125147954324</v>
      </c>
      <c r="Y1051" s="13">
        <v>0.4363830641771152</v>
      </c>
      <c r="Z1051" s="13">
        <v>386.72304414487519</v>
      </c>
      <c r="AA1051" s="13"/>
      <c r="AB1051" s="13"/>
      <c r="AC1051" s="14">
        <v>627.1192768334879</v>
      </c>
      <c r="AD1051" s="14">
        <v>474.7066334951158</v>
      </c>
      <c r="AE1051" s="14">
        <v>352.74875894709567</v>
      </c>
      <c r="AF1051" s="14">
        <v>214.35143512410593</v>
      </c>
      <c r="AG1051" s="15">
        <v>0.96891952010038673</v>
      </c>
      <c r="AH1051" s="15">
        <v>1.0092935038238442</v>
      </c>
      <c r="AI1051" s="15">
        <v>1.0826375064566029</v>
      </c>
      <c r="AJ1051" s="41">
        <f t="shared" si="32"/>
        <v>2472.5554449186402</v>
      </c>
      <c r="AK1051" s="44">
        <f t="shared" si="33"/>
        <v>29.261634882334942</v>
      </c>
      <c r="AL1051" s="10"/>
      <c r="AM1051" s="10"/>
    </row>
    <row r="1052" spans="1:39" s="16" customFormat="1" ht="19" customHeight="1">
      <c r="A1052" s="9" t="s">
        <v>1081</v>
      </c>
      <c r="B1052" s="10" t="s">
        <v>1349</v>
      </c>
      <c r="C1052" s="10"/>
      <c r="D1052" s="10"/>
      <c r="E1052" s="19" t="s">
        <v>1344</v>
      </c>
      <c r="F1052" s="19" t="s">
        <v>249</v>
      </c>
      <c r="G1052" s="12" t="s">
        <v>1006</v>
      </c>
      <c r="H1052" s="13">
        <v>3.2800345486691183</v>
      </c>
      <c r="I1052" s="13">
        <v>0.93535195129808624</v>
      </c>
      <c r="J1052" s="13">
        <v>920.08588717893213</v>
      </c>
      <c r="K1052" s="13">
        <v>3535.8621107918502</v>
      </c>
      <c r="L1052" s="13">
        <v>338.25342030334474</v>
      </c>
      <c r="M1052" s="13">
        <v>2892.9680574835693</v>
      </c>
      <c r="N1052" s="13">
        <v>1273.6391157322983</v>
      </c>
      <c r="O1052" s="13">
        <v>216.45485004084554</v>
      </c>
      <c r="P1052" s="13">
        <v>57.333741838672175</v>
      </c>
      <c r="Q1052" s="13">
        <v>168.59641354522097</v>
      </c>
      <c r="R1052" s="13">
        <v>19.061091317647307</v>
      </c>
      <c r="S1052" s="13">
        <v>92.612132781943046</v>
      </c>
      <c r="T1052" s="13">
        <v>327.40629824431744</v>
      </c>
      <c r="U1052" s="13">
        <v>14.287555497443805</v>
      </c>
      <c r="V1052" s="13">
        <v>30.680962515873361</v>
      </c>
      <c r="W1052" s="13">
        <v>3.0410349200891198</v>
      </c>
      <c r="X1052" s="13">
        <v>14.801160934972321</v>
      </c>
      <c r="Y1052" s="13">
        <v>1.8010259801389121</v>
      </c>
      <c r="Z1052" s="13">
        <v>220.48758134850846</v>
      </c>
      <c r="AA1052" s="13"/>
      <c r="AB1052" s="13"/>
      <c r="AC1052" s="14">
        <v>1462.5327705462537</v>
      </c>
      <c r="AD1052" s="14">
        <v>1018.3613115217083</v>
      </c>
      <c r="AE1052" s="14">
        <v>847.21815851869826</v>
      </c>
      <c r="AF1052" s="14">
        <v>528.00806974092268</v>
      </c>
      <c r="AG1052" s="15">
        <v>0.88179318272552265</v>
      </c>
      <c r="AH1052" s="15">
        <v>0.9148533042386966</v>
      </c>
      <c r="AI1052" s="15">
        <v>0.9778779078271187</v>
      </c>
      <c r="AJ1052" s="41">
        <f t="shared" si="32"/>
        <v>6067.8405340064255</v>
      </c>
      <c r="AK1052" s="44">
        <f t="shared" si="33"/>
        <v>8.83601834478082</v>
      </c>
      <c r="AL1052" s="10"/>
      <c r="AM1052" s="10"/>
    </row>
    <row r="1053" spans="1:39" s="16" customFormat="1" ht="19" customHeight="1">
      <c r="A1053" s="9" t="s">
        <v>1082</v>
      </c>
      <c r="B1053" s="10" t="s">
        <v>1349</v>
      </c>
      <c r="C1053" s="10"/>
      <c r="D1053" s="10"/>
      <c r="E1053" s="19" t="s">
        <v>1344</v>
      </c>
      <c r="F1053" s="19" t="s">
        <v>249</v>
      </c>
      <c r="G1053" s="12" t="s">
        <v>1006</v>
      </c>
      <c r="H1053" s="13">
        <v>3.5931307601107352</v>
      </c>
      <c r="I1053" s="13">
        <v>0.96695717078323518</v>
      </c>
      <c r="J1053" s="13">
        <v>759.13148547280787</v>
      </c>
      <c r="K1053" s="13">
        <v>2829.8560690656686</v>
      </c>
      <c r="L1053" s="13">
        <v>292.03049143338211</v>
      </c>
      <c r="M1053" s="13">
        <v>3023.8152391925678</v>
      </c>
      <c r="N1053" s="13">
        <v>1087.9233102603855</v>
      </c>
      <c r="O1053" s="13">
        <v>187.81793166812301</v>
      </c>
      <c r="P1053" s="13">
        <v>50.408811492235856</v>
      </c>
      <c r="Q1053" s="13">
        <v>143.82605414443924</v>
      </c>
      <c r="R1053" s="13">
        <v>15.807331976279672</v>
      </c>
      <c r="S1053" s="13">
        <v>77.758413431720328</v>
      </c>
      <c r="T1053" s="13">
        <v>293.17553082467128</v>
      </c>
      <c r="U1053" s="13">
        <v>12.242459290122081</v>
      </c>
      <c r="V1053" s="13">
        <v>27.513030303266827</v>
      </c>
      <c r="W1053" s="13">
        <v>2.7987417009581477</v>
      </c>
      <c r="X1053" s="13">
        <v>12.709745490364456</v>
      </c>
      <c r="Y1053" s="13">
        <v>1.6373700162285394</v>
      </c>
      <c r="Z1053" s="13">
        <v>312.19532337127822</v>
      </c>
      <c r="AA1053" s="13"/>
      <c r="AB1053" s="13"/>
      <c r="AC1053" s="14">
        <v>1269.0400788386689</v>
      </c>
      <c r="AD1053" s="14">
        <v>895.36077250862979</v>
      </c>
      <c r="AE1053" s="14">
        <v>722.74399067557408</v>
      </c>
      <c r="AF1053" s="14">
        <v>437.87623202990778</v>
      </c>
      <c r="AG1053" s="15">
        <v>0.89905405531935056</v>
      </c>
      <c r="AH1053" s="15">
        <v>0.93490643571743703</v>
      </c>
      <c r="AI1053" s="15">
        <v>1.0059213995518359</v>
      </c>
      <c r="AJ1053" s="41">
        <f t="shared" si="32"/>
        <v>4968.9413562322443</v>
      </c>
      <c r="AK1053" s="44">
        <f t="shared" si="33"/>
        <v>10.314009599255778</v>
      </c>
      <c r="AL1053" s="10"/>
      <c r="AM1053" s="10"/>
    </row>
    <row r="1054" spans="1:39" s="16" customFormat="1" ht="19" customHeight="1">
      <c r="A1054" s="9" t="s">
        <v>1083</v>
      </c>
      <c r="B1054" s="10" t="s">
        <v>1084</v>
      </c>
      <c r="C1054" s="10"/>
      <c r="D1054" s="10"/>
      <c r="E1054" s="19" t="s">
        <v>1344</v>
      </c>
      <c r="F1054" s="19" t="s">
        <v>249</v>
      </c>
      <c r="G1054" s="12" t="s">
        <v>1006</v>
      </c>
      <c r="H1054" s="13">
        <v>15.728579370121684</v>
      </c>
      <c r="I1054" s="13">
        <v>0.61476581609087033</v>
      </c>
      <c r="J1054" s="13">
        <v>448.43434446182306</v>
      </c>
      <c r="K1054" s="13">
        <v>1807.8358796315902</v>
      </c>
      <c r="L1054" s="13">
        <v>181.81757248422721</v>
      </c>
      <c r="M1054" s="13">
        <v>3147.071477866471</v>
      </c>
      <c r="N1054" s="13">
        <v>684.94094975220116</v>
      </c>
      <c r="O1054" s="13">
        <v>116.88858346270769</v>
      </c>
      <c r="P1054" s="13">
        <v>32.636800544768803</v>
      </c>
      <c r="Q1054" s="13">
        <v>86.674875939758977</v>
      </c>
      <c r="R1054" s="13">
        <v>8.889638428519298</v>
      </c>
      <c r="S1054" s="13">
        <v>41.59537732176647</v>
      </c>
      <c r="T1054" s="13">
        <v>126.15325441032282</v>
      </c>
      <c r="U1054" s="13">
        <v>5.9883083750994581</v>
      </c>
      <c r="V1054" s="13">
        <v>11.504908444410988</v>
      </c>
      <c r="W1054" s="13">
        <v>1.1432793000155854</v>
      </c>
      <c r="X1054" s="13">
        <v>4.8059656402069608</v>
      </c>
      <c r="Y1054" s="13">
        <v>0.58632311627778289</v>
      </c>
      <c r="Z1054" s="13">
        <v>171.60347128836338</v>
      </c>
      <c r="AA1054" s="13"/>
      <c r="AB1054" s="13"/>
      <c r="AC1054" s="14">
        <v>789.7877260993763</v>
      </c>
      <c r="AD1054" s="14">
        <v>579.69450345948144</v>
      </c>
      <c r="AE1054" s="14">
        <v>435.55214040079886</v>
      </c>
      <c r="AF1054" s="14">
        <v>246.25037198114399</v>
      </c>
      <c r="AG1054" s="15">
        <v>0.9461774962324685</v>
      </c>
      <c r="AH1054" s="15">
        <v>0.98837992591092527</v>
      </c>
      <c r="AI1054" s="15">
        <v>1.0824303585005799</v>
      </c>
      <c r="AJ1054" s="41">
        <f t="shared" si="32"/>
        <v>3123.0287463298414</v>
      </c>
      <c r="AK1054" s="44">
        <f t="shared" si="33"/>
        <v>24.946415315061056</v>
      </c>
      <c r="AL1054" s="10"/>
      <c r="AM1054" s="10"/>
    </row>
    <row r="1055" spans="1:39" s="16" customFormat="1" ht="19" customHeight="1">
      <c r="A1055" s="9" t="s">
        <v>1085</v>
      </c>
      <c r="B1055" s="10" t="s">
        <v>1084</v>
      </c>
      <c r="C1055" s="10"/>
      <c r="D1055" s="10"/>
      <c r="E1055" s="19" t="s">
        <v>1344</v>
      </c>
      <c r="F1055" s="19" t="s">
        <v>249</v>
      </c>
      <c r="G1055" s="12" t="s">
        <v>1006</v>
      </c>
      <c r="H1055" s="13">
        <v>20.849440714814381</v>
      </c>
      <c r="I1055" s="13">
        <v>1.3278176225348524</v>
      </c>
      <c r="J1055" s="13">
        <v>451.92102082658045</v>
      </c>
      <c r="K1055" s="13">
        <v>1790.6152468239491</v>
      </c>
      <c r="L1055" s="13">
        <v>189.75720593755992</v>
      </c>
      <c r="M1055" s="13">
        <v>3152.577659785411</v>
      </c>
      <c r="N1055" s="13">
        <v>699.51233482211251</v>
      </c>
      <c r="O1055" s="13">
        <v>119.81139212657223</v>
      </c>
      <c r="P1055" s="13">
        <v>33.506127819424137</v>
      </c>
      <c r="Q1055" s="13">
        <v>87.759307108040232</v>
      </c>
      <c r="R1055" s="13">
        <v>9.2687736580029245</v>
      </c>
      <c r="S1055" s="13">
        <v>41.650128477318013</v>
      </c>
      <c r="T1055" s="13">
        <v>133.0678363566017</v>
      </c>
      <c r="U1055" s="13">
        <v>6.2922275241129997</v>
      </c>
      <c r="V1055" s="13">
        <v>12.19775921353901</v>
      </c>
      <c r="W1055" s="13">
        <v>1.1117004595071587</v>
      </c>
      <c r="X1055" s="13">
        <v>4.8976141143718337</v>
      </c>
      <c r="Y1055" s="13">
        <v>0.56209703952190271</v>
      </c>
      <c r="Z1055" s="13">
        <v>163.55351871077031</v>
      </c>
      <c r="AA1055" s="13"/>
      <c r="AB1055" s="13"/>
      <c r="AC1055" s="14">
        <v>809.5364332876502</v>
      </c>
      <c r="AD1055" s="14">
        <v>595.13548524732039</v>
      </c>
      <c r="AE1055" s="14">
        <v>441.00154325648356</v>
      </c>
      <c r="AF1055" s="14">
        <v>256.75273290866829</v>
      </c>
      <c r="AG1055" s="15">
        <v>0.95180713646454707</v>
      </c>
      <c r="AH1055" s="15">
        <v>0.99604186300725273</v>
      </c>
      <c r="AI1055" s="15">
        <v>1.0780027994617889</v>
      </c>
      <c r="AJ1055" s="41">
        <f t="shared" si="32"/>
        <v>3131.8058084102022</v>
      </c>
      <c r="AK1055" s="44">
        <f t="shared" si="33"/>
        <v>23.69150762575698</v>
      </c>
      <c r="AL1055" s="10"/>
      <c r="AM1055" s="10"/>
    </row>
    <row r="1056" spans="1:39" s="16" customFormat="1" ht="19" customHeight="1">
      <c r="A1056" s="9" t="s">
        <v>1086</v>
      </c>
      <c r="B1056" s="10" t="s">
        <v>1028</v>
      </c>
      <c r="C1056" s="10"/>
      <c r="D1056" s="10"/>
      <c r="E1056" s="19" t="s">
        <v>1344</v>
      </c>
      <c r="F1056" s="19" t="s">
        <v>249</v>
      </c>
      <c r="G1056" s="12" t="s">
        <v>1006</v>
      </c>
      <c r="H1056" s="13">
        <v>12.106325238083132</v>
      </c>
      <c r="I1056" s="13">
        <v>1.0900982371444946E-2</v>
      </c>
      <c r="J1056" s="13">
        <v>987.07071644901646</v>
      </c>
      <c r="K1056" s="13">
        <v>3750.6458202351173</v>
      </c>
      <c r="L1056" s="13">
        <v>331.94768059745888</v>
      </c>
      <c r="M1056" s="13">
        <v>4854.6180229274023</v>
      </c>
      <c r="N1056" s="13">
        <v>1088.4293876847396</v>
      </c>
      <c r="O1056" s="13">
        <v>151.26371526048663</v>
      </c>
      <c r="P1056" s="13">
        <v>43.882522712341185</v>
      </c>
      <c r="Q1056" s="13">
        <v>100.26143842703831</v>
      </c>
      <c r="R1056" s="13">
        <v>9.3430220589358655</v>
      </c>
      <c r="S1056" s="13">
        <v>41.954965585717957</v>
      </c>
      <c r="T1056" s="13">
        <v>136.0454892569139</v>
      </c>
      <c r="U1056" s="13">
        <v>5.7646369107836781</v>
      </c>
      <c r="V1056" s="13">
        <v>11.728383747950859</v>
      </c>
      <c r="W1056" s="13">
        <v>0.97032081798182668</v>
      </c>
      <c r="X1056" s="13">
        <v>4.8498047399865287</v>
      </c>
      <c r="Y1056" s="13">
        <v>0.50022248976370476</v>
      </c>
      <c r="Z1056" s="13">
        <v>112.56109349047688</v>
      </c>
      <c r="AA1056" s="13"/>
      <c r="AB1056" s="13"/>
      <c r="AC1056" s="14">
        <v>1022.0521301384233</v>
      </c>
      <c r="AD1056" s="14">
        <v>779.44090075206373</v>
      </c>
      <c r="AE1056" s="14">
        <v>503.82632375396133</v>
      </c>
      <c r="AF1056" s="14">
        <v>258.80947531678299</v>
      </c>
      <c r="AG1056" s="15">
        <v>1.021629080302926</v>
      </c>
      <c r="AH1056" s="15">
        <v>1.0861911007408247</v>
      </c>
      <c r="AI1056" s="15">
        <v>1.2054275206790068</v>
      </c>
      <c r="AJ1056" s="41">
        <f t="shared" si="32"/>
        <v>6158.0936049663324</v>
      </c>
      <c r="AK1056" s="44">
        <f t="shared" si="33"/>
        <v>35.683785250385938</v>
      </c>
      <c r="AL1056" s="10"/>
      <c r="AM1056" s="10"/>
    </row>
    <row r="1057" spans="1:39" s="16" customFormat="1" ht="19" customHeight="1">
      <c r="A1057" s="9" t="s">
        <v>1087</v>
      </c>
      <c r="B1057" s="10" t="s">
        <v>1028</v>
      </c>
      <c r="C1057" s="10"/>
      <c r="D1057" s="10"/>
      <c r="E1057" s="19" t="s">
        <v>1344</v>
      </c>
      <c r="F1057" s="19" t="s">
        <v>249</v>
      </c>
      <c r="G1057" s="12" t="s">
        <v>1006</v>
      </c>
      <c r="H1057" s="13">
        <v>26.234475156813815</v>
      </c>
      <c r="I1057" s="13">
        <v>0.28042872955140707</v>
      </c>
      <c r="J1057" s="13">
        <v>676.96092356665292</v>
      </c>
      <c r="K1057" s="13">
        <v>2534.8654650341587</v>
      </c>
      <c r="L1057" s="13">
        <v>227.19209101861918</v>
      </c>
      <c r="M1057" s="13">
        <v>4478.75839906489</v>
      </c>
      <c r="N1057" s="13">
        <v>774.68877441884717</v>
      </c>
      <c r="O1057" s="13">
        <v>107.86054034665847</v>
      </c>
      <c r="P1057" s="13">
        <v>31.896917416957816</v>
      </c>
      <c r="Q1057" s="13">
        <v>75.337205193754244</v>
      </c>
      <c r="R1057" s="13">
        <v>7.262395091275601</v>
      </c>
      <c r="S1057" s="13">
        <v>31.144942671837907</v>
      </c>
      <c r="T1057" s="13">
        <v>109.55753957674</v>
      </c>
      <c r="U1057" s="13">
        <v>4.5903504701237567</v>
      </c>
      <c r="V1057" s="13">
        <v>9.6269949670221475</v>
      </c>
      <c r="W1057" s="13">
        <v>0.91434413019814398</v>
      </c>
      <c r="X1057" s="13">
        <v>4.1845647705621891</v>
      </c>
      <c r="Y1057" s="13">
        <v>0.47671472469360532</v>
      </c>
      <c r="Z1057" s="13">
        <v>159.3868655262346</v>
      </c>
      <c r="AA1057" s="13"/>
      <c r="AB1057" s="13"/>
      <c r="AC1057" s="14">
        <v>728.78743477471937</v>
      </c>
      <c r="AD1057" s="14">
        <v>566.55270722838043</v>
      </c>
      <c r="AE1057" s="14">
        <v>378.57892057162934</v>
      </c>
      <c r="AF1057" s="14">
        <v>201.17437925971194</v>
      </c>
      <c r="AG1057" s="15">
        <v>1.0232434902741485</v>
      </c>
      <c r="AH1057" s="15">
        <v>1.0786031063416643</v>
      </c>
      <c r="AI1057" s="15">
        <v>1.1939391097931187</v>
      </c>
      <c r="AJ1057" s="41">
        <f t="shared" si="32"/>
        <v>4213.7072540382778</v>
      </c>
      <c r="AK1057" s="44">
        <f t="shared" si="33"/>
        <v>40.880421524323538</v>
      </c>
      <c r="AL1057" s="10"/>
      <c r="AM1057" s="10"/>
    </row>
    <row r="1058" spans="1:39" s="16" customFormat="1" ht="19" customHeight="1">
      <c r="A1058" s="9" t="s">
        <v>1088</v>
      </c>
      <c r="B1058" s="10" t="s">
        <v>1028</v>
      </c>
      <c r="C1058" s="10"/>
      <c r="D1058" s="10"/>
      <c r="E1058" s="19" t="s">
        <v>1344</v>
      </c>
      <c r="F1058" s="19" t="s">
        <v>249</v>
      </c>
      <c r="G1058" s="12" t="s">
        <v>1006</v>
      </c>
      <c r="H1058" s="13">
        <v>9.712588259822482</v>
      </c>
      <c r="I1058" s="13">
        <v>1.3673834552565904</v>
      </c>
      <c r="J1058" s="13">
        <v>401.78321599063372</v>
      </c>
      <c r="K1058" s="13">
        <v>1402.7418655043809</v>
      </c>
      <c r="L1058" s="13">
        <v>164.30207100708378</v>
      </c>
      <c r="M1058" s="13">
        <v>3886.4311543424583</v>
      </c>
      <c r="N1058" s="13">
        <v>618.86109169053304</v>
      </c>
      <c r="O1058" s="13">
        <v>100.65459110777901</v>
      </c>
      <c r="P1058" s="13">
        <v>27.872693565924468</v>
      </c>
      <c r="Q1058" s="13">
        <v>70.463832771179241</v>
      </c>
      <c r="R1058" s="13">
        <v>6.6173931670683865</v>
      </c>
      <c r="S1058" s="13">
        <v>26.420653415329422</v>
      </c>
      <c r="T1058" s="13">
        <v>76.965885564763241</v>
      </c>
      <c r="U1058" s="13">
        <v>3.5731979351952354</v>
      </c>
      <c r="V1058" s="13">
        <v>7.0712502038613234</v>
      </c>
      <c r="W1058" s="13">
        <v>0.57884305606182163</v>
      </c>
      <c r="X1058" s="13">
        <v>1.9624492440001857</v>
      </c>
      <c r="Y1058" s="13">
        <v>0.28206677871725716</v>
      </c>
      <c r="Z1058" s="13">
        <v>160.74384183704908</v>
      </c>
      <c r="AA1058" s="13"/>
      <c r="AB1058" s="13"/>
      <c r="AC1058" s="14">
        <v>680.09858856607445</v>
      </c>
      <c r="AD1058" s="14">
        <v>495.07448607325881</v>
      </c>
      <c r="AE1058" s="14">
        <v>354.08961191547354</v>
      </c>
      <c r="AF1058" s="14">
        <v>183.30728994649269</v>
      </c>
      <c r="AG1058" s="15">
        <v>0.9574166207712248</v>
      </c>
      <c r="AH1058" s="15">
        <v>1.0088532922970197</v>
      </c>
      <c r="AI1058" s="15">
        <v>1.1269276920540829</v>
      </c>
      <c r="AJ1058" s="41">
        <f t="shared" si="32"/>
        <v>2587.6882441926314</v>
      </c>
      <c r="AK1058" s="44">
        <f t="shared" si="33"/>
        <v>50.495503635467244</v>
      </c>
      <c r="AL1058" s="10"/>
      <c r="AM1058" s="10"/>
    </row>
    <row r="1059" spans="1:39" s="16" customFormat="1" ht="19" customHeight="1">
      <c r="A1059" s="9" t="s">
        <v>1089</v>
      </c>
      <c r="B1059" s="10" t="s">
        <v>1028</v>
      </c>
      <c r="C1059" s="10"/>
      <c r="D1059" s="10"/>
      <c r="E1059" s="19" t="s">
        <v>1344</v>
      </c>
      <c r="F1059" s="19" t="s">
        <v>249</v>
      </c>
      <c r="G1059" s="12" t="s">
        <v>1006</v>
      </c>
      <c r="H1059" s="13">
        <v>12.536946587118734</v>
      </c>
      <c r="I1059" s="13">
        <v>0.18814998405966959</v>
      </c>
      <c r="J1059" s="13">
        <v>776.75821787447887</v>
      </c>
      <c r="K1059" s="13">
        <v>2500.3543417332717</v>
      </c>
      <c r="L1059" s="13">
        <v>277.18931450992653</v>
      </c>
      <c r="M1059" s="13">
        <v>4460.9374891011712</v>
      </c>
      <c r="N1059" s="13">
        <v>1034.9238954707041</v>
      </c>
      <c r="O1059" s="13">
        <v>162.79515342582738</v>
      </c>
      <c r="P1059" s="13">
        <v>44.02230114948285</v>
      </c>
      <c r="Q1059" s="13">
        <v>111.39009205009721</v>
      </c>
      <c r="R1059" s="13">
        <v>10.734149790108539</v>
      </c>
      <c r="S1059" s="13">
        <v>44.034051805975928</v>
      </c>
      <c r="T1059" s="13">
        <v>132.52054840928722</v>
      </c>
      <c r="U1059" s="13">
        <v>5.5336322033525764</v>
      </c>
      <c r="V1059" s="13">
        <v>11.08009712234348</v>
      </c>
      <c r="W1059" s="13">
        <v>1.0182525916694685</v>
      </c>
      <c r="X1059" s="13">
        <v>4.1556189177843246</v>
      </c>
      <c r="Y1059" s="13">
        <v>0.46126499279326172</v>
      </c>
      <c r="Z1059" s="13">
        <v>110.79687658585694</v>
      </c>
      <c r="AA1059" s="13"/>
      <c r="AB1059" s="13"/>
      <c r="AC1059" s="14">
        <v>1099.9672528772121</v>
      </c>
      <c r="AD1059" s="14">
        <v>781.92364386292809</v>
      </c>
      <c r="AE1059" s="14">
        <v>559.74920628189545</v>
      </c>
      <c r="AF1059" s="14">
        <v>297.3448695320925</v>
      </c>
      <c r="AG1059" s="15">
        <v>0.9422376208272204</v>
      </c>
      <c r="AH1059" s="15">
        <v>0.99650096673191924</v>
      </c>
      <c r="AI1059" s="15">
        <v>1.0994049601801841</v>
      </c>
      <c r="AJ1059" s="41">
        <f t="shared" si="32"/>
        <v>4589.2257695883809</v>
      </c>
      <c r="AK1059" s="44">
        <f t="shared" si="33"/>
        <v>33.662232330367736</v>
      </c>
      <c r="AL1059" s="10"/>
      <c r="AM1059" s="10"/>
    </row>
    <row r="1060" spans="1:39" s="16" customFormat="1" ht="19" customHeight="1">
      <c r="A1060" s="9" t="s">
        <v>1090</v>
      </c>
      <c r="B1060" s="10" t="s">
        <v>1091</v>
      </c>
      <c r="C1060" s="10"/>
      <c r="D1060" s="10"/>
      <c r="E1060" s="19" t="s">
        <v>1344</v>
      </c>
      <c r="F1060" s="19" t="s">
        <v>249</v>
      </c>
      <c r="G1060" s="12" t="s">
        <v>1006</v>
      </c>
      <c r="H1060" s="13">
        <v>42.904192559646987</v>
      </c>
      <c r="I1060" s="13">
        <v>33.061394108150857</v>
      </c>
      <c r="J1060" s="13">
        <v>825.4005755018278</v>
      </c>
      <c r="K1060" s="13">
        <v>3122.9816143016551</v>
      </c>
      <c r="L1060" s="13">
        <v>338.871881336613</v>
      </c>
      <c r="M1060" s="13">
        <v>5201.5655964623011</v>
      </c>
      <c r="N1060" s="13">
        <v>1305.9207430171009</v>
      </c>
      <c r="O1060" s="13">
        <v>229.50015996111097</v>
      </c>
      <c r="P1060" s="13">
        <v>60.408163566656199</v>
      </c>
      <c r="Q1060" s="13">
        <v>166.4958708540276</v>
      </c>
      <c r="R1060" s="13">
        <v>17.405287413176119</v>
      </c>
      <c r="S1060" s="13">
        <v>76.807106332107466</v>
      </c>
      <c r="T1060" s="13">
        <v>245.83715247092721</v>
      </c>
      <c r="U1060" s="13">
        <v>10.547876466914298</v>
      </c>
      <c r="V1060" s="13">
        <v>20.895841584270872</v>
      </c>
      <c r="W1060" s="13">
        <v>1.8848188282021325</v>
      </c>
      <c r="X1060" s="13">
        <v>8.3792959011274757</v>
      </c>
      <c r="Y1060" s="13">
        <v>0.85005565899671953</v>
      </c>
      <c r="Z1060" s="13">
        <v>210.27487279792402</v>
      </c>
      <c r="AA1060" s="13"/>
      <c r="AB1060" s="13"/>
      <c r="AC1060" s="14">
        <v>1550.676756493993</v>
      </c>
      <c r="AD1060" s="14">
        <v>1072.969157489453</v>
      </c>
      <c r="AE1060" s="14">
        <v>836.66266760817882</v>
      </c>
      <c r="AF1060" s="14">
        <v>482.14092557274569</v>
      </c>
      <c r="AG1060" s="15">
        <v>0.89888278696940971</v>
      </c>
      <c r="AH1060" s="15">
        <v>0.94200108775855951</v>
      </c>
      <c r="AI1060" s="15">
        <v>1.0213667638556438</v>
      </c>
      <c r="AJ1060" s="41">
        <f t="shared" si="32"/>
        <v>5593.174814157197</v>
      </c>
      <c r="AK1060" s="44">
        <f t="shared" si="33"/>
        <v>21.158582192239802</v>
      </c>
      <c r="AL1060" s="10"/>
      <c r="AM1060" s="10"/>
    </row>
    <row r="1061" spans="1:39" s="16" customFormat="1" ht="19" customHeight="1">
      <c r="A1061" s="9" t="s">
        <v>1092</v>
      </c>
      <c r="B1061" s="10" t="s">
        <v>1091</v>
      </c>
      <c r="C1061" s="10"/>
      <c r="D1061" s="10"/>
      <c r="E1061" s="19" t="s">
        <v>1344</v>
      </c>
      <c r="F1061" s="19" t="s">
        <v>249</v>
      </c>
      <c r="G1061" s="12" t="s">
        <v>1006</v>
      </c>
      <c r="H1061" s="13">
        <v>63.523954392860794</v>
      </c>
      <c r="I1061" s="13">
        <v>33.046874952445997</v>
      </c>
      <c r="J1061" s="13">
        <v>985.63556684660114</v>
      </c>
      <c r="K1061" s="13">
        <v>3554.1053015516463</v>
      </c>
      <c r="L1061" s="13">
        <v>407.90122430427454</v>
      </c>
      <c r="M1061" s="13">
        <v>5247.5616447162638</v>
      </c>
      <c r="N1061" s="13">
        <v>1607.3102605166098</v>
      </c>
      <c r="O1061" s="13">
        <v>289.18142977754002</v>
      </c>
      <c r="P1061" s="13">
        <v>73.395667437476433</v>
      </c>
      <c r="Q1061" s="13">
        <v>207.73376595064386</v>
      </c>
      <c r="R1061" s="13">
        <v>21.51363042588034</v>
      </c>
      <c r="S1061" s="13">
        <v>94.631221806830169</v>
      </c>
      <c r="T1061" s="13">
        <v>293.91678871715999</v>
      </c>
      <c r="U1061" s="13">
        <v>12.803900349977079</v>
      </c>
      <c r="V1061" s="13">
        <v>25.479199484132881</v>
      </c>
      <c r="W1061" s="13">
        <v>2.3124532608711617</v>
      </c>
      <c r="X1061" s="13">
        <v>9.5524201175542682</v>
      </c>
      <c r="Y1061" s="13">
        <v>1.0008912845212377</v>
      </c>
      <c r="Z1061" s="13">
        <v>229.16684167661921</v>
      </c>
      <c r="AA1061" s="13"/>
      <c r="AB1061" s="13"/>
      <c r="AC1061" s="14">
        <v>1953.9285795779731</v>
      </c>
      <c r="AD1061" s="14">
        <v>1303.6530628326188</v>
      </c>
      <c r="AE1061" s="14">
        <v>1043.8882711087631</v>
      </c>
      <c r="AF1061" s="14">
        <v>595.94544116012025</v>
      </c>
      <c r="AG1061" s="15">
        <v>0.86973496231698055</v>
      </c>
      <c r="AH1061" s="15">
        <v>0.91281060637097844</v>
      </c>
      <c r="AI1061" s="15">
        <v>0.99118351905287372</v>
      </c>
      <c r="AJ1061" s="41">
        <f t="shared" si="32"/>
        <v>6554.9523532191315</v>
      </c>
      <c r="AK1061" s="44">
        <f t="shared" si="33"/>
        <v>17.853902349777172</v>
      </c>
      <c r="AL1061" s="10"/>
      <c r="AM1061" s="10"/>
    </row>
    <row r="1062" spans="1:39" s="16" customFormat="1" ht="19" customHeight="1">
      <c r="A1062" s="9" t="s">
        <v>1093</v>
      </c>
      <c r="B1062" s="10" t="s">
        <v>1031</v>
      </c>
      <c r="C1062" s="10"/>
      <c r="D1062" s="10"/>
      <c r="E1062" s="19" t="s">
        <v>1344</v>
      </c>
      <c r="F1062" s="19" t="s">
        <v>249</v>
      </c>
      <c r="G1062" s="12" t="s">
        <v>1006</v>
      </c>
      <c r="H1062" s="13">
        <v>4.2722310227662321</v>
      </c>
      <c r="I1062" s="13">
        <v>0.91467207566271036</v>
      </c>
      <c r="J1062" s="13">
        <v>577.20893352191115</v>
      </c>
      <c r="K1062" s="13">
        <v>2280.7012853846481</v>
      </c>
      <c r="L1062" s="13">
        <v>253.00350510360153</v>
      </c>
      <c r="M1062" s="13">
        <v>7161.0402959895509</v>
      </c>
      <c r="N1062" s="13">
        <v>882.36853429334826</v>
      </c>
      <c r="O1062" s="13">
        <v>123.14682886464757</v>
      </c>
      <c r="P1062" s="13">
        <v>31.818036213626641</v>
      </c>
      <c r="Q1062" s="13">
        <v>78.691390936010961</v>
      </c>
      <c r="R1062" s="13">
        <v>7.4049615748307964</v>
      </c>
      <c r="S1062" s="13">
        <v>29.587108437182277</v>
      </c>
      <c r="T1062" s="13">
        <v>92.710517447585715</v>
      </c>
      <c r="U1062" s="13">
        <v>3.8821617582623609</v>
      </c>
      <c r="V1062" s="13">
        <v>7.1070510528517108</v>
      </c>
      <c r="W1062" s="13">
        <v>0.67074156544527375</v>
      </c>
      <c r="X1062" s="13">
        <v>2.6175337284668019</v>
      </c>
      <c r="Y1062" s="13">
        <v>0.33649906280993458</v>
      </c>
      <c r="Z1062" s="13">
        <v>102.51944382853782</v>
      </c>
      <c r="AA1062" s="13"/>
      <c r="AB1062" s="13"/>
      <c r="AC1062" s="14">
        <v>832.07316800437559</v>
      </c>
      <c r="AD1062" s="14">
        <v>565.15162013546433</v>
      </c>
      <c r="AE1062" s="14">
        <v>395.4341253065877</v>
      </c>
      <c r="AF1062" s="14">
        <v>205.12358933049296</v>
      </c>
      <c r="AG1062" s="15">
        <v>0.92081183258973121</v>
      </c>
      <c r="AH1062" s="15">
        <v>0.98525159240525551</v>
      </c>
      <c r="AI1062" s="15">
        <v>1.0832252206750357</v>
      </c>
      <c r="AJ1062" s="41">
        <f t="shared" si="32"/>
        <v>3993.282258303509</v>
      </c>
      <c r="AK1062" s="44">
        <f t="shared" si="33"/>
        <v>77.240862128054403</v>
      </c>
      <c r="AL1062" s="10"/>
      <c r="AM1062" s="10"/>
    </row>
    <row r="1063" spans="1:39" s="16" customFormat="1" ht="19" customHeight="1">
      <c r="A1063" s="9" t="s">
        <v>1094</v>
      </c>
      <c r="B1063" s="10" t="s">
        <v>1031</v>
      </c>
      <c r="C1063" s="10"/>
      <c r="D1063" s="10"/>
      <c r="E1063" s="19" t="s">
        <v>1344</v>
      </c>
      <c r="F1063" s="19" t="s">
        <v>249</v>
      </c>
      <c r="G1063" s="12" t="s">
        <v>1006</v>
      </c>
      <c r="H1063" s="13">
        <v>3.0302992163566183</v>
      </c>
      <c r="I1063" s="13">
        <v>0.54390585406757319</v>
      </c>
      <c r="J1063" s="13">
        <v>452.30815349761502</v>
      </c>
      <c r="K1063" s="13">
        <v>1745.6263310587165</v>
      </c>
      <c r="L1063" s="13">
        <v>199.16518250514841</v>
      </c>
      <c r="M1063" s="13">
        <v>6514.0316167325063</v>
      </c>
      <c r="N1063" s="13">
        <v>751.5215143866734</v>
      </c>
      <c r="O1063" s="13">
        <v>109.2870000176685</v>
      </c>
      <c r="P1063" s="13">
        <v>27.520749370758708</v>
      </c>
      <c r="Q1063" s="13">
        <v>71.26607410913995</v>
      </c>
      <c r="R1063" s="13">
        <v>6.5336893995581065</v>
      </c>
      <c r="S1063" s="13">
        <v>26.47946736507188</v>
      </c>
      <c r="T1063" s="13">
        <v>80.737572313397806</v>
      </c>
      <c r="U1063" s="13">
        <v>3.2513536787131501</v>
      </c>
      <c r="V1063" s="13">
        <v>6.2002357057311617</v>
      </c>
      <c r="W1063" s="13">
        <v>0.54932978869141635</v>
      </c>
      <c r="X1063" s="13">
        <v>2.4687308590400603</v>
      </c>
      <c r="Y1063" s="13">
        <v>0.239079274061855</v>
      </c>
      <c r="Z1063" s="13">
        <v>151.55418577370409</v>
      </c>
      <c r="AA1063" s="13"/>
      <c r="AB1063" s="13"/>
      <c r="AC1063" s="14">
        <v>738.42567579505749</v>
      </c>
      <c r="AD1063" s="14">
        <v>488.82325702946196</v>
      </c>
      <c r="AE1063" s="14">
        <v>358.12097542281379</v>
      </c>
      <c r="AF1063" s="14">
        <v>180.98862602654035</v>
      </c>
      <c r="AG1063" s="15">
        <v>0.89156855567714155</v>
      </c>
      <c r="AH1063" s="15">
        <v>0.95056886763206827</v>
      </c>
      <c r="AI1063" s="15">
        <v>1.0577837887667418</v>
      </c>
      <c r="AJ1063" s="41">
        <f t="shared" si="32"/>
        <v>3148.6211814481535</v>
      </c>
      <c r="AK1063" s="44">
        <f t="shared" si="33"/>
        <v>80.681539338922519</v>
      </c>
      <c r="AL1063" s="10"/>
      <c r="AM1063" s="10"/>
    </row>
    <row r="1064" spans="1:39" s="16" customFormat="1" ht="19" customHeight="1">
      <c r="A1064" s="9" t="s">
        <v>1095</v>
      </c>
      <c r="B1064" s="10" t="s">
        <v>1096</v>
      </c>
      <c r="C1064" s="10"/>
      <c r="D1064" s="10"/>
      <c r="E1064" s="19" t="s">
        <v>1344</v>
      </c>
      <c r="F1064" s="19" t="s">
        <v>249</v>
      </c>
      <c r="G1064" s="12" t="s">
        <v>1006</v>
      </c>
      <c r="H1064" s="13">
        <v>31.668781088187618</v>
      </c>
      <c r="I1064" s="13">
        <v>2.493358701392919</v>
      </c>
      <c r="J1064" s="13">
        <v>538.97746305278463</v>
      </c>
      <c r="K1064" s="13">
        <v>2401.0880153524231</v>
      </c>
      <c r="L1064" s="13">
        <v>297.54998726410821</v>
      </c>
      <c r="M1064" s="13">
        <v>4896.9524913160622</v>
      </c>
      <c r="N1064" s="13">
        <v>1254.7866710507535</v>
      </c>
      <c r="O1064" s="13">
        <v>241.82249091632559</v>
      </c>
      <c r="P1064" s="13">
        <v>61.440397272033117</v>
      </c>
      <c r="Q1064" s="13">
        <v>169.17157420878496</v>
      </c>
      <c r="R1064" s="13">
        <v>16.411116592993491</v>
      </c>
      <c r="S1064" s="13">
        <v>72.88194025891913</v>
      </c>
      <c r="T1064" s="13">
        <v>260.0238597088549</v>
      </c>
      <c r="U1064" s="13">
        <v>10.099425329300972</v>
      </c>
      <c r="V1064" s="13">
        <v>20.380888985712069</v>
      </c>
      <c r="W1064" s="13">
        <v>1.942653682455179</v>
      </c>
      <c r="X1064" s="13">
        <v>10.455331496292828</v>
      </c>
      <c r="Y1064" s="13">
        <v>1.10993387590324</v>
      </c>
      <c r="Z1064" s="13">
        <v>198.11037906866193</v>
      </c>
      <c r="AA1064" s="13"/>
      <c r="AB1064" s="13"/>
      <c r="AC1064" s="14">
        <v>1633.9357494346325</v>
      </c>
      <c r="AD1064" s="14">
        <v>1091.3036815636433</v>
      </c>
      <c r="AE1064" s="14">
        <v>850.10841310947217</v>
      </c>
      <c r="AF1064" s="14">
        <v>454.6015676729499</v>
      </c>
      <c r="AG1064" s="15">
        <v>0.87865078891830461</v>
      </c>
      <c r="AH1064" s="15">
        <v>0.92595733377956613</v>
      </c>
      <c r="AI1064" s="15">
        <v>1.0230856525850824</v>
      </c>
      <c r="AJ1064" s="41">
        <f t="shared" si="32"/>
        <v>4492.4021367200694</v>
      </c>
      <c r="AK1064" s="44">
        <f t="shared" si="33"/>
        <v>18.832704417198912</v>
      </c>
      <c r="AL1064" s="10"/>
      <c r="AM1064" s="10"/>
    </row>
    <row r="1065" spans="1:39" s="16" customFormat="1" ht="19" customHeight="1">
      <c r="A1065" s="9" t="s">
        <v>1097</v>
      </c>
      <c r="B1065" s="10" t="s">
        <v>1096</v>
      </c>
      <c r="C1065" s="10"/>
      <c r="D1065" s="10"/>
      <c r="E1065" s="19" t="s">
        <v>1344</v>
      </c>
      <c r="F1065" s="19" t="s">
        <v>249</v>
      </c>
      <c r="G1065" s="12" t="s">
        <v>1006</v>
      </c>
      <c r="H1065" s="13">
        <v>34.289286930106215</v>
      </c>
      <c r="I1065" s="13">
        <v>2.4282766668314499</v>
      </c>
      <c r="J1065" s="13">
        <v>546.49642824948012</v>
      </c>
      <c r="K1065" s="13">
        <v>2304.9427059136265</v>
      </c>
      <c r="L1065" s="13">
        <v>297.60936413853295</v>
      </c>
      <c r="M1065" s="13">
        <v>4937.4679596745582</v>
      </c>
      <c r="N1065" s="13">
        <v>1274.1585251149718</v>
      </c>
      <c r="O1065" s="13">
        <v>246.83697838710162</v>
      </c>
      <c r="P1065" s="13">
        <v>62.64789678139703</v>
      </c>
      <c r="Q1065" s="13">
        <v>179.46400206251326</v>
      </c>
      <c r="R1065" s="13">
        <v>17.720495383704524</v>
      </c>
      <c r="S1065" s="13">
        <v>74.743884179806642</v>
      </c>
      <c r="T1065" s="13">
        <v>272.13622004024069</v>
      </c>
      <c r="U1065" s="13">
        <v>11.069022216934609</v>
      </c>
      <c r="V1065" s="13">
        <v>23.28003394102857</v>
      </c>
      <c r="W1065" s="13">
        <v>2.1210620421216735</v>
      </c>
      <c r="X1065" s="13">
        <v>10.292693906365084</v>
      </c>
      <c r="Y1065" s="13">
        <v>1.3410705736356197</v>
      </c>
      <c r="Z1065" s="13">
        <v>209.54467296522859</v>
      </c>
      <c r="AA1065" s="13"/>
      <c r="AB1065" s="13"/>
      <c r="AC1065" s="14">
        <v>1667.8174215344704</v>
      </c>
      <c r="AD1065" s="14">
        <v>1112.7512749804091</v>
      </c>
      <c r="AE1065" s="14">
        <v>901.82915609303143</v>
      </c>
      <c r="AF1065" s="14">
        <v>490.87244830206436</v>
      </c>
      <c r="AG1065" s="15">
        <v>0.86607340065246474</v>
      </c>
      <c r="AH1065" s="15">
        <v>0.90732256442839587</v>
      </c>
      <c r="AI1065" s="15">
        <v>1.003019888608891</v>
      </c>
      <c r="AJ1065" s="41">
        <f t="shared" si="32"/>
        <v>4423.2070234166113</v>
      </c>
      <c r="AK1065" s="44">
        <f t="shared" si="33"/>
        <v>18.143369371943422</v>
      </c>
      <c r="AL1065" s="10"/>
      <c r="AM1065" s="10"/>
    </row>
    <row r="1066" spans="1:39" s="16" customFormat="1" ht="19" customHeight="1">
      <c r="A1066" s="9" t="s">
        <v>1098</v>
      </c>
      <c r="B1066" s="10" t="s">
        <v>1096</v>
      </c>
      <c r="C1066" s="10"/>
      <c r="D1066" s="10"/>
      <c r="E1066" s="19" t="s">
        <v>1344</v>
      </c>
      <c r="F1066" s="19" t="s">
        <v>249</v>
      </c>
      <c r="G1066" s="12" t="s">
        <v>1006</v>
      </c>
      <c r="H1066" s="13">
        <v>29.938306644803585</v>
      </c>
      <c r="I1066" s="13">
        <v>1.7970156938509159</v>
      </c>
      <c r="J1066" s="13">
        <v>469.78945954045491</v>
      </c>
      <c r="K1066" s="13">
        <v>1923.1979413103911</v>
      </c>
      <c r="L1066" s="13">
        <v>252.26626253051589</v>
      </c>
      <c r="M1066" s="13">
        <v>4697.4144528034512</v>
      </c>
      <c r="N1066" s="13">
        <v>1145.2391591137398</v>
      </c>
      <c r="O1066" s="13">
        <v>231.09621359806263</v>
      </c>
      <c r="P1066" s="13">
        <v>56.853817889744953</v>
      </c>
      <c r="Q1066" s="13">
        <v>169.28549489404693</v>
      </c>
      <c r="R1066" s="13">
        <v>16.074731837307638</v>
      </c>
      <c r="S1066" s="13">
        <v>69.979343523891188</v>
      </c>
      <c r="T1066" s="13">
        <v>247.62100913040948</v>
      </c>
      <c r="U1066" s="13">
        <v>9.84886942014783</v>
      </c>
      <c r="V1066" s="13">
        <v>19.917114278102591</v>
      </c>
      <c r="W1066" s="13">
        <v>1.9076049082375821</v>
      </c>
      <c r="X1066" s="13">
        <v>9.3658225463764637</v>
      </c>
      <c r="Y1066" s="13">
        <v>1.0627149853583679</v>
      </c>
      <c r="Z1066" s="13">
        <v>223.99484694916794</v>
      </c>
      <c r="AA1066" s="13"/>
      <c r="AB1066" s="13"/>
      <c r="AC1066" s="14">
        <v>1561.4609026896126</v>
      </c>
      <c r="AD1066" s="14">
        <v>1009.8369074555054</v>
      </c>
      <c r="AE1066" s="14">
        <v>850.68087886455737</v>
      </c>
      <c r="AF1066" s="14">
        <v>445.28343039633347</v>
      </c>
      <c r="AG1066" s="15">
        <v>0.8372948183873804</v>
      </c>
      <c r="AH1066" s="15">
        <v>0.87619817942085321</v>
      </c>
      <c r="AI1066" s="15">
        <v>0.98254319394718914</v>
      </c>
      <c r="AJ1066" s="41">
        <f t="shared" si="32"/>
        <v>3790.4928224951018</v>
      </c>
      <c r="AK1066" s="44">
        <f t="shared" si="33"/>
        <v>18.970177325824402</v>
      </c>
      <c r="AL1066" s="10"/>
      <c r="AM1066" s="10"/>
    </row>
    <row r="1067" spans="1:39" s="16" customFormat="1" ht="19" customHeight="1">
      <c r="A1067" s="9" t="s">
        <v>1099</v>
      </c>
      <c r="B1067" s="10" t="s">
        <v>1096</v>
      </c>
      <c r="C1067" s="10"/>
      <c r="D1067" s="10"/>
      <c r="E1067" s="19" t="s">
        <v>1344</v>
      </c>
      <c r="F1067" s="19" t="s">
        <v>249</v>
      </c>
      <c r="G1067" s="12" t="s">
        <v>1006</v>
      </c>
      <c r="H1067" s="13">
        <v>171.44789943431584</v>
      </c>
      <c r="I1067" s="13">
        <v>6.1947977631687561</v>
      </c>
      <c r="J1067" s="13">
        <v>3463.40696766272</v>
      </c>
      <c r="K1067" s="13">
        <v>9543.0101145471817</v>
      </c>
      <c r="L1067" s="13">
        <v>1314.2654704772592</v>
      </c>
      <c r="M1067" s="13">
        <v>19405.235348615657</v>
      </c>
      <c r="N1067" s="13">
        <v>4141.8276120353021</v>
      </c>
      <c r="O1067" s="13">
        <v>673.64349438767022</v>
      </c>
      <c r="P1067" s="13">
        <v>168.76978961472707</v>
      </c>
      <c r="Q1067" s="13">
        <v>425.60360221049439</v>
      </c>
      <c r="R1067" s="13">
        <v>38.668005075834515</v>
      </c>
      <c r="S1067" s="13">
        <v>161.51500812836633</v>
      </c>
      <c r="T1067" s="13">
        <v>540.9428779418223</v>
      </c>
      <c r="U1067" s="13">
        <v>21.682063889139688</v>
      </c>
      <c r="V1067" s="13">
        <v>42.409037091075362</v>
      </c>
      <c r="W1067" s="13">
        <v>4.2994382155253748</v>
      </c>
      <c r="X1067" s="13">
        <v>19.989217781950433</v>
      </c>
      <c r="Y1067" s="13">
        <v>2.1771704113392869</v>
      </c>
      <c r="Z1067" s="13">
        <v>333.69442289407272</v>
      </c>
      <c r="AA1067" s="13"/>
      <c r="AB1067" s="13"/>
      <c r="AC1067" s="14">
        <v>4551.645232349123</v>
      </c>
      <c r="AD1067" s="14">
        <v>2997.68720452446</v>
      </c>
      <c r="AE1067" s="14">
        <v>2138.7115688969566</v>
      </c>
      <c r="AF1067" s="14">
        <v>1071.1358746768562</v>
      </c>
      <c r="AG1067" s="15">
        <v>0.89612177454157305</v>
      </c>
      <c r="AH1067" s="15">
        <v>0.96078453183881551</v>
      </c>
      <c r="AI1067" s="15">
        <v>1.0667414969324884</v>
      </c>
      <c r="AJ1067" s="41">
        <f t="shared" si="32"/>
        <v>18462.510164722466</v>
      </c>
      <c r="AK1067" s="44">
        <f t="shared" si="33"/>
        <v>35.872984264898051</v>
      </c>
      <c r="AL1067" s="10"/>
      <c r="AM1067" s="10"/>
    </row>
    <row r="1068" spans="1:39" s="16" customFormat="1" ht="19" customHeight="1">
      <c r="A1068" s="9" t="s">
        <v>1100</v>
      </c>
      <c r="B1068" s="10" t="s">
        <v>1096</v>
      </c>
      <c r="C1068" s="10"/>
      <c r="D1068" s="10"/>
      <c r="E1068" s="19" t="s">
        <v>1344</v>
      </c>
      <c r="F1068" s="19" t="s">
        <v>249</v>
      </c>
      <c r="G1068" s="12" t="s">
        <v>1006</v>
      </c>
      <c r="H1068" s="13">
        <v>111.00936337675741</v>
      </c>
      <c r="I1068" s="13">
        <v>5.3288129121167955</v>
      </c>
      <c r="J1068" s="13">
        <v>3904.1568712675653</v>
      </c>
      <c r="K1068" s="13">
        <v>9596.7551397702646</v>
      </c>
      <c r="L1068" s="13">
        <v>1373.3597014676131</v>
      </c>
      <c r="M1068" s="13">
        <v>22498.135010973256</v>
      </c>
      <c r="N1068" s="13">
        <v>4570.926745843235</v>
      </c>
      <c r="O1068" s="13">
        <v>707.98758843904636</v>
      </c>
      <c r="P1068" s="13">
        <v>157.39538585280891</v>
      </c>
      <c r="Q1068" s="13">
        <v>446.52278780534516</v>
      </c>
      <c r="R1068" s="13">
        <v>39.557652796580214</v>
      </c>
      <c r="S1068" s="13">
        <v>160.36602640668067</v>
      </c>
      <c r="T1068" s="13">
        <v>534.1897964855367</v>
      </c>
      <c r="U1068" s="13">
        <v>21.368398022035333</v>
      </c>
      <c r="V1068" s="13">
        <v>43.717748379852061</v>
      </c>
      <c r="W1068" s="13">
        <v>4.3023560890615542</v>
      </c>
      <c r="X1068" s="13">
        <v>18.278213913866935</v>
      </c>
      <c r="Y1068" s="13">
        <v>2.2209840070428015</v>
      </c>
      <c r="Z1068" s="13">
        <v>311.61780040089189</v>
      </c>
      <c r="AA1068" s="13"/>
      <c r="AB1068" s="13"/>
      <c r="AC1068" s="14">
        <v>4783.6999218854489</v>
      </c>
      <c r="AD1068" s="14">
        <v>2795.6551661244926</v>
      </c>
      <c r="AE1068" s="14">
        <v>2243.8331045494729</v>
      </c>
      <c r="AF1068" s="14">
        <v>1095.7798558609477</v>
      </c>
      <c r="AG1068" s="15">
        <v>0.7956291790044373</v>
      </c>
      <c r="AH1068" s="15">
        <v>0.85330906977144294</v>
      </c>
      <c r="AI1068" s="15">
        <v>0.95513892733666483</v>
      </c>
      <c r="AJ1068" s="41">
        <f t="shared" si="32"/>
        <v>19445.198458348677</v>
      </c>
      <c r="AK1068" s="44">
        <f t="shared" si="33"/>
        <v>42.116369797756697</v>
      </c>
      <c r="AL1068" s="10"/>
      <c r="AM1068" s="10"/>
    </row>
    <row r="1069" spans="1:39" s="16" customFormat="1" ht="19" customHeight="1">
      <c r="A1069" s="9" t="s">
        <v>1101</v>
      </c>
      <c r="B1069" s="10" t="s">
        <v>1096</v>
      </c>
      <c r="C1069" s="10"/>
      <c r="D1069" s="10"/>
      <c r="E1069" s="19" t="s">
        <v>1344</v>
      </c>
      <c r="F1069" s="19" t="s">
        <v>249</v>
      </c>
      <c r="G1069" s="12" t="s">
        <v>1006</v>
      </c>
      <c r="H1069" s="13"/>
      <c r="I1069" s="13"/>
      <c r="J1069" s="13">
        <v>4068.0905219070082</v>
      </c>
      <c r="K1069" s="13">
        <v>12905.387231895853</v>
      </c>
      <c r="L1069" s="13">
        <v>1601.779775527968</v>
      </c>
      <c r="M1069" s="13">
        <v>20696.517265688617</v>
      </c>
      <c r="N1069" s="13">
        <v>5040.5916474569722</v>
      </c>
      <c r="O1069" s="13">
        <v>747.29559850267208</v>
      </c>
      <c r="P1069" s="13">
        <v>174.34422705177101</v>
      </c>
      <c r="Q1069" s="13">
        <v>438.28044917439996</v>
      </c>
      <c r="R1069" s="13">
        <v>39.986542074730082</v>
      </c>
      <c r="S1069" s="13">
        <v>161.72609826224902</v>
      </c>
      <c r="T1069" s="13">
        <v>561.59273398706034</v>
      </c>
      <c r="U1069" s="13">
        <v>21.949147918306711</v>
      </c>
      <c r="V1069" s="13">
        <v>45.109667019775472</v>
      </c>
      <c r="W1069" s="13">
        <v>4.3289394436404631</v>
      </c>
      <c r="X1069" s="13">
        <v>20.887552794734468</v>
      </c>
      <c r="Y1069" s="13">
        <v>2.307212742729507</v>
      </c>
      <c r="Z1069" s="13">
        <v>303.41532915555973</v>
      </c>
      <c r="AA1069" s="13"/>
      <c r="AB1069" s="13"/>
      <c r="AC1069" s="14">
        <v>5049.294584477514</v>
      </c>
      <c r="AD1069" s="14">
        <v>3096.7003028733752</v>
      </c>
      <c r="AE1069" s="14">
        <v>2202.4143174592964</v>
      </c>
      <c r="AF1069" s="14">
        <v>1107.6604452833817</v>
      </c>
      <c r="AG1069" s="15">
        <v>0.85406084131322435</v>
      </c>
      <c r="AH1069" s="15">
        <v>0.92861204224191918</v>
      </c>
      <c r="AI1069" s="15">
        <v>1.0168958818534557</v>
      </c>
      <c r="AJ1069" s="41">
        <f t="shared" si="32"/>
        <v>23615.8491767878</v>
      </c>
      <c r="AK1069" s="44">
        <f t="shared" si="33"/>
        <v>36.853249718443628</v>
      </c>
      <c r="AL1069" s="10"/>
      <c r="AM1069" s="10"/>
    </row>
    <row r="1070" spans="1:39" s="16" customFormat="1" ht="19" customHeight="1">
      <c r="A1070" s="9" t="s">
        <v>1102</v>
      </c>
      <c r="B1070" s="10" t="s">
        <v>1096</v>
      </c>
      <c r="C1070" s="10"/>
      <c r="D1070" s="10"/>
      <c r="E1070" s="19" t="s">
        <v>1344</v>
      </c>
      <c r="F1070" s="19" t="s">
        <v>249</v>
      </c>
      <c r="G1070" s="12" t="s">
        <v>1006</v>
      </c>
      <c r="H1070" s="13"/>
      <c r="I1070" s="13"/>
      <c r="J1070" s="13">
        <v>3339.0461164741305</v>
      </c>
      <c r="K1070" s="13">
        <v>11771.304174228255</v>
      </c>
      <c r="L1070" s="13">
        <v>1425.180539995243</v>
      </c>
      <c r="M1070" s="13">
        <v>21150.64553855854</v>
      </c>
      <c r="N1070" s="13">
        <v>4197.2011863599855</v>
      </c>
      <c r="O1070" s="13">
        <v>599.93509667442822</v>
      </c>
      <c r="P1070" s="13">
        <v>150.32375927488036</v>
      </c>
      <c r="Q1070" s="13">
        <v>359.50901846071935</v>
      </c>
      <c r="R1070" s="13">
        <v>32.165458513401461</v>
      </c>
      <c r="S1070" s="13">
        <v>123.91648188681968</v>
      </c>
      <c r="T1070" s="13">
        <v>413.4638575960488</v>
      </c>
      <c r="U1070" s="13">
        <v>16.831291591932303</v>
      </c>
      <c r="V1070" s="13">
        <v>34.937960329023817</v>
      </c>
      <c r="W1070" s="13">
        <v>3.4888017077964042</v>
      </c>
      <c r="X1070" s="13">
        <v>16.965004691849376</v>
      </c>
      <c r="Y1070" s="13">
        <v>1.9284645720562095</v>
      </c>
      <c r="Z1070" s="13">
        <v>466.05471524956181</v>
      </c>
      <c r="AA1070" s="13"/>
      <c r="AB1070" s="13"/>
      <c r="AC1070" s="14">
        <v>4053.6155180704613</v>
      </c>
      <c r="AD1070" s="14">
        <v>2670.0490102110189</v>
      </c>
      <c r="AE1070" s="14">
        <v>1806.5779822146701</v>
      </c>
      <c r="AF1070" s="14">
        <v>891.00993111915409</v>
      </c>
      <c r="AG1070" s="15">
        <v>0.91124943573317363</v>
      </c>
      <c r="AH1070" s="15">
        <v>0.98666472060915522</v>
      </c>
      <c r="AI1070" s="15">
        <v>1.0914319996504183</v>
      </c>
      <c r="AJ1070" s="41">
        <f t="shared" si="32"/>
        <v>20732.732017057613</v>
      </c>
      <c r="AK1070" s="44">
        <f t="shared" si="33"/>
        <v>51.154762744033043</v>
      </c>
      <c r="AL1070" s="10"/>
      <c r="AM1070" s="10"/>
    </row>
    <row r="1071" spans="1:39" s="16" customFormat="1" ht="19" customHeight="1">
      <c r="A1071" s="9" t="s">
        <v>1103</v>
      </c>
      <c r="B1071" s="10" t="s">
        <v>1104</v>
      </c>
      <c r="C1071" s="10"/>
      <c r="D1071" s="10"/>
      <c r="E1071" s="19" t="s">
        <v>1344</v>
      </c>
      <c r="F1071" s="19" t="s">
        <v>249</v>
      </c>
      <c r="G1071" s="12" t="s">
        <v>1006</v>
      </c>
      <c r="H1071" s="13">
        <v>91.101363104229677</v>
      </c>
      <c r="I1071" s="13">
        <v>1.3028276575922817</v>
      </c>
      <c r="J1071" s="13">
        <v>1051.5602625860781</v>
      </c>
      <c r="K1071" s="13">
        <v>2475.2243738971038</v>
      </c>
      <c r="L1071" s="13">
        <v>294.91769970386878</v>
      </c>
      <c r="M1071" s="13">
        <v>3551.3261913641959</v>
      </c>
      <c r="N1071" s="13">
        <v>1206.5000249671623</v>
      </c>
      <c r="O1071" s="13">
        <v>201.0899434041329</v>
      </c>
      <c r="P1071" s="13">
        <v>51.537738485151628</v>
      </c>
      <c r="Q1071" s="13">
        <v>143.30509605173296</v>
      </c>
      <c r="R1071" s="13"/>
      <c r="S1071" s="13">
        <v>66.249068042860003</v>
      </c>
      <c r="T1071" s="13">
        <v>247.70804870781461</v>
      </c>
      <c r="U1071" s="13"/>
      <c r="V1071" s="13"/>
      <c r="W1071" s="13"/>
      <c r="X1071" s="13">
        <v>10.288518433099705</v>
      </c>
      <c r="Y1071" s="13">
        <v>1.3022094284637078</v>
      </c>
      <c r="Z1071" s="13">
        <v>224.79921506565159</v>
      </c>
      <c r="AA1071" s="13"/>
      <c r="AB1071" s="13"/>
      <c r="AC1071" s="14">
        <v>1358.7158338117088</v>
      </c>
      <c r="AD1071" s="14">
        <v>915.41276172560629</v>
      </c>
      <c r="AE1071" s="14">
        <v>720.12611081272837</v>
      </c>
      <c r="AF1071" s="14"/>
      <c r="AG1071" s="15">
        <v>0.88069491198474403</v>
      </c>
      <c r="AH1071" s="15">
        <v>0.92544020958077766</v>
      </c>
      <c r="AI1071" s="15"/>
      <c r="AJ1071" s="41">
        <f t="shared" si="32"/>
        <v>5028.2023611542136</v>
      </c>
      <c r="AK1071" s="44">
        <f t="shared" si="33"/>
        <v>14.336741215676776</v>
      </c>
      <c r="AL1071" s="10"/>
      <c r="AM1071" s="10"/>
    </row>
    <row r="1072" spans="1:39" s="16" customFormat="1" ht="19" customHeight="1">
      <c r="A1072" s="9" t="s">
        <v>1105</v>
      </c>
      <c r="B1072" s="10" t="s">
        <v>1104</v>
      </c>
      <c r="C1072" s="10"/>
      <c r="D1072" s="10"/>
      <c r="E1072" s="19" t="s">
        <v>1344</v>
      </c>
      <c r="F1072" s="19" t="s">
        <v>249</v>
      </c>
      <c r="G1072" s="12" t="s">
        <v>1006</v>
      </c>
      <c r="H1072" s="13">
        <v>103.34988181882582</v>
      </c>
      <c r="I1072" s="13">
        <v>1.4339692532794008</v>
      </c>
      <c r="J1072" s="13">
        <v>1106.8445095441587</v>
      </c>
      <c r="K1072" s="13">
        <v>2674.525337049281</v>
      </c>
      <c r="L1072" s="13">
        <v>312.96602385510573</v>
      </c>
      <c r="M1072" s="13">
        <v>3593.7615631155668</v>
      </c>
      <c r="N1072" s="13">
        <v>1285.6316924783268</v>
      </c>
      <c r="O1072" s="13">
        <v>204.74895022383748</v>
      </c>
      <c r="P1072" s="13">
        <v>55.693919104144662</v>
      </c>
      <c r="Q1072" s="13">
        <v>151.05390338769652</v>
      </c>
      <c r="R1072" s="13"/>
      <c r="S1072" s="13">
        <v>69.05237960237173</v>
      </c>
      <c r="T1072" s="13">
        <v>259.21499455189962</v>
      </c>
      <c r="U1072" s="13"/>
      <c r="V1072" s="13"/>
      <c r="W1072" s="13"/>
      <c r="X1072" s="13">
        <v>10.655509923176608</v>
      </c>
      <c r="Y1072" s="13">
        <v>1.2622924537175337</v>
      </c>
      <c r="Z1072" s="13">
        <v>233.9340326325908</v>
      </c>
      <c r="AA1072" s="13"/>
      <c r="AB1072" s="13"/>
      <c r="AC1072" s="14">
        <v>1383.4388528637669</v>
      </c>
      <c r="AD1072" s="14">
        <v>989.23479758693895</v>
      </c>
      <c r="AE1072" s="14">
        <v>759.06484114420357</v>
      </c>
      <c r="AF1072" s="14"/>
      <c r="AG1072" s="15">
        <v>0.92343812554776294</v>
      </c>
      <c r="AH1072" s="15">
        <v>0.965339245573548</v>
      </c>
      <c r="AI1072" s="15"/>
      <c r="AJ1072" s="41">
        <f t="shared" si="32"/>
        <v>5379.9675629268722</v>
      </c>
      <c r="AK1072" s="44">
        <f t="shared" si="33"/>
        <v>13.864018820855788</v>
      </c>
      <c r="AL1072" s="10"/>
      <c r="AM1072" s="10"/>
    </row>
    <row r="1073" spans="1:39" s="16" customFormat="1" ht="19" customHeight="1">
      <c r="A1073" s="9" t="s">
        <v>1106</v>
      </c>
      <c r="B1073" s="10" t="s">
        <v>1104</v>
      </c>
      <c r="C1073" s="10"/>
      <c r="D1073" s="10"/>
      <c r="E1073" s="19" t="s">
        <v>1344</v>
      </c>
      <c r="F1073" s="19" t="s">
        <v>249</v>
      </c>
      <c r="G1073" s="12" t="s">
        <v>1006</v>
      </c>
      <c r="H1073" s="13">
        <v>93.664666932643954</v>
      </c>
      <c r="I1073" s="13">
        <v>2.4879978663435964</v>
      </c>
      <c r="J1073" s="13">
        <v>1100.8620429182133</v>
      </c>
      <c r="K1073" s="13">
        <v>2594.8534548152188</v>
      </c>
      <c r="L1073" s="13">
        <v>319.05013224271192</v>
      </c>
      <c r="M1073" s="13">
        <v>3745.7913582603856</v>
      </c>
      <c r="N1073" s="13">
        <v>1306.4557866125838</v>
      </c>
      <c r="O1073" s="13">
        <v>210.1090239843341</v>
      </c>
      <c r="P1073" s="13">
        <v>56.086279407837708</v>
      </c>
      <c r="Q1073" s="13">
        <v>151.78002650503487</v>
      </c>
      <c r="R1073" s="13"/>
      <c r="S1073" s="13">
        <v>76.023547046900646</v>
      </c>
      <c r="T1073" s="13">
        <v>270.91057238543226</v>
      </c>
      <c r="U1073" s="13"/>
      <c r="V1073" s="13"/>
      <c r="W1073" s="13"/>
      <c r="X1073" s="13">
        <v>12.120133773197438</v>
      </c>
      <c r="Y1073" s="13">
        <v>1.2105300224715592</v>
      </c>
      <c r="Z1073" s="13">
        <v>277.27858750031089</v>
      </c>
      <c r="AA1073" s="13"/>
      <c r="AB1073" s="13"/>
      <c r="AC1073" s="14">
        <v>1419.6555674617171</v>
      </c>
      <c r="AD1073" s="14">
        <v>996.20389711967516</v>
      </c>
      <c r="AE1073" s="14">
        <v>762.71370103032598</v>
      </c>
      <c r="AF1073" s="14"/>
      <c r="AG1073" s="15">
        <v>0.91295630991727139</v>
      </c>
      <c r="AH1073" s="15">
        <v>0.95736151969441408</v>
      </c>
      <c r="AI1073" s="15"/>
      <c r="AJ1073" s="41">
        <f t="shared" si="32"/>
        <v>5321.2214165887272</v>
      </c>
      <c r="AK1073" s="44">
        <f t="shared" si="33"/>
        <v>13.826671012791412</v>
      </c>
      <c r="AL1073" s="10"/>
      <c r="AM1073" s="10"/>
    </row>
    <row r="1074" spans="1:39" s="16" customFormat="1" ht="19" customHeight="1">
      <c r="A1074" s="9" t="s">
        <v>1107</v>
      </c>
      <c r="B1074" s="10" t="s">
        <v>1104</v>
      </c>
      <c r="C1074" s="10"/>
      <c r="D1074" s="10"/>
      <c r="E1074" s="19" t="s">
        <v>1344</v>
      </c>
      <c r="F1074" s="19" t="s">
        <v>249</v>
      </c>
      <c r="G1074" s="12" t="s">
        <v>1006</v>
      </c>
      <c r="H1074" s="13">
        <v>86.73425692321419</v>
      </c>
      <c r="I1074" s="13">
        <v>2.3926047594041044</v>
      </c>
      <c r="J1074" s="13">
        <v>1099.6250241948792</v>
      </c>
      <c r="K1074" s="13">
        <v>2619.2526292130196</v>
      </c>
      <c r="L1074" s="13">
        <v>320.25355269212281</v>
      </c>
      <c r="M1074" s="13">
        <v>3655.8798077727556</v>
      </c>
      <c r="N1074" s="13">
        <v>1269.9212936526858</v>
      </c>
      <c r="O1074" s="13">
        <v>209.9734604158775</v>
      </c>
      <c r="P1074" s="13">
        <v>55.471237137710034</v>
      </c>
      <c r="Q1074" s="13">
        <v>151.66732616613294</v>
      </c>
      <c r="R1074" s="13"/>
      <c r="S1074" s="13">
        <v>71.421628900244741</v>
      </c>
      <c r="T1074" s="13">
        <v>262.89812252306604</v>
      </c>
      <c r="U1074" s="13"/>
      <c r="V1074" s="13"/>
      <c r="W1074" s="13"/>
      <c r="X1074" s="13">
        <v>11.710003363058654</v>
      </c>
      <c r="Y1074" s="13">
        <v>1.3451161695213822</v>
      </c>
      <c r="Z1074" s="13">
        <v>255.85470775860719</v>
      </c>
      <c r="AA1074" s="13"/>
      <c r="AB1074" s="13"/>
      <c r="AC1074" s="14">
        <v>1418.7395974045778</v>
      </c>
      <c r="AD1074" s="14">
        <v>985.27952287229198</v>
      </c>
      <c r="AE1074" s="14">
        <v>762.14736766900967</v>
      </c>
      <c r="AF1074" s="14"/>
      <c r="AG1074" s="15">
        <v>0.903558541686315</v>
      </c>
      <c r="AH1074" s="15">
        <v>0.9475205435174322</v>
      </c>
      <c r="AI1074" s="15"/>
      <c r="AJ1074" s="41">
        <f t="shared" si="32"/>
        <v>5309.0524997527073</v>
      </c>
      <c r="AK1074" s="44">
        <f t="shared" si="33"/>
        <v>13.906070430198671</v>
      </c>
      <c r="AL1074" s="10"/>
      <c r="AM1074" s="10"/>
    </row>
    <row r="1075" spans="1:39" s="16" customFormat="1" ht="19" customHeight="1">
      <c r="A1075" s="9" t="s">
        <v>1108</v>
      </c>
      <c r="B1075" s="10" t="s">
        <v>1104</v>
      </c>
      <c r="C1075" s="10"/>
      <c r="D1075" s="10"/>
      <c r="E1075" s="19" t="s">
        <v>1344</v>
      </c>
      <c r="F1075" s="19" t="s">
        <v>249</v>
      </c>
      <c r="G1075" s="12" t="s">
        <v>1006</v>
      </c>
      <c r="H1075" s="13">
        <v>104.90886460595921</v>
      </c>
      <c r="I1075" s="13">
        <v>1.9794806601859412</v>
      </c>
      <c r="J1075" s="13">
        <v>1140.8382421351541</v>
      </c>
      <c r="K1075" s="13">
        <v>2681.7641635061982</v>
      </c>
      <c r="L1075" s="13">
        <v>323.75927397910726</v>
      </c>
      <c r="M1075" s="13">
        <v>3745.4650529790047</v>
      </c>
      <c r="N1075" s="13">
        <v>1319.667337788248</v>
      </c>
      <c r="O1075" s="13">
        <v>214.48038338819688</v>
      </c>
      <c r="P1075" s="13">
        <v>56.770582460779522</v>
      </c>
      <c r="Q1075" s="13">
        <v>156.54878007487164</v>
      </c>
      <c r="R1075" s="13"/>
      <c r="S1075" s="13">
        <v>73.380138130445047</v>
      </c>
      <c r="T1075" s="13">
        <v>270.77279262605066</v>
      </c>
      <c r="U1075" s="13"/>
      <c r="V1075" s="13"/>
      <c r="W1075" s="13"/>
      <c r="X1075" s="13">
        <v>11.518497300049795</v>
      </c>
      <c r="Y1075" s="13">
        <v>1.4698670063480515</v>
      </c>
      <c r="Z1075" s="13">
        <v>257.6712786445288</v>
      </c>
      <c r="AA1075" s="13"/>
      <c r="AB1075" s="13"/>
      <c r="AC1075" s="14">
        <v>1449.191779649979</v>
      </c>
      <c r="AD1075" s="14">
        <v>1008.3584806532775</v>
      </c>
      <c r="AE1075" s="14">
        <v>786.67728680840014</v>
      </c>
      <c r="AF1075" s="14"/>
      <c r="AG1075" s="15">
        <v>0.9019834799633587</v>
      </c>
      <c r="AH1075" s="15">
        <v>0.9443950860096606</v>
      </c>
      <c r="AI1075" s="15"/>
      <c r="AJ1075" s="41">
        <f t="shared" si="32"/>
        <v>5466.0290174087077</v>
      </c>
      <c r="AK1075" s="44">
        <f t="shared" si="33"/>
        <v>13.832501473483193</v>
      </c>
      <c r="AL1075" s="10"/>
      <c r="AM1075" s="10"/>
    </row>
    <row r="1076" spans="1:39" s="16" customFormat="1" ht="19" customHeight="1">
      <c r="A1076" s="9" t="s">
        <v>1109</v>
      </c>
      <c r="B1076" s="10" t="s">
        <v>1104</v>
      </c>
      <c r="C1076" s="10"/>
      <c r="D1076" s="10"/>
      <c r="E1076" s="19" t="s">
        <v>1344</v>
      </c>
      <c r="F1076" s="19" t="s">
        <v>249</v>
      </c>
      <c r="G1076" s="12" t="s">
        <v>1006</v>
      </c>
      <c r="H1076" s="13">
        <v>96.948668349348708</v>
      </c>
      <c r="I1076" s="13">
        <v>2.0658386473703274</v>
      </c>
      <c r="J1076" s="13">
        <v>1087.1197457546764</v>
      </c>
      <c r="K1076" s="13">
        <v>2555.7350208214061</v>
      </c>
      <c r="L1076" s="13">
        <v>305.87494080927701</v>
      </c>
      <c r="M1076" s="13">
        <v>3642.4549772741489</v>
      </c>
      <c r="N1076" s="13">
        <v>1280.6191866550896</v>
      </c>
      <c r="O1076" s="13">
        <v>210.56702461156411</v>
      </c>
      <c r="P1076" s="13">
        <v>54.991671155390996</v>
      </c>
      <c r="Q1076" s="13">
        <v>148.7258896903478</v>
      </c>
      <c r="R1076" s="13"/>
      <c r="S1076" s="13">
        <v>74.25337892276589</v>
      </c>
      <c r="T1076" s="13">
        <v>268.82466768548738</v>
      </c>
      <c r="U1076" s="13"/>
      <c r="V1076" s="13"/>
      <c r="W1076" s="13"/>
      <c r="X1076" s="13">
        <v>11.879474130198691</v>
      </c>
      <c r="Y1076" s="13">
        <v>1.4484107224069043</v>
      </c>
      <c r="Z1076" s="13">
        <v>260.58509480492296</v>
      </c>
      <c r="AA1076" s="13"/>
      <c r="AB1076" s="13"/>
      <c r="AC1076" s="14">
        <v>1422.7501662943521</v>
      </c>
      <c r="AD1076" s="14">
        <v>976.76147700516879</v>
      </c>
      <c r="AE1076" s="14">
        <v>747.36627985099392</v>
      </c>
      <c r="AF1076" s="14"/>
      <c r="AG1076" s="15">
        <v>0.90019268665525709</v>
      </c>
      <c r="AH1076" s="15">
        <v>0.94723437642292152</v>
      </c>
      <c r="AI1076" s="15"/>
      <c r="AJ1076" s="41">
        <f t="shared" si="32"/>
        <v>5229.3488940404495</v>
      </c>
      <c r="AK1076" s="44">
        <f t="shared" si="33"/>
        <v>13.549556328423161</v>
      </c>
      <c r="AL1076" s="10"/>
      <c r="AM1076" s="10"/>
    </row>
    <row r="1077" spans="1:39" s="16" customFormat="1" ht="19" customHeight="1">
      <c r="A1077" s="9" t="s">
        <v>1110</v>
      </c>
      <c r="B1077" s="10" t="s">
        <v>1104</v>
      </c>
      <c r="C1077" s="10"/>
      <c r="D1077" s="10"/>
      <c r="E1077" s="19" t="s">
        <v>1344</v>
      </c>
      <c r="F1077" s="19" t="s">
        <v>249</v>
      </c>
      <c r="G1077" s="12" t="s">
        <v>1006</v>
      </c>
      <c r="H1077" s="13">
        <v>69.236639549808885</v>
      </c>
      <c r="I1077" s="13">
        <v>2.3248758912645267</v>
      </c>
      <c r="J1077" s="13">
        <v>1070.6513004011927</v>
      </c>
      <c r="K1077" s="13">
        <v>2463.1122639689474</v>
      </c>
      <c r="L1077" s="13">
        <v>300.53038463062427</v>
      </c>
      <c r="M1077" s="13">
        <v>3587.0671498777924</v>
      </c>
      <c r="N1077" s="13">
        <v>1214.7705086135527</v>
      </c>
      <c r="O1077" s="13">
        <v>203.69201454678705</v>
      </c>
      <c r="P1077" s="13">
        <v>52.291647319726103</v>
      </c>
      <c r="Q1077" s="13">
        <v>148.16441504873467</v>
      </c>
      <c r="R1077" s="13"/>
      <c r="S1077" s="13">
        <v>70.015203671170767</v>
      </c>
      <c r="T1077" s="13">
        <v>260.33952864084392</v>
      </c>
      <c r="U1077" s="13"/>
      <c r="V1077" s="13"/>
      <c r="W1077" s="13"/>
      <c r="X1077" s="13">
        <v>11.036959062802334</v>
      </c>
      <c r="Y1077" s="13">
        <v>1.2371700550333209</v>
      </c>
      <c r="Z1077" s="13">
        <v>257.09004001140886</v>
      </c>
      <c r="AA1077" s="13"/>
      <c r="AB1077" s="13"/>
      <c r="AC1077" s="14">
        <v>1376.297395586399</v>
      </c>
      <c r="AD1077" s="14">
        <v>928.80368241076565</v>
      </c>
      <c r="AE1077" s="14">
        <v>744.54479923987265</v>
      </c>
      <c r="AF1077" s="14"/>
      <c r="AG1077" s="15">
        <v>0.87588193471117581</v>
      </c>
      <c r="AH1077" s="15">
        <v>0.91753442464597812</v>
      </c>
      <c r="AI1077" s="15"/>
      <c r="AJ1077" s="41">
        <f t="shared" si="32"/>
        <v>5049.0644576143168</v>
      </c>
      <c r="AK1077" s="44">
        <f t="shared" si="33"/>
        <v>13.778419161334487</v>
      </c>
      <c r="AL1077" s="10"/>
      <c r="AM1077" s="10"/>
    </row>
    <row r="1078" spans="1:39" s="16" customFormat="1" ht="19" customHeight="1">
      <c r="A1078" s="9" t="s">
        <v>1111</v>
      </c>
      <c r="B1078" s="10" t="s">
        <v>1104</v>
      </c>
      <c r="C1078" s="10"/>
      <c r="D1078" s="10"/>
      <c r="E1078" s="19" t="s">
        <v>1344</v>
      </c>
      <c r="F1078" s="19" t="s">
        <v>249</v>
      </c>
      <c r="G1078" s="12" t="s">
        <v>1006</v>
      </c>
      <c r="H1078" s="13">
        <v>71.224905820808402</v>
      </c>
      <c r="I1078" s="13">
        <v>2.0858078068215846</v>
      </c>
      <c r="J1078" s="13">
        <v>1066.3158494245952</v>
      </c>
      <c r="K1078" s="13">
        <v>2533.084149976854</v>
      </c>
      <c r="L1078" s="13">
        <v>312.19972923555366</v>
      </c>
      <c r="M1078" s="13">
        <v>3643.2318249067903</v>
      </c>
      <c r="N1078" s="13">
        <v>1245.4557546674168</v>
      </c>
      <c r="O1078" s="13">
        <v>209.97241845138925</v>
      </c>
      <c r="P1078" s="13">
        <v>54.377061540943451</v>
      </c>
      <c r="Q1078" s="13">
        <v>146.23807791140234</v>
      </c>
      <c r="R1078" s="13"/>
      <c r="S1078" s="13">
        <v>70.019048368274142</v>
      </c>
      <c r="T1078" s="13">
        <v>259.41650003388764</v>
      </c>
      <c r="U1078" s="13"/>
      <c r="V1078" s="13"/>
      <c r="W1078" s="13"/>
      <c r="X1078" s="13">
        <v>11.733724138282119</v>
      </c>
      <c r="Y1078" s="13">
        <v>1.3189616971418634</v>
      </c>
      <c r="Z1078" s="13">
        <v>264.60908672122503</v>
      </c>
      <c r="AA1078" s="13"/>
      <c r="AB1078" s="13"/>
      <c r="AC1078" s="14">
        <v>1418.7325571039814</v>
      </c>
      <c r="AD1078" s="14">
        <v>965.84478758336513</v>
      </c>
      <c r="AE1078" s="14">
        <v>734.86471312262483</v>
      </c>
      <c r="AF1078" s="14"/>
      <c r="AG1078" s="15">
        <v>0.89695952064587903</v>
      </c>
      <c r="AH1078" s="15">
        <v>0.94591775200358641</v>
      </c>
      <c r="AI1078" s="15"/>
      <c r="AJ1078" s="41">
        <f t="shared" si="32"/>
        <v>5157.0554833044198</v>
      </c>
      <c r="AK1078" s="44">
        <f t="shared" si="33"/>
        <v>14.043947954084933</v>
      </c>
      <c r="AL1078" s="10"/>
      <c r="AM1078" s="10"/>
    </row>
    <row r="1079" spans="1:39" s="16" customFormat="1" ht="19" customHeight="1">
      <c r="A1079" s="9" t="s">
        <v>1112</v>
      </c>
      <c r="B1079" s="10" t="s">
        <v>1104</v>
      </c>
      <c r="C1079" s="10"/>
      <c r="D1079" s="10"/>
      <c r="E1079" s="19" t="s">
        <v>1344</v>
      </c>
      <c r="F1079" s="19" t="s">
        <v>249</v>
      </c>
      <c r="G1079" s="12" t="s">
        <v>1006</v>
      </c>
      <c r="H1079" s="13">
        <v>99.248393743170325</v>
      </c>
      <c r="I1079" s="13">
        <v>1.6191442478456941</v>
      </c>
      <c r="J1079" s="13">
        <v>1097.6546188417956</v>
      </c>
      <c r="K1079" s="13">
        <v>2624.075893834724</v>
      </c>
      <c r="L1079" s="13">
        <v>317.93371446728031</v>
      </c>
      <c r="M1079" s="13">
        <v>3605.5925362120647</v>
      </c>
      <c r="N1079" s="13">
        <v>1266.8858355939599</v>
      </c>
      <c r="O1079" s="13">
        <v>207.90060234267384</v>
      </c>
      <c r="P1079" s="13">
        <v>53.937574790256662</v>
      </c>
      <c r="Q1079" s="13">
        <v>153.05287574749147</v>
      </c>
      <c r="R1079" s="13"/>
      <c r="S1079" s="13">
        <v>72.137370896221356</v>
      </c>
      <c r="T1079" s="13">
        <v>263.63824775947376</v>
      </c>
      <c r="U1079" s="13"/>
      <c r="V1079" s="13"/>
      <c r="W1079" s="13"/>
      <c r="X1079" s="13">
        <v>11.877334629058447</v>
      </c>
      <c r="Y1079" s="13">
        <v>1.2596177894546388</v>
      </c>
      <c r="Z1079" s="13">
        <v>246.00129252892114</v>
      </c>
      <c r="AA1079" s="13"/>
      <c r="AB1079" s="13"/>
      <c r="AC1079" s="14">
        <v>1404.7337996126612</v>
      </c>
      <c r="AD1079" s="14">
        <v>958.03862860136178</v>
      </c>
      <c r="AE1079" s="14">
        <v>769.10992837935407</v>
      </c>
      <c r="AF1079" s="14"/>
      <c r="AG1079" s="15">
        <v>0.88142364261510586</v>
      </c>
      <c r="AH1079" s="15">
        <v>0.92170468599291766</v>
      </c>
      <c r="AI1079" s="15"/>
      <c r="AJ1079" s="41">
        <f t="shared" si="32"/>
        <v>5306.5500627377596</v>
      </c>
      <c r="AK1079" s="44">
        <f t="shared" si="33"/>
        <v>13.676287742215504</v>
      </c>
      <c r="AL1079" s="10"/>
      <c r="AM1079" s="10"/>
    </row>
    <row r="1080" spans="1:39" s="16" customFormat="1" ht="19" customHeight="1">
      <c r="A1080" s="9" t="s">
        <v>1113</v>
      </c>
      <c r="B1080" s="10" t="s">
        <v>1114</v>
      </c>
      <c r="C1080" s="10"/>
      <c r="D1080" s="10"/>
      <c r="E1080" s="11" t="s">
        <v>1341</v>
      </c>
      <c r="F1080" s="11" t="s">
        <v>249</v>
      </c>
      <c r="G1080" s="12" t="s">
        <v>1006</v>
      </c>
      <c r="H1080" s="13">
        <v>8.7767125064692255</v>
      </c>
      <c r="I1080" s="13">
        <v>3.7196261793478729</v>
      </c>
      <c r="J1080" s="13">
        <v>144.07613409385027</v>
      </c>
      <c r="K1080" s="13">
        <v>604.64610573645416</v>
      </c>
      <c r="L1080" s="13">
        <v>84.713221744542537</v>
      </c>
      <c r="M1080" s="13">
        <v>168.59879958918594</v>
      </c>
      <c r="N1080" s="13">
        <v>394.49241077225264</v>
      </c>
      <c r="O1080" s="13">
        <v>100.09600187992952</v>
      </c>
      <c r="P1080" s="13">
        <v>16.088272775914977</v>
      </c>
      <c r="Q1080" s="13">
        <v>128.28858762138262</v>
      </c>
      <c r="R1080" s="13">
        <v>18.133990314664299</v>
      </c>
      <c r="S1080" s="13">
        <v>100.17968909080713</v>
      </c>
      <c r="T1080" s="13">
        <v>567.55126460373708</v>
      </c>
      <c r="U1080" s="13">
        <v>19.824686600546677</v>
      </c>
      <c r="V1080" s="13">
        <v>48.991746148443958</v>
      </c>
      <c r="W1080" s="13">
        <v>6.5929329169894366</v>
      </c>
      <c r="X1080" s="13">
        <v>30.613942733960574</v>
      </c>
      <c r="Y1080" s="13">
        <v>4.781907403154662</v>
      </c>
      <c r="Z1080" s="13">
        <v>380.91141227051276</v>
      </c>
      <c r="AA1080" s="13"/>
      <c r="AB1080" s="13"/>
      <c r="AC1080" s="14">
        <v>676.32433702655078</v>
      </c>
      <c r="AD1080" s="14">
        <v>285.75972958996408</v>
      </c>
      <c r="AE1080" s="14">
        <v>644.66626945418398</v>
      </c>
      <c r="AF1080" s="14">
        <v>502.32660151424648</v>
      </c>
      <c r="AG1080" s="15">
        <v>0.43264460502298296</v>
      </c>
      <c r="AH1080" s="15">
        <v>0.43276890119836037</v>
      </c>
      <c r="AI1080" s="15">
        <v>0.46655440087966765</v>
      </c>
      <c r="AJ1080" s="41">
        <f t="shared" si="32"/>
        <v>1227.9278723470998</v>
      </c>
      <c r="AK1080" s="44">
        <f t="shared" si="33"/>
        <v>0.29706356078142337</v>
      </c>
      <c r="AL1080" s="10"/>
      <c r="AM1080" s="10"/>
    </row>
    <row r="1081" spans="1:39" s="16" customFormat="1" ht="19" customHeight="1">
      <c r="A1081" s="9" t="s">
        <v>1115</v>
      </c>
      <c r="B1081" s="10" t="s">
        <v>1114</v>
      </c>
      <c r="C1081" s="10"/>
      <c r="D1081" s="10"/>
      <c r="E1081" s="11" t="s">
        <v>1341</v>
      </c>
      <c r="F1081" s="11" t="s">
        <v>249</v>
      </c>
      <c r="G1081" s="12" t="s">
        <v>1006</v>
      </c>
      <c r="H1081" s="13">
        <v>8.8376938143678938</v>
      </c>
      <c r="I1081" s="13">
        <v>3.6244622813226757</v>
      </c>
      <c r="J1081" s="13">
        <v>151.42853639875179</v>
      </c>
      <c r="K1081" s="13">
        <v>526.10552717674034</v>
      </c>
      <c r="L1081" s="13">
        <v>82.555377715571268</v>
      </c>
      <c r="M1081" s="13">
        <v>165.45922228371393</v>
      </c>
      <c r="N1081" s="13">
        <v>440.22176166927494</v>
      </c>
      <c r="O1081" s="13">
        <v>107.0746834316997</v>
      </c>
      <c r="P1081" s="13">
        <v>17.056093544712922</v>
      </c>
      <c r="Q1081" s="13">
        <v>138.03575826917228</v>
      </c>
      <c r="R1081" s="13">
        <v>20.696513300811866</v>
      </c>
      <c r="S1081" s="13">
        <v>127.5040396812871</v>
      </c>
      <c r="T1081" s="13">
        <v>651.76708863292174</v>
      </c>
      <c r="U1081" s="13">
        <v>23.195832733046814</v>
      </c>
      <c r="V1081" s="13">
        <v>58.768731033534955</v>
      </c>
      <c r="W1081" s="13">
        <v>7.2973938387696418</v>
      </c>
      <c r="X1081" s="13">
        <v>38.29028451984621</v>
      </c>
      <c r="Y1081" s="13">
        <v>5.6343152871514617</v>
      </c>
      <c r="Z1081" s="13">
        <v>360.73409759514306</v>
      </c>
      <c r="AA1081" s="13"/>
      <c r="AB1081" s="13"/>
      <c r="AC1081" s="14">
        <v>723.47759075472777</v>
      </c>
      <c r="AD1081" s="14">
        <v>302.95015177109991</v>
      </c>
      <c r="AE1081" s="14">
        <v>693.64702647825266</v>
      </c>
      <c r="AF1081" s="14">
        <v>573.31061775102125</v>
      </c>
      <c r="AG1081" s="15">
        <v>0.42755612045273478</v>
      </c>
      <c r="AH1081" s="15">
        <v>0.42765087811600677</v>
      </c>
      <c r="AI1081" s="15">
        <v>0.45250611995608481</v>
      </c>
      <c r="AJ1081" s="41">
        <f t="shared" si="32"/>
        <v>1200.3112029603383</v>
      </c>
      <c r="AK1081" s="44">
        <f t="shared" si="33"/>
        <v>0.25386249960973611</v>
      </c>
      <c r="AL1081" s="10"/>
      <c r="AM1081" s="10"/>
    </row>
    <row r="1082" spans="1:39" s="16" customFormat="1" ht="19" customHeight="1">
      <c r="A1082" s="9" t="s">
        <v>1116</v>
      </c>
      <c r="B1082" s="10" t="s">
        <v>1114</v>
      </c>
      <c r="C1082" s="10"/>
      <c r="D1082" s="10"/>
      <c r="E1082" s="11" t="s">
        <v>1341</v>
      </c>
      <c r="F1082" s="11" t="s">
        <v>249</v>
      </c>
      <c r="G1082" s="12" t="s">
        <v>1006</v>
      </c>
      <c r="H1082" s="13">
        <v>2.2874645549765233</v>
      </c>
      <c r="I1082" s="13">
        <v>0.9050707453673138</v>
      </c>
      <c r="J1082" s="13">
        <v>138.9450785948826</v>
      </c>
      <c r="K1082" s="13">
        <v>508.42226603332426</v>
      </c>
      <c r="L1082" s="13">
        <v>95.890289906389398</v>
      </c>
      <c r="M1082" s="13">
        <v>191.81066747234732</v>
      </c>
      <c r="N1082" s="13">
        <v>561.53148787317241</v>
      </c>
      <c r="O1082" s="13">
        <v>162.38509394752248</v>
      </c>
      <c r="P1082" s="13">
        <v>26.12697474652952</v>
      </c>
      <c r="Q1082" s="13">
        <v>236.7164651443438</v>
      </c>
      <c r="R1082" s="13">
        <v>34.24886045341831</v>
      </c>
      <c r="S1082" s="13">
        <v>198.46466434700801</v>
      </c>
      <c r="T1082" s="13">
        <v>1119.5767239880308</v>
      </c>
      <c r="U1082" s="13">
        <v>39.361621880740174</v>
      </c>
      <c r="V1082" s="13">
        <v>100.75024508439878</v>
      </c>
      <c r="W1082" s="13">
        <v>11.707613022525461</v>
      </c>
      <c r="X1082" s="13">
        <v>58.940043698067313</v>
      </c>
      <c r="Y1082" s="13">
        <v>7.3645500753238311</v>
      </c>
      <c r="Z1082" s="13">
        <v>349.75020778696711</v>
      </c>
      <c r="AA1082" s="13"/>
      <c r="AB1082" s="13"/>
      <c r="AC1082" s="14">
        <v>1097.1965807265033</v>
      </c>
      <c r="AD1082" s="14">
        <v>464.06704700762918</v>
      </c>
      <c r="AE1082" s="14">
        <v>1189.5299755997175</v>
      </c>
      <c r="AF1082" s="14">
        <v>948.72189621657367</v>
      </c>
      <c r="AG1082" s="15">
        <v>0.40587891518886626</v>
      </c>
      <c r="AH1082" s="15">
        <v>0.40621018898052691</v>
      </c>
      <c r="AI1082" s="15">
        <v>0.44396097099643839</v>
      </c>
      <c r="AJ1082" s="41">
        <f t="shared" si="32"/>
        <v>1304.7891224077687</v>
      </c>
      <c r="AK1082" s="44">
        <f t="shared" si="33"/>
        <v>0.17132427225630489</v>
      </c>
      <c r="AL1082" s="10"/>
      <c r="AM1082" s="10"/>
    </row>
    <row r="1083" spans="1:39" s="16" customFormat="1" ht="19" customHeight="1">
      <c r="A1083" s="9" t="s">
        <v>1117</v>
      </c>
      <c r="B1083" s="10" t="s">
        <v>1114</v>
      </c>
      <c r="C1083" s="10"/>
      <c r="D1083" s="10"/>
      <c r="E1083" s="11" t="s">
        <v>1341</v>
      </c>
      <c r="F1083" s="11" t="s">
        <v>249</v>
      </c>
      <c r="G1083" s="12" t="s">
        <v>1006</v>
      </c>
      <c r="H1083" s="13">
        <v>1.7082198007891216</v>
      </c>
      <c r="I1083" s="13">
        <v>0.88683640180622492</v>
      </c>
      <c r="J1083" s="13">
        <v>162.68568700394337</v>
      </c>
      <c r="K1083" s="13">
        <v>568.14659749977932</v>
      </c>
      <c r="L1083" s="13">
        <v>103.44282791084119</v>
      </c>
      <c r="M1083" s="13">
        <v>200.95081731133664</v>
      </c>
      <c r="N1083" s="13">
        <v>581.56760818488169</v>
      </c>
      <c r="O1083" s="13">
        <v>161.04554565297454</v>
      </c>
      <c r="P1083" s="13">
        <v>28.936123819919739</v>
      </c>
      <c r="Q1083" s="13">
        <v>213.37925382304707</v>
      </c>
      <c r="R1083" s="13">
        <v>31.751576276729246</v>
      </c>
      <c r="S1083" s="13">
        <v>183.06808407757657</v>
      </c>
      <c r="T1083" s="13">
        <v>1007.2940115470984</v>
      </c>
      <c r="U1083" s="13">
        <v>34.7915887167918</v>
      </c>
      <c r="V1083" s="13">
        <v>93.851874805371793</v>
      </c>
      <c r="W1083" s="13">
        <v>10.126432526540592</v>
      </c>
      <c r="X1083" s="13">
        <v>51.456457090985531</v>
      </c>
      <c r="Y1083" s="13">
        <v>7.2494903265847848</v>
      </c>
      <c r="Z1083" s="13">
        <v>354.7627324475568</v>
      </c>
      <c r="AA1083" s="13"/>
      <c r="AB1083" s="13"/>
      <c r="AC1083" s="14">
        <v>1088.1455787363145</v>
      </c>
      <c r="AD1083" s="14">
        <v>513.96312291154072</v>
      </c>
      <c r="AE1083" s="14">
        <v>1072.257556899734</v>
      </c>
      <c r="AF1083" s="14">
        <v>879.54504921687658</v>
      </c>
      <c r="AG1083" s="15">
        <v>0.4758029780957746</v>
      </c>
      <c r="AH1083" s="15">
        <v>0.47581584531899934</v>
      </c>
      <c r="AI1083" s="15">
        <v>0.50705444657860499</v>
      </c>
      <c r="AJ1083" s="41">
        <f t="shared" si="32"/>
        <v>1415.8427205994456</v>
      </c>
      <c r="AK1083" s="44">
        <f t="shared" si="33"/>
        <v>0.19949569341993523</v>
      </c>
      <c r="AL1083" s="10"/>
      <c r="AM1083" s="10"/>
    </row>
    <row r="1084" spans="1:39" s="16" customFormat="1" ht="19" customHeight="1">
      <c r="A1084" s="9" t="s">
        <v>1118</v>
      </c>
      <c r="B1084" s="10" t="s">
        <v>1114</v>
      </c>
      <c r="C1084" s="10"/>
      <c r="D1084" s="10"/>
      <c r="E1084" s="11" t="s">
        <v>1341</v>
      </c>
      <c r="F1084" s="11" t="s">
        <v>249</v>
      </c>
      <c r="G1084" s="12" t="s">
        <v>1006</v>
      </c>
      <c r="H1084" s="13">
        <v>1.5632584345878799</v>
      </c>
      <c r="I1084" s="13">
        <v>0.49906101780192175</v>
      </c>
      <c r="J1084" s="13">
        <v>247.87958578757792</v>
      </c>
      <c r="K1084" s="13">
        <v>741.50417392109637</v>
      </c>
      <c r="L1084" s="13">
        <v>136.361289476758</v>
      </c>
      <c r="M1084" s="13">
        <v>211.45393078896052</v>
      </c>
      <c r="N1084" s="13">
        <v>772.49430189792577</v>
      </c>
      <c r="O1084" s="13">
        <v>219.37505606382337</v>
      </c>
      <c r="P1084" s="13">
        <v>37.159899613863686</v>
      </c>
      <c r="Q1084" s="13">
        <v>295.22562939955009</v>
      </c>
      <c r="R1084" s="13">
        <v>41.332042485546445</v>
      </c>
      <c r="S1084" s="13">
        <v>261.92925687540531</v>
      </c>
      <c r="T1084" s="13">
        <v>1431.5838860022334</v>
      </c>
      <c r="U1084" s="13">
        <v>50.667796105657665</v>
      </c>
      <c r="V1084" s="13">
        <v>128.67641009851673</v>
      </c>
      <c r="W1084" s="13">
        <v>15.518874168698964</v>
      </c>
      <c r="X1084" s="13">
        <v>81.428337964644683</v>
      </c>
      <c r="Y1084" s="13">
        <v>11.906762098725638</v>
      </c>
      <c r="Z1084" s="13">
        <v>555.30359423775144</v>
      </c>
      <c r="AA1084" s="13"/>
      <c r="AB1084" s="13"/>
      <c r="AC1084" s="14">
        <v>1482.2638923231309</v>
      </c>
      <c r="AD1084" s="14">
        <v>660.03374092120225</v>
      </c>
      <c r="AE1084" s="14">
        <v>1483.5458763796487</v>
      </c>
      <c r="AF1084" s="14">
        <v>1144.9319248073807</v>
      </c>
      <c r="AG1084" s="15">
        <v>0.4450951290850293</v>
      </c>
      <c r="AH1084" s="15">
        <v>0.44509517066666521</v>
      </c>
      <c r="AI1084" s="15">
        <v>0.48531371298240594</v>
      </c>
      <c r="AJ1084" s="41">
        <f t="shared" si="32"/>
        <v>1898.2393510833581</v>
      </c>
      <c r="AK1084" s="44">
        <f t="shared" si="33"/>
        <v>0.14770628033503211</v>
      </c>
      <c r="AL1084" s="10"/>
      <c r="AM1084" s="10"/>
    </row>
    <row r="1085" spans="1:39" s="16" customFormat="1" ht="19" customHeight="1">
      <c r="A1085" s="9" t="s">
        <v>1119</v>
      </c>
      <c r="B1085" s="10" t="s">
        <v>1114</v>
      </c>
      <c r="C1085" s="10"/>
      <c r="D1085" s="10"/>
      <c r="E1085" s="11" t="s">
        <v>1341</v>
      </c>
      <c r="F1085" s="11" t="s">
        <v>249</v>
      </c>
      <c r="G1085" s="12" t="s">
        <v>1006</v>
      </c>
      <c r="H1085" s="13">
        <v>1.1754545907486642</v>
      </c>
      <c r="I1085" s="13">
        <v>0.43347526633682743</v>
      </c>
      <c r="J1085" s="13">
        <v>176.6221368352679</v>
      </c>
      <c r="K1085" s="13">
        <v>557.45355872557138</v>
      </c>
      <c r="L1085" s="13">
        <v>100.84715698303738</v>
      </c>
      <c r="M1085" s="13">
        <v>228.8791254676793</v>
      </c>
      <c r="N1085" s="13">
        <v>608.11858462790417</v>
      </c>
      <c r="O1085" s="13">
        <v>178.98690287239071</v>
      </c>
      <c r="P1085" s="13">
        <v>31.011443562298499</v>
      </c>
      <c r="Q1085" s="13">
        <v>248.38910918434198</v>
      </c>
      <c r="R1085" s="13">
        <v>33.430097877098881</v>
      </c>
      <c r="S1085" s="13">
        <v>211.96682583637622</v>
      </c>
      <c r="T1085" s="13">
        <v>1146.2774297729538</v>
      </c>
      <c r="U1085" s="13">
        <v>39.542224649695989</v>
      </c>
      <c r="V1085" s="13">
        <v>101.97180301786038</v>
      </c>
      <c r="W1085" s="13">
        <v>11.673015110151029</v>
      </c>
      <c r="X1085" s="13">
        <v>64.579310622349169</v>
      </c>
      <c r="Y1085" s="13">
        <v>7.6770293736654081</v>
      </c>
      <c r="Z1085" s="13">
        <v>548.36614425388041</v>
      </c>
      <c r="AA1085" s="13"/>
      <c r="AB1085" s="13"/>
      <c r="AC1085" s="14">
        <v>1209.3709653539913</v>
      </c>
      <c r="AD1085" s="14">
        <v>550.82493005858794</v>
      </c>
      <c r="AE1085" s="14">
        <v>1248.1864783132762</v>
      </c>
      <c r="AF1085" s="14">
        <v>926.04149244041218</v>
      </c>
      <c r="AG1085" s="15">
        <v>0.44827023797793669</v>
      </c>
      <c r="AH1085" s="15">
        <v>0.44832616149516918</v>
      </c>
      <c r="AI1085" s="15">
        <v>0.49784836019011985</v>
      </c>
      <c r="AJ1085" s="41">
        <f t="shared" si="32"/>
        <v>1443.0414371717807</v>
      </c>
      <c r="AK1085" s="44">
        <f t="shared" si="33"/>
        <v>0.19967166719230789</v>
      </c>
      <c r="AL1085" s="10"/>
      <c r="AM1085" s="10"/>
    </row>
    <row r="1086" spans="1:39" s="16" customFormat="1" ht="19" customHeight="1">
      <c r="A1086" s="9" t="s">
        <v>1120</v>
      </c>
      <c r="B1086" s="10" t="s">
        <v>1114</v>
      </c>
      <c r="C1086" s="10"/>
      <c r="D1086" s="10"/>
      <c r="E1086" s="11" t="s">
        <v>1341</v>
      </c>
      <c r="F1086" s="11" t="s">
        <v>249</v>
      </c>
      <c r="G1086" s="12" t="s">
        <v>1006</v>
      </c>
      <c r="H1086" s="13">
        <v>6.5285482384132116</v>
      </c>
      <c r="I1086" s="13">
        <v>3.1939036341917668</v>
      </c>
      <c r="J1086" s="13">
        <v>865.03153890312205</v>
      </c>
      <c r="K1086" s="13">
        <v>1418.0457400233463</v>
      </c>
      <c r="L1086" s="13">
        <v>135.67842116716494</v>
      </c>
      <c r="M1086" s="13">
        <v>968.8227109019615</v>
      </c>
      <c r="N1086" s="13">
        <v>498.99062641071083</v>
      </c>
      <c r="O1086" s="13">
        <v>80.307312182553943</v>
      </c>
      <c r="P1086" s="13">
        <v>18.950957488136783</v>
      </c>
      <c r="Q1086" s="13">
        <v>77.64732851512241</v>
      </c>
      <c r="R1086" s="13">
        <v>7.1113157415322439</v>
      </c>
      <c r="S1086" s="13">
        <v>47.042590519755564</v>
      </c>
      <c r="T1086" s="13">
        <v>212.3127090997769</v>
      </c>
      <c r="U1086" s="13">
        <v>7.6066616113460563</v>
      </c>
      <c r="V1086" s="13">
        <v>16.891599512106936</v>
      </c>
      <c r="W1086" s="13">
        <v>1.620136482640721</v>
      </c>
      <c r="X1086" s="13">
        <v>8.6869076207590012</v>
      </c>
      <c r="Y1086" s="13">
        <v>1.1559381087610423</v>
      </c>
      <c r="Z1086" s="13">
        <v>1211.7728858603139</v>
      </c>
      <c r="AA1086" s="13"/>
      <c r="AB1086" s="13"/>
      <c r="AC1086" s="14">
        <v>542.61697420644555</v>
      </c>
      <c r="AD1086" s="14">
        <v>336.6067049402626</v>
      </c>
      <c r="AE1086" s="14">
        <v>390.18758047800202</v>
      </c>
      <c r="AF1086" s="14">
        <v>196.98935572111478</v>
      </c>
      <c r="AG1086" s="15">
        <v>0.7217089651843116</v>
      </c>
      <c r="AH1086" s="15">
        <v>0.73154214931977446</v>
      </c>
      <c r="AI1086" s="15">
        <v>0.8695867745716841</v>
      </c>
      <c r="AJ1086" s="41">
        <f t="shared" si="32"/>
        <v>2917.7463265043439</v>
      </c>
      <c r="AK1086" s="44">
        <f t="shared" si="33"/>
        <v>4.5631875501464245</v>
      </c>
      <c r="AL1086" s="10"/>
      <c r="AM1086" s="10"/>
    </row>
    <row r="1087" spans="1:39" s="16" customFormat="1" ht="19" customHeight="1">
      <c r="A1087" s="9" t="s">
        <v>1121</v>
      </c>
      <c r="B1087" s="10" t="s">
        <v>1114</v>
      </c>
      <c r="C1087" s="10"/>
      <c r="D1087" s="10"/>
      <c r="E1087" s="11" t="s">
        <v>1341</v>
      </c>
      <c r="F1087" s="11" t="s">
        <v>249</v>
      </c>
      <c r="G1087" s="12" t="s">
        <v>1006</v>
      </c>
      <c r="H1087" s="13">
        <v>7.6379841596472122</v>
      </c>
      <c r="I1087" s="13">
        <v>2.9511371644435314</v>
      </c>
      <c r="J1087" s="13">
        <v>896.24742718028313</v>
      </c>
      <c r="K1087" s="13">
        <v>1389.8131569191919</v>
      </c>
      <c r="L1087" s="13">
        <v>144.38935067117941</v>
      </c>
      <c r="M1087" s="13">
        <v>991.10417285711253</v>
      </c>
      <c r="N1087" s="13">
        <v>498.72633549808114</v>
      </c>
      <c r="O1087" s="13">
        <v>71.564721573544148</v>
      </c>
      <c r="P1087" s="13">
        <v>18.870892462907882</v>
      </c>
      <c r="Q1087" s="13">
        <v>63.348937219653799</v>
      </c>
      <c r="R1087" s="13">
        <v>6.0400862779888191</v>
      </c>
      <c r="S1087" s="13">
        <v>35.078853748454129</v>
      </c>
      <c r="T1087" s="13">
        <v>150.85945558031597</v>
      </c>
      <c r="U1087" s="13">
        <v>5.2347051950078338</v>
      </c>
      <c r="V1087" s="13">
        <v>12.717503813030179</v>
      </c>
      <c r="W1087" s="13">
        <v>1.7287643669559967</v>
      </c>
      <c r="X1087" s="13">
        <v>9.3578025581176103</v>
      </c>
      <c r="Y1087" s="13">
        <v>1.0159894104453135</v>
      </c>
      <c r="Z1087" s="13">
        <v>447.13894834802937</v>
      </c>
      <c r="AA1087" s="13"/>
      <c r="AB1087" s="13"/>
      <c r="AC1087" s="14">
        <v>483.54541603746048</v>
      </c>
      <c r="AD1087" s="14">
        <v>335.18459081541533</v>
      </c>
      <c r="AE1087" s="14">
        <v>318.33636793795876</v>
      </c>
      <c r="AF1087" s="14">
        <v>167.31540936257116</v>
      </c>
      <c r="AG1087" s="15">
        <v>0.83599502448777419</v>
      </c>
      <c r="AH1087" s="15">
        <v>0.85432335929293512</v>
      </c>
      <c r="AI1087" s="15">
        <v>0.98737141813710017</v>
      </c>
      <c r="AJ1087" s="41">
        <f t="shared" si="32"/>
        <v>2929.1762702687352</v>
      </c>
      <c r="AK1087" s="44">
        <f t="shared" si="33"/>
        <v>6.5697186102428908</v>
      </c>
      <c r="AL1087" s="10"/>
      <c r="AM1087" s="10"/>
    </row>
    <row r="1088" spans="1:39" s="16" customFormat="1" ht="19" customHeight="1">
      <c r="A1088" s="9" t="s">
        <v>1122</v>
      </c>
      <c r="B1088" s="10" t="s">
        <v>1114</v>
      </c>
      <c r="C1088" s="10"/>
      <c r="D1088" s="10"/>
      <c r="E1088" s="11" t="s">
        <v>1341</v>
      </c>
      <c r="F1088" s="11" t="s">
        <v>249</v>
      </c>
      <c r="G1088" s="12" t="s">
        <v>1006</v>
      </c>
      <c r="H1088" s="13">
        <v>6.9801179681220002</v>
      </c>
      <c r="I1088" s="13">
        <v>3.7094707094167001</v>
      </c>
      <c r="J1088" s="13">
        <v>144.34440444569361</v>
      </c>
      <c r="K1088" s="13">
        <v>480.99075554151506</v>
      </c>
      <c r="L1088" s="13">
        <v>77.660606172165984</v>
      </c>
      <c r="M1088" s="13">
        <v>165.84148703027603</v>
      </c>
      <c r="N1088" s="13">
        <v>388.4792139918232</v>
      </c>
      <c r="O1088" s="13">
        <v>101.48607413107464</v>
      </c>
      <c r="P1088" s="13">
        <v>14.248090148386153</v>
      </c>
      <c r="Q1088" s="13">
        <v>121.9303488767309</v>
      </c>
      <c r="R1088" s="13"/>
      <c r="S1088" s="13">
        <v>103.92359631280975</v>
      </c>
      <c r="T1088" s="13">
        <v>549.58812101886724</v>
      </c>
      <c r="U1088" s="13"/>
      <c r="V1088" s="13"/>
      <c r="W1088" s="13"/>
      <c r="X1088" s="13">
        <v>34.414515740774021</v>
      </c>
      <c r="Y1088" s="13">
        <v>4.6994281568817673</v>
      </c>
      <c r="Z1088" s="13">
        <v>376.75033760151581</v>
      </c>
      <c r="AA1088" s="13"/>
      <c r="AB1088" s="13"/>
      <c r="AC1088" s="14">
        <v>685.71671710185569</v>
      </c>
      <c r="AD1088" s="14">
        <v>253.07442537097964</v>
      </c>
      <c r="AE1088" s="14">
        <v>612.71532098859745</v>
      </c>
      <c r="AF1088" s="14"/>
      <c r="AG1088" s="15">
        <v>0.38981543576691935</v>
      </c>
      <c r="AH1088" s="15">
        <v>0.39043300267878345</v>
      </c>
      <c r="AI1088" s="15"/>
      <c r="AJ1088" s="41">
        <f t="shared" si="32"/>
        <v>1091.474980151198</v>
      </c>
      <c r="AK1088" s="44">
        <f t="shared" si="33"/>
        <v>0.30175595266292649</v>
      </c>
      <c r="AL1088" s="10"/>
      <c r="AM1088" s="10"/>
    </row>
    <row r="1089" spans="1:39" s="16" customFormat="1" ht="19" customHeight="1">
      <c r="A1089" s="9" t="s">
        <v>1123</v>
      </c>
      <c r="B1089" s="10" t="s">
        <v>1114</v>
      </c>
      <c r="C1089" s="10"/>
      <c r="D1089" s="10"/>
      <c r="E1089" s="11" t="s">
        <v>1341</v>
      </c>
      <c r="F1089" s="11" t="s">
        <v>249</v>
      </c>
      <c r="G1089" s="12" t="s">
        <v>1006</v>
      </c>
      <c r="H1089" s="13">
        <v>8.6340609611570631</v>
      </c>
      <c r="I1089" s="13">
        <v>4.2381034696563278</v>
      </c>
      <c r="J1089" s="13">
        <v>125.46414656855593</v>
      </c>
      <c r="K1089" s="13">
        <v>442.13336321562269</v>
      </c>
      <c r="L1089" s="13">
        <v>65.109065284717204</v>
      </c>
      <c r="M1089" s="13">
        <v>187.94903660834117</v>
      </c>
      <c r="N1089" s="13">
        <v>319.53797010239731</v>
      </c>
      <c r="O1089" s="13">
        <v>87.440976100135217</v>
      </c>
      <c r="P1089" s="13">
        <v>14.508652577156946</v>
      </c>
      <c r="Q1089" s="13">
        <v>101.3103722762595</v>
      </c>
      <c r="R1089" s="13"/>
      <c r="S1089" s="13">
        <v>81.257986770194307</v>
      </c>
      <c r="T1089" s="13">
        <v>443.78212344398349</v>
      </c>
      <c r="U1089" s="13"/>
      <c r="V1089" s="13"/>
      <c r="W1089" s="13"/>
      <c r="X1089" s="13">
        <v>23.881356625200606</v>
      </c>
      <c r="Y1089" s="13">
        <v>3.538871679593484</v>
      </c>
      <c r="Z1089" s="13">
        <v>321.60522046378634</v>
      </c>
      <c r="AA1089" s="13"/>
      <c r="AB1089" s="13"/>
      <c r="AC1089" s="14">
        <v>590.8174060819947</v>
      </c>
      <c r="AD1089" s="14">
        <v>257.70253245394224</v>
      </c>
      <c r="AE1089" s="14">
        <v>509.09734812190703</v>
      </c>
      <c r="AF1089" s="14"/>
      <c r="AG1089" s="15">
        <v>0.46858637266023878</v>
      </c>
      <c r="AH1089" s="15">
        <v>0.4698850506503589</v>
      </c>
      <c r="AI1089" s="15"/>
      <c r="AJ1089" s="41">
        <f t="shared" si="32"/>
        <v>952.24454517129311</v>
      </c>
      <c r="AK1089" s="44">
        <f t="shared" si="33"/>
        <v>0.42351646603012633</v>
      </c>
      <c r="AL1089" s="10"/>
      <c r="AM1089" s="10"/>
    </row>
    <row r="1090" spans="1:39" s="16" customFormat="1" ht="19" customHeight="1">
      <c r="A1090" s="9" t="s">
        <v>1124</v>
      </c>
      <c r="B1090" s="10" t="s">
        <v>1114</v>
      </c>
      <c r="C1090" s="10"/>
      <c r="D1090" s="10"/>
      <c r="E1090" s="11" t="s">
        <v>1341</v>
      </c>
      <c r="F1090" s="11" t="s">
        <v>249</v>
      </c>
      <c r="G1090" s="12" t="s">
        <v>1006</v>
      </c>
      <c r="H1090" s="13">
        <v>8.2706508098855043</v>
      </c>
      <c r="I1090" s="13">
        <v>4.1321702970046168</v>
      </c>
      <c r="J1090" s="13">
        <v>153.38273793529717</v>
      </c>
      <c r="K1090" s="13">
        <v>514.16992718833126</v>
      </c>
      <c r="L1090" s="13">
        <v>79.622862354302299</v>
      </c>
      <c r="M1090" s="13">
        <v>185.56318094431214</v>
      </c>
      <c r="N1090" s="13">
        <v>406.28743218454377</v>
      </c>
      <c r="O1090" s="13">
        <v>107.22424287804849</v>
      </c>
      <c r="P1090" s="13">
        <v>15.322681920515478</v>
      </c>
      <c r="Q1090" s="13">
        <v>128.57262352988761</v>
      </c>
      <c r="R1090" s="13"/>
      <c r="S1090" s="13">
        <v>108.00291372021125</v>
      </c>
      <c r="T1090" s="13">
        <v>587.04618737828525</v>
      </c>
      <c r="U1090" s="13"/>
      <c r="V1090" s="13"/>
      <c r="W1090" s="13"/>
      <c r="X1090" s="13">
        <v>38.104789541505632</v>
      </c>
      <c r="Y1090" s="13">
        <v>5.318128560169324</v>
      </c>
      <c r="Z1090" s="13">
        <v>349.97229037037795</v>
      </c>
      <c r="AA1090" s="13"/>
      <c r="AB1090" s="13"/>
      <c r="AC1090" s="14">
        <v>724.48812755438166</v>
      </c>
      <c r="AD1090" s="14">
        <v>272.16131297540818</v>
      </c>
      <c r="AE1090" s="14">
        <v>646.09358557732457</v>
      </c>
      <c r="AF1090" s="14"/>
      <c r="AG1090" s="15">
        <v>0.39714715345724855</v>
      </c>
      <c r="AH1090" s="15">
        <v>0.39779840757178048</v>
      </c>
      <c r="AI1090" s="15"/>
      <c r="AJ1090" s="41">
        <f t="shared" si="32"/>
        <v>1153.4629596624745</v>
      </c>
      <c r="AK1090" s="44">
        <f t="shared" si="33"/>
        <v>0.31609639059752132</v>
      </c>
      <c r="AL1090" s="10"/>
      <c r="AM1090" s="10"/>
    </row>
    <row r="1091" spans="1:39" s="16" customFormat="1" ht="19" customHeight="1">
      <c r="A1091" s="9" t="s">
        <v>1125</v>
      </c>
      <c r="B1091" s="10" t="s">
        <v>1114</v>
      </c>
      <c r="C1091" s="10"/>
      <c r="D1091" s="10"/>
      <c r="E1091" s="11" t="s">
        <v>1341</v>
      </c>
      <c r="F1091" s="11" t="s">
        <v>249</v>
      </c>
      <c r="G1091" s="12" t="s">
        <v>1006</v>
      </c>
      <c r="H1091" s="13">
        <v>1.5739121171220971</v>
      </c>
      <c r="I1091" s="13">
        <v>0.89241739263077469</v>
      </c>
      <c r="J1091" s="13">
        <v>185.13693922801048</v>
      </c>
      <c r="K1091" s="13">
        <v>677.26845245193897</v>
      </c>
      <c r="L1091" s="13">
        <v>120.44908932905211</v>
      </c>
      <c r="M1091" s="13">
        <v>172.80776896337585</v>
      </c>
      <c r="N1091" s="13">
        <v>662.86260938165606</v>
      </c>
      <c r="O1091" s="13">
        <v>191.58548333020315</v>
      </c>
      <c r="P1091" s="13">
        <v>34.119767371015804</v>
      </c>
      <c r="Q1091" s="13">
        <v>255.05672230527986</v>
      </c>
      <c r="R1091" s="13"/>
      <c r="S1091" s="13">
        <v>204.39660181590691</v>
      </c>
      <c r="T1091" s="13">
        <v>1092.8589756197139</v>
      </c>
      <c r="U1091" s="13"/>
      <c r="V1091" s="13"/>
      <c r="W1091" s="13"/>
      <c r="X1091" s="13">
        <v>64.076601524206325</v>
      </c>
      <c r="Y1091" s="13">
        <v>8.2087266817146602</v>
      </c>
      <c r="Z1091" s="13">
        <v>413.53101382356874</v>
      </c>
      <c r="AA1091" s="13"/>
      <c r="AB1091" s="13"/>
      <c r="AC1091" s="14">
        <v>1294.4965089878592</v>
      </c>
      <c r="AD1091" s="14">
        <v>606.0349444230161</v>
      </c>
      <c r="AE1091" s="14">
        <v>1281.6920718858285</v>
      </c>
      <c r="AF1091" s="14"/>
      <c r="AG1091" s="15">
        <v>0.47048958210775516</v>
      </c>
      <c r="AH1091" s="15">
        <v>0.47049539368136506</v>
      </c>
      <c r="AI1091" s="15"/>
      <c r="AJ1091" s="41">
        <f t="shared" si="32"/>
        <v>1645.7170903906576</v>
      </c>
      <c r="AK1091" s="44">
        <f t="shared" si="33"/>
        <v>0.15812449073347631</v>
      </c>
      <c r="AL1091" s="10"/>
      <c r="AM1091" s="10"/>
    </row>
    <row r="1092" spans="1:39" s="16" customFormat="1" ht="19" customHeight="1">
      <c r="A1092" s="9" t="s">
        <v>1126</v>
      </c>
      <c r="B1092" s="10" t="s">
        <v>1114</v>
      </c>
      <c r="C1092" s="10"/>
      <c r="D1092" s="10"/>
      <c r="E1092" s="11" t="s">
        <v>1341</v>
      </c>
      <c r="F1092" s="11" t="s">
        <v>249</v>
      </c>
      <c r="G1092" s="12" t="s">
        <v>1006</v>
      </c>
      <c r="H1092" s="13">
        <v>1.633397838797465</v>
      </c>
      <c r="I1092" s="13">
        <v>0.93354515939032356</v>
      </c>
      <c r="J1092" s="13">
        <v>180.77070161738803</v>
      </c>
      <c r="K1092" s="13">
        <v>642.35639081653778</v>
      </c>
      <c r="L1092" s="13">
        <v>112.83404751936239</v>
      </c>
      <c r="M1092" s="13">
        <v>193.00929665236131</v>
      </c>
      <c r="N1092" s="13">
        <v>639.18054045732845</v>
      </c>
      <c r="O1092" s="13">
        <v>193.74711478055758</v>
      </c>
      <c r="P1092" s="13">
        <v>35.081321893073167</v>
      </c>
      <c r="Q1092" s="13">
        <v>246.74129153906307</v>
      </c>
      <c r="R1092" s="13"/>
      <c r="S1092" s="13">
        <v>198.02278569357478</v>
      </c>
      <c r="T1092" s="13">
        <v>1072.5139526373084</v>
      </c>
      <c r="U1092" s="13"/>
      <c r="V1092" s="13"/>
      <c r="W1092" s="13"/>
      <c r="X1092" s="13">
        <v>60.146629324084337</v>
      </c>
      <c r="Y1092" s="13">
        <v>7.8895491622735658</v>
      </c>
      <c r="Z1092" s="13">
        <v>364.38185920052496</v>
      </c>
      <c r="AA1092" s="13"/>
      <c r="AB1092" s="13"/>
      <c r="AC1092" s="14">
        <v>1309.1021268956595</v>
      </c>
      <c r="AD1092" s="14">
        <v>623.11406559632633</v>
      </c>
      <c r="AE1092" s="14">
        <v>1239.9059876334827</v>
      </c>
      <c r="AF1092" s="14"/>
      <c r="AG1092" s="15">
        <v>0.48890708667785399</v>
      </c>
      <c r="AH1092" s="15">
        <v>0.48908732940119942</v>
      </c>
      <c r="AI1092" s="15"/>
      <c r="AJ1092" s="41">
        <f t="shared" si="32"/>
        <v>1575.1416804106166</v>
      </c>
      <c r="AK1092" s="44">
        <f t="shared" si="33"/>
        <v>0.17995970698353347</v>
      </c>
      <c r="AL1092" s="10"/>
      <c r="AM1092" s="10"/>
    </row>
    <row r="1093" spans="1:39" s="16" customFormat="1" ht="19" customHeight="1">
      <c r="A1093" s="9" t="s">
        <v>1127</v>
      </c>
      <c r="B1093" s="10" t="s">
        <v>1114</v>
      </c>
      <c r="C1093" s="10"/>
      <c r="D1093" s="10"/>
      <c r="E1093" s="11" t="s">
        <v>1341</v>
      </c>
      <c r="F1093" s="11" t="s">
        <v>249</v>
      </c>
      <c r="G1093" s="12" t="s">
        <v>1006</v>
      </c>
      <c r="H1093" s="13">
        <v>1.176167272230199</v>
      </c>
      <c r="I1093" s="13">
        <v>0.77759979475209884</v>
      </c>
      <c r="J1093" s="13">
        <v>186.89165215343539</v>
      </c>
      <c r="K1093" s="13">
        <v>686.33062002228223</v>
      </c>
      <c r="L1093" s="13">
        <v>122.49310261544778</v>
      </c>
      <c r="M1093" s="13">
        <v>182.70836598444902</v>
      </c>
      <c r="N1093" s="13">
        <v>696.5708783878913</v>
      </c>
      <c r="O1093" s="13">
        <v>209.57540646623895</v>
      </c>
      <c r="P1093" s="13">
        <v>33.76534322564504</v>
      </c>
      <c r="Q1093" s="13">
        <v>267.25098782822545</v>
      </c>
      <c r="R1093" s="13"/>
      <c r="S1093" s="13">
        <v>225.02374868270655</v>
      </c>
      <c r="T1093" s="13">
        <v>1175.5041365573734</v>
      </c>
      <c r="U1093" s="13"/>
      <c r="V1093" s="13"/>
      <c r="W1093" s="13"/>
      <c r="X1093" s="13">
        <v>68.263989582855601</v>
      </c>
      <c r="Y1093" s="13">
        <v>8.2748301508695974</v>
      </c>
      <c r="Z1093" s="13">
        <v>322.79744279553688</v>
      </c>
      <c r="AA1093" s="13"/>
      <c r="AB1093" s="13"/>
      <c r="AC1093" s="14">
        <v>1416.0500436908037</v>
      </c>
      <c r="AD1093" s="14">
        <v>599.73966653010734</v>
      </c>
      <c r="AE1093" s="14">
        <v>1342.9697880815349</v>
      </c>
      <c r="AF1093" s="14"/>
      <c r="AG1093" s="15">
        <v>0.4347483549220062</v>
      </c>
      <c r="AH1093" s="15">
        <v>0.43490094525557449</v>
      </c>
      <c r="AI1093" s="15"/>
      <c r="AJ1093" s="41">
        <f t="shared" si="32"/>
        <v>1692.2862531790568</v>
      </c>
      <c r="AK1093" s="44">
        <f t="shared" si="33"/>
        <v>0.15542979416434533</v>
      </c>
      <c r="AL1093" s="10"/>
      <c r="AM1093" s="10"/>
    </row>
    <row r="1094" spans="1:39" s="16" customFormat="1" ht="19" customHeight="1">
      <c r="A1094" s="9" t="s">
        <v>1128</v>
      </c>
      <c r="B1094" s="10" t="s">
        <v>1114</v>
      </c>
      <c r="C1094" s="10"/>
      <c r="D1094" s="10"/>
      <c r="E1094" s="11" t="s">
        <v>1341</v>
      </c>
      <c r="F1094" s="11" t="s">
        <v>249</v>
      </c>
      <c r="G1094" s="12" t="s">
        <v>1006</v>
      </c>
      <c r="H1094" s="13">
        <v>0.93058637307521685</v>
      </c>
      <c r="I1094" s="13">
        <v>0.6991040799616709</v>
      </c>
      <c r="J1094" s="13">
        <v>176.27032619920061</v>
      </c>
      <c r="K1094" s="13">
        <v>654.44996231830157</v>
      </c>
      <c r="L1094" s="13">
        <v>114.72040323500637</v>
      </c>
      <c r="M1094" s="13">
        <v>180.80156920320897</v>
      </c>
      <c r="N1094" s="13">
        <v>644.55626542972948</v>
      </c>
      <c r="O1094" s="13">
        <v>193.95439023561087</v>
      </c>
      <c r="P1094" s="13">
        <v>29.618296109028524</v>
      </c>
      <c r="Q1094" s="13">
        <v>256.42505096570966</v>
      </c>
      <c r="R1094" s="13"/>
      <c r="S1094" s="13">
        <v>212.17211309120091</v>
      </c>
      <c r="T1094" s="13">
        <v>1144.9519502834455</v>
      </c>
      <c r="U1094" s="13"/>
      <c r="V1094" s="13"/>
      <c r="W1094" s="13"/>
      <c r="X1094" s="13">
        <v>64.578517232289855</v>
      </c>
      <c r="Y1094" s="13">
        <v>8.3899231713913434</v>
      </c>
      <c r="Z1094" s="13">
        <v>299.40564318858361</v>
      </c>
      <c r="AA1094" s="13"/>
      <c r="AB1094" s="13"/>
      <c r="AC1094" s="14">
        <v>1310.5026367271005</v>
      </c>
      <c r="AD1094" s="14">
        <v>526.07985984064874</v>
      </c>
      <c r="AE1094" s="14">
        <v>1288.5680953050735</v>
      </c>
      <c r="AF1094" s="14"/>
      <c r="AG1094" s="15">
        <v>0.40482150282175267</v>
      </c>
      <c r="AH1094" s="15">
        <v>0.40483591991467732</v>
      </c>
      <c r="AI1094" s="15"/>
      <c r="AJ1094" s="41">
        <f t="shared" ref="AJ1094:AJ1157" si="34">J1094+K1094+L1094+N1094</f>
        <v>1589.996957182238</v>
      </c>
      <c r="AK1094" s="44">
        <f t="shared" ref="AK1094:AK1157" si="35">M1094/T1094</f>
        <v>0.15791192735944032</v>
      </c>
      <c r="AL1094" s="10"/>
      <c r="AM1094" s="10"/>
    </row>
    <row r="1095" spans="1:39" s="16" customFormat="1" ht="19" customHeight="1">
      <c r="A1095" s="9" t="s">
        <v>1129</v>
      </c>
      <c r="B1095" s="10" t="s">
        <v>1114</v>
      </c>
      <c r="C1095" s="10"/>
      <c r="D1095" s="10"/>
      <c r="E1095" s="11" t="s">
        <v>1341</v>
      </c>
      <c r="F1095" s="11" t="s">
        <v>249</v>
      </c>
      <c r="G1095" s="12" t="s">
        <v>1006</v>
      </c>
      <c r="H1095" s="13">
        <v>1.1123392713646949</v>
      </c>
      <c r="I1095" s="13">
        <v>0.90330432923643911</v>
      </c>
      <c r="J1095" s="13">
        <v>157.11564394567898</v>
      </c>
      <c r="K1095" s="13">
        <v>610.03707556550194</v>
      </c>
      <c r="L1095" s="13">
        <v>108.46944565938551</v>
      </c>
      <c r="M1095" s="13">
        <v>193.22350877174034</v>
      </c>
      <c r="N1095" s="13">
        <v>634.60663467477855</v>
      </c>
      <c r="O1095" s="13">
        <v>193.73806201232475</v>
      </c>
      <c r="P1095" s="13">
        <v>32.372255043669263</v>
      </c>
      <c r="Q1095" s="13">
        <v>255.97685506276378</v>
      </c>
      <c r="R1095" s="13"/>
      <c r="S1095" s="13">
        <v>217.01657726408561</v>
      </c>
      <c r="T1095" s="13">
        <v>1157.2275474714606</v>
      </c>
      <c r="U1095" s="13"/>
      <c r="V1095" s="13"/>
      <c r="W1095" s="13"/>
      <c r="X1095" s="13">
        <v>62.763237066742413</v>
      </c>
      <c r="Y1095" s="13">
        <v>8.7155900420184089</v>
      </c>
      <c r="Z1095" s="13">
        <v>347.15343859577717</v>
      </c>
      <c r="AA1095" s="13"/>
      <c r="AB1095" s="13"/>
      <c r="AC1095" s="14">
        <v>1309.0409595427348</v>
      </c>
      <c r="AD1095" s="14">
        <v>574.99564908826403</v>
      </c>
      <c r="AE1095" s="14">
        <v>1286.3158545867525</v>
      </c>
      <c r="AF1095" s="14"/>
      <c r="AG1095" s="15">
        <v>0.4430956436956236</v>
      </c>
      <c r="AH1095" s="15">
        <v>0.44311263043821486</v>
      </c>
      <c r="AI1095" s="15"/>
      <c r="AJ1095" s="41">
        <f t="shared" si="34"/>
        <v>1510.2287998453451</v>
      </c>
      <c r="AK1095" s="44">
        <f t="shared" si="35"/>
        <v>0.16697105871177473</v>
      </c>
      <c r="AL1095" s="10"/>
      <c r="AM1095" s="10"/>
    </row>
    <row r="1096" spans="1:39" s="16" customFormat="1" ht="19" customHeight="1">
      <c r="A1096" s="9" t="s">
        <v>1130</v>
      </c>
      <c r="B1096" s="10" t="s">
        <v>1114</v>
      </c>
      <c r="C1096" s="10"/>
      <c r="D1096" s="10"/>
      <c r="E1096" s="11" t="s">
        <v>1341</v>
      </c>
      <c r="F1096" s="11" t="s">
        <v>249</v>
      </c>
      <c r="G1096" s="12" t="s">
        <v>1006</v>
      </c>
      <c r="H1096" s="13">
        <v>1.6989534309021064</v>
      </c>
      <c r="I1096" s="13">
        <v>1.0685238985426064</v>
      </c>
      <c r="J1096" s="13">
        <v>185.54617372988216</v>
      </c>
      <c r="K1096" s="13">
        <v>672.84236698689062</v>
      </c>
      <c r="L1096" s="13">
        <v>121.9905970276787</v>
      </c>
      <c r="M1096" s="13">
        <v>198.65511449314747</v>
      </c>
      <c r="N1096" s="13">
        <v>658.25053204020799</v>
      </c>
      <c r="O1096" s="13">
        <v>199.19946532662593</v>
      </c>
      <c r="P1096" s="13">
        <v>36.441575925293208</v>
      </c>
      <c r="Q1096" s="13">
        <v>249.61958161119995</v>
      </c>
      <c r="R1096" s="13"/>
      <c r="S1096" s="13">
        <v>203.33229275411432</v>
      </c>
      <c r="T1096" s="13">
        <v>1077.6929840006951</v>
      </c>
      <c r="U1096" s="13"/>
      <c r="V1096" s="13"/>
      <c r="W1096" s="13"/>
      <c r="X1096" s="13">
        <v>61.081517709220179</v>
      </c>
      <c r="Y1096" s="13">
        <v>7.7787700819764192</v>
      </c>
      <c r="Z1096" s="13">
        <v>395.75536423262406</v>
      </c>
      <c r="AA1096" s="13"/>
      <c r="AB1096" s="13"/>
      <c r="AC1096" s="14">
        <v>1345.9423332880131</v>
      </c>
      <c r="AD1096" s="14">
        <v>647.27488322012812</v>
      </c>
      <c r="AE1096" s="14">
        <v>1254.3697568402006</v>
      </c>
      <c r="AF1096" s="14"/>
      <c r="AG1096" s="15">
        <v>0.49784399778582955</v>
      </c>
      <c r="AH1096" s="15">
        <v>0.49815298988451795</v>
      </c>
      <c r="AI1096" s="15"/>
      <c r="AJ1096" s="41">
        <f t="shared" si="34"/>
        <v>1638.6296697846597</v>
      </c>
      <c r="AK1096" s="44">
        <f t="shared" si="35"/>
        <v>0.18433368078140827</v>
      </c>
      <c r="AL1096" s="10"/>
      <c r="AM1096" s="10"/>
    </row>
    <row r="1097" spans="1:39" s="16" customFormat="1" ht="19" customHeight="1">
      <c r="A1097" s="9" t="s">
        <v>1131</v>
      </c>
      <c r="B1097" s="10" t="s">
        <v>1114</v>
      </c>
      <c r="C1097" s="10"/>
      <c r="D1097" s="10"/>
      <c r="E1097" s="11" t="s">
        <v>1341</v>
      </c>
      <c r="F1097" s="11" t="s">
        <v>249</v>
      </c>
      <c r="G1097" s="12" t="s">
        <v>1006</v>
      </c>
      <c r="H1097" s="13">
        <v>1.4519575856886371</v>
      </c>
      <c r="I1097" s="13">
        <v>1.0226979344223766</v>
      </c>
      <c r="J1097" s="13">
        <v>181.85336375414141</v>
      </c>
      <c r="K1097" s="13">
        <v>670.03961449554401</v>
      </c>
      <c r="L1097" s="13">
        <v>120.53888873542667</v>
      </c>
      <c r="M1097" s="13">
        <v>183.41703577039581</v>
      </c>
      <c r="N1097" s="13">
        <v>660.6620583468947</v>
      </c>
      <c r="O1097" s="13">
        <v>202.94677000944398</v>
      </c>
      <c r="P1097" s="13">
        <v>30.760271546851602</v>
      </c>
      <c r="Q1097" s="13">
        <v>256.29242335100884</v>
      </c>
      <c r="R1097" s="13"/>
      <c r="S1097" s="13">
        <v>211.67482228261952</v>
      </c>
      <c r="T1097" s="13">
        <v>1136.4428130753988</v>
      </c>
      <c r="U1097" s="13"/>
      <c r="V1097" s="13"/>
      <c r="W1097" s="13"/>
      <c r="X1097" s="13">
        <v>62.883285017292117</v>
      </c>
      <c r="Y1097" s="13">
        <v>8.0140963109099719</v>
      </c>
      <c r="Z1097" s="13">
        <v>361.7410789647634</v>
      </c>
      <c r="AA1097" s="13"/>
      <c r="AB1097" s="13"/>
      <c r="AC1097" s="14">
        <v>1371.2619595232702</v>
      </c>
      <c r="AD1097" s="14">
        <v>546.36361539700897</v>
      </c>
      <c r="AE1097" s="14">
        <v>1287.9016248794412</v>
      </c>
      <c r="AF1097" s="14"/>
      <c r="AG1097" s="15">
        <v>0.41092892411861948</v>
      </c>
      <c r="AH1097" s="15">
        <v>0.41113098662732023</v>
      </c>
      <c r="AI1097" s="15"/>
      <c r="AJ1097" s="41">
        <f t="shared" si="34"/>
        <v>1633.0939253320068</v>
      </c>
      <c r="AK1097" s="44">
        <f t="shared" si="35"/>
        <v>0.1613957461476126</v>
      </c>
      <c r="AL1097" s="10"/>
      <c r="AM1097" s="10"/>
    </row>
    <row r="1098" spans="1:39" s="16" customFormat="1" ht="19" customHeight="1">
      <c r="A1098" s="9" t="s">
        <v>1132</v>
      </c>
      <c r="B1098" s="10" t="s">
        <v>1114</v>
      </c>
      <c r="C1098" s="10"/>
      <c r="D1098" s="10"/>
      <c r="E1098" s="11" t="s">
        <v>1341</v>
      </c>
      <c r="F1098" s="11" t="s">
        <v>249</v>
      </c>
      <c r="G1098" s="12" t="s">
        <v>1006</v>
      </c>
      <c r="H1098" s="13">
        <v>1.6408082504295314</v>
      </c>
      <c r="I1098" s="13">
        <v>0.93853693488886814</v>
      </c>
      <c r="J1098" s="13">
        <v>187.8043765929317</v>
      </c>
      <c r="K1098" s="13">
        <v>673.01924414601672</v>
      </c>
      <c r="L1098" s="13">
        <v>119.21012169284612</v>
      </c>
      <c r="M1098" s="13">
        <v>204.23364294081892</v>
      </c>
      <c r="N1098" s="13">
        <v>653.8999605801265</v>
      </c>
      <c r="O1098" s="13">
        <v>199.44274137903071</v>
      </c>
      <c r="P1098" s="13">
        <v>36.255042339063486</v>
      </c>
      <c r="Q1098" s="13">
        <v>258.26792626770288</v>
      </c>
      <c r="R1098" s="13"/>
      <c r="S1098" s="13">
        <v>210.4014966878394</v>
      </c>
      <c r="T1098" s="13">
        <v>1106.5084413533468</v>
      </c>
      <c r="U1098" s="13"/>
      <c r="V1098" s="13"/>
      <c r="W1098" s="13"/>
      <c r="X1098" s="13">
        <v>61.906345779933964</v>
      </c>
      <c r="Y1098" s="13">
        <v>8.0816336034833594</v>
      </c>
      <c r="Z1098" s="13">
        <v>390.0838850112774</v>
      </c>
      <c r="AA1098" s="13"/>
      <c r="AB1098" s="13"/>
      <c r="AC1098" s="14">
        <v>1347.5860903988562</v>
      </c>
      <c r="AD1098" s="14">
        <v>643.96167564944028</v>
      </c>
      <c r="AE1098" s="14">
        <v>1297.8287752145873</v>
      </c>
      <c r="AF1098" s="14"/>
      <c r="AG1098" s="15">
        <v>0.48685118090172402</v>
      </c>
      <c r="AH1098" s="15">
        <v>0.48693732147946189</v>
      </c>
      <c r="AI1098" s="15"/>
      <c r="AJ1098" s="41">
        <f t="shared" si="34"/>
        <v>1633.9337030119209</v>
      </c>
      <c r="AK1098" s="44">
        <f t="shared" si="35"/>
        <v>0.18457486206885609</v>
      </c>
      <c r="AL1098" s="10"/>
      <c r="AM1098" s="10"/>
    </row>
    <row r="1099" spans="1:39" s="16" customFormat="1" ht="19" customHeight="1">
      <c r="A1099" s="9" t="s">
        <v>1133</v>
      </c>
      <c r="B1099" s="10" t="s">
        <v>1114</v>
      </c>
      <c r="C1099" s="10"/>
      <c r="D1099" s="10"/>
      <c r="E1099" s="11" t="s">
        <v>1341</v>
      </c>
      <c r="F1099" s="11" t="s">
        <v>249</v>
      </c>
      <c r="G1099" s="12" t="s">
        <v>1006</v>
      </c>
      <c r="H1099" s="13">
        <v>1.3461451505072513</v>
      </c>
      <c r="I1099" s="13">
        <v>0.82861191087962149</v>
      </c>
      <c r="J1099" s="13">
        <v>189.37707952027813</v>
      </c>
      <c r="K1099" s="13">
        <v>686.03606507569896</v>
      </c>
      <c r="L1099" s="13">
        <v>123.29535253693049</v>
      </c>
      <c r="M1099" s="13">
        <v>191.12576273653676</v>
      </c>
      <c r="N1099" s="13">
        <v>668.00532305970808</v>
      </c>
      <c r="O1099" s="13">
        <v>203.06974222733061</v>
      </c>
      <c r="P1099" s="13">
        <v>33.321894812087557</v>
      </c>
      <c r="Q1099" s="13">
        <v>256.43250376218504</v>
      </c>
      <c r="R1099" s="13"/>
      <c r="S1099" s="13">
        <v>217.95658258198577</v>
      </c>
      <c r="T1099" s="13">
        <v>1136.4085280348415</v>
      </c>
      <c r="U1099" s="13"/>
      <c r="V1099" s="13"/>
      <c r="W1099" s="13"/>
      <c r="X1099" s="13">
        <v>62.778337975899085</v>
      </c>
      <c r="Y1099" s="13">
        <v>8.5621212537148548</v>
      </c>
      <c r="Z1099" s="13">
        <v>366.6538312167329</v>
      </c>
      <c r="AA1099" s="13"/>
      <c r="AB1099" s="13"/>
      <c r="AC1099" s="14">
        <v>1372.092852887369</v>
      </c>
      <c r="AD1099" s="14">
        <v>591.86314053441492</v>
      </c>
      <c r="AE1099" s="14">
        <v>1288.6055465436434</v>
      </c>
      <c r="AF1099" s="14"/>
      <c r="AG1099" s="15">
        <v>0.44489307067722089</v>
      </c>
      <c r="AH1099" s="15">
        <v>0.44511224823799272</v>
      </c>
      <c r="AI1099" s="15"/>
      <c r="AJ1099" s="41">
        <f t="shared" si="34"/>
        <v>1666.7138201926157</v>
      </c>
      <c r="AK1099" s="44">
        <f t="shared" si="35"/>
        <v>0.16818402715354927</v>
      </c>
      <c r="AL1099" s="10"/>
      <c r="AM1099" s="10"/>
    </row>
    <row r="1100" spans="1:39" s="16" customFormat="1" ht="19" customHeight="1">
      <c r="A1100" s="9" t="s">
        <v>1134</v>
      </c>
      <c r="B1100" s="10" t="s">
        <v>1114</v>
      </c>
      <c r="C1100" s="10"/>
      <c r="D1100" s="10"/>
      <c r="E1100" s="11" t="s">
        <v>1341</v>
      </c>
      <c r="F1100" s="11" t="s">
        <v>249</v>
      </c>
      <c r="G1100" s="12" t="s">
        <v>1006</v>
      </c>
      <c r="H1100" s="13">
        <v>0.74772727944894457</v>
      </c>
      <c r="I1100" s="13">
        <v>0.86432821973526586</v>
      </c>
      <c r="J1100" s="13">
        <v>176.19277030345839</v>
      </c>
      <c r="K1100" s="13">
        <v>661.88822600340302</v>
      </c>
      <c r="L1100" s="13">
        <v>115.52786268670943</v>
      </c>
      <c r="M1100" s="13">
        <v>178.62766317756234</v>
      </c>
      <c r="N1100" s="13">
        <v>655.16057612608324</v>
      </c>
      <c r="O1100" s="13">
        <v>194.87295903453756</v>
      </c>
      <c r="P1100" s="13">
        <v>31.274967935702875</v>
      </c>
      <c r="Q1100" s="13">
        <v>262.25324964217793</v>
      </c>
      <c r="R1100" s="13"/>
      <c r="S1100" s="13">
        <v>211.6037437289597</v>
      </c>
      <c r="T1100" s="13">
        <v>1167.3627608731056</v>
      </c>
      <c r="U1100" s="13"/>
      <c r="V1100" s="13"/>
      <c r="W1100" s="13"/>
      <c r="X1100" s="13">
        <v>64.881058397555236</v>
      </c>
      <c r="Y1100" s="13">
        <v>8.4816982311802516</v>
      </c>
      <c r="Z1100" s="13">
        <v>330.87560942442735</v>
      </c>
      <c r="AA1100" s="13"/>
      <c r="AB1100" s="13"/>
      <c r="AC1100" s="14">
        <v>1316.7091826657943</v>
      </c>
      <c r="AD1100" s="14">
        <v>555.50564717056625</v>
      </c>
      <c r="AE1100" s="14">
        <v>1317.85552584009</v>
      </c>
      <c r="AF1100" s="14"/>
      <c r="AG1100" s="15">
        <v>0.4217058289569246</v>
      </c>
      <c r="AH1100" s="15">
        <v>0.42170586887698863</v>
      </c>
      <c r="AI1100" s="15"/>
      <c r="AJ1100" s="41">
        <f t="shared" si="34"/>
        <v>1608.7694351196542</v>
      </c>
      <c r="AK1100" s="44">
        <f t="shared" si="35"/>
        <v>0.15301812698219133</v>
      </c>
      <c r="AL1100" s="10"/>
      <c r="AM1100" s="10"/>
    </row>
    <row r="1101" spans="1:39" s="16" customFormat="1" ht="19" customHeight="1">
      <c r="A1101" s="9" t="s">
        <v>1135</v>
      </c>
      <c r="B1101" s="10" t="s">
        <v>1114</v>
      </c>
      <c r="C1101" s="10"/>
      <c r="D1101" s="10"/>
      <c r="E1101" s="11" t="s">
        <v>1341</v>
      </c>
      <c r="F1101" s="11" t="s">
        <v>249</v>
      </c>
      <c r="G1101" s="12" t="s">
        <v>1006</v>
      </c>
      <c r="H1101" s="13">
        <v>1.2187009094093419</v>
      </c>
      <c r="I1101" s="13">
        <v>0.71755008100522144</v>
      </c>
      <c r="J1101" s="13">
        <v>187.51555561993925</v>
      </c>
      <c r="K1101" s="13">
        <v>679.94947893231961</v>
      </c>
      <c r="L1101" s="13">
        <v>122.7845116995836</v>
      </c>
      <c r="M1101" s="13">
        <v>182.39126932890861</v>
      </c>
      <c r="N1101" s="13">
        <v>671.38625306044332</v>
      </c>
      <c r="O1101" s="13">
        <v>195.96257679947752</v>
      </c>
      <c r="P1101" s="13">
        <v>31.062912801883151</v>
      </c>
      <c r="Q1101" s="13">
        <v>256.40625413924141</v>
      </c>
      <c r="R1101" s="13"/>
      <c r="S1101" s="13">
        <v>210.48546085627595</v>
      </c>
      <c r="T1101" s="13">
        <v>1152.426443573054</v>
      </c>
      <c r="U1101" s="13"/>
      <c r="V1101" s="13"/>
      <c r="W1101" s="13"/>
      <c r="X1101" s="13">
        <v>64.892834065375055</v>
      </c>
      <c r="Y1101" s="13">
        <v>8.3721043064456957</v>
      </c>
      <c r="Z1101" s="13">
        <v>339.42065032411597</v>
      </c>
      <c r="AA1101" s="13"/>
      <c r="AB1101" s="13"/>
      <c r="AC1101" s="14">
        <v>1324.0714648613346</v>
      </c>
      <c r="AD1101" s="14">
        <v>551.73912614357289</v>
      </c>
      <c r="AE1101" s="14">
        <v>1288.4736388906604</v>
      </c>
      <c r="AF1101" s="14"/>
      <c r="AG1101" s="15">
        <v>0.42237672785146957</v>
      </c>
      <c r="AH1101" s="15">
        <v>0.42241594263495746</v>
      </c>
      <c r="AI1101" s="15"/>
      <c r="AJ1101" s="41">
        <f t="shared" si="34"/>
        <v>1661.6357993122858</v>
      </c>
      <c r="AK1101" s="44">
        <f t="shared" si="35"/>
        <v>0.15826716780587877</v>
      </c>
      <c r="AL1101" s="10"/>
      <c r="AM1101" s="10"/>
    </row>
    <row r="1102" spans="1:39" s="16" customFormat="1" ht="19" customHeight="1">
      <c r="A1102" s="9" t="s">
        <v>1136</v>
      </c>
      <c r="B1102" s="10" t="s">
        <v>1114</v>
      </c>
      <c r="C1102" s="10"/>
      <c r="D1102" s="10"/>
      <c r="E1102" s="11" t="s">
        <v>1341</v>
      </c>
      <c r="F1102" s="11" t="s">
        <v>249</v>
      </c>
      <c r="G1102" s="12" t="s">
        <v>1006</v>
      </c>
      <c r="H1102" s="13">
        <v>6.2163241009804198</v>
      </c>
      <c r="I1102" s="13">
        <v>2.3862267015431873</v>
      </c>
      <c r="J1102" s="13">
        <v>973.99260935737914</v>
      </c>
      <c r="K1102" s="13">
        <v>1574.8824719393338</v>
      </c>
      <c r="L1102" s="13">
        <v>145.21417101021169</v>
      </c>
      <c r="M1102" s="13">
        <v>1393.8912236110325</v>
      </c>
      <c r="N1102" s="13">
        <v>487.14261071592102</v>
      </c>
      <c r="O1102" s="13">
        <v>72.658870646488481</v>
      </c>
      <c r="P1102" s="13">
        <v>20.505373834544017</v>
      </c>
      <c r="Q1102" s="13">
        <v>51.191622689506261</v>
      </c>
      <c r="R1102" s="13"/>
      <c r="S1102" s="13">
        <v>31.226438278876614</v>
      </c>
      <c r="T1102" s="13">
        <v>141.78852169124454</v>
      </c>
      <c r="U1102" s="13"/>
      <c r="V1102" s="13"/>
      <c r="W1102" s="13"/>
      <c r="X1102" s="13">
        <v>9.8593794413908409</v>
      </c>
      <c r="Y1102" s="13">
        <v>1.5870961531064762</v>
      </c>
      <c r="Z1102" s="13">
        <v>556.72246100205723</v>
      </c>
      <c r="AA1102" s="13"/>
      <c r="AB1102" s="13"/>
      <c r="AC1102" s="14">
        <v>490.93831517897627</v>
      </c>
      <c r="AD1102" s="14">
        <v>364.21623151943191</v>
      </c>
      <c r="AE1102" s="14">
        <v>257.24433512314704</v>
      </c>
      <c r="AF1102" s="14"/>
      <c r="AG1102" s="15">
        <v>0.9736024522149983</v>
      </c>
      <c r="AH1102" s="15">
        <v>1.0248797746255218</v>
      </c>
      <c r="AI1102" s="15"/>
      <c r="AJ1102" s="41">
        <f t="shared" si="34"/>
        <v>3181.2318630228456</v>
      </c>
      <c r="AK1102" s="44">
        <f t="shared" si="35"/>
        <v>9.8307761939033291</v>
      </c>
      <c r="AL1102" s="10"/>
      <c r="AM1102" s="10"/>
    </row>
    <row r="1103" spans="1:39" s="16" customFormat="1" ht="19" customHeight="1">
      <c r="A1103" s="9" t="s">
        <v>1137</v>
      </c>
      <c r="B1103" s="10" t="s">
        <v>1114</v>
      </c>
      <c r="C1103" s="10"/>
      <c r="D1103" s="10"/>
      <c r="E1103" s="11" t="s">
        <v>1341</v>
      </c>
      <c r="F1103" s="11" t="s">
        <v>249</v>
      </c>
      <c r="G1103" s="12" t="s">
        <v>1006</v>
      </c>
      <c r="H1103" s="13">
        <v>6.5053972565071678</v>
      </c>
      <c r="I1103" s="13">
        <v>4.4080577686040501</v>
      </c>
      <c r="J1103" s="13">
        <v>893.14268897599072</v>
      </c>
      <c r="K1103" s="13">
        <v>1432.8152686743422</v>
      </c>
      <c r="L1103" s="13">
        <v>150.93948052218036</v>
      </c>
      <c r="M1103" s="13">
        <v>1370.9523786313675</v>
      </c>
      <c r="N1103" s="13">
        <v>560.30751546947408</v>
      </c>
      <c r="O1103" s="13">
        <v>100.44628815404124</v>
      </c>
      <c r="P1103" s="13">
        <v>19.852383956908795</v>
      </c>
      <c r="Q1103" s="13">
        <v>101.6401923910709</v>
      </c>
      <c r="R1103" s="13"/>
      <c r="S1103" s="13">
        <v>57.904133588083582</v>
      </c>
      <c r="T1103" s="13">
        <v>307.50081536655466</v>
      </c>
      <c r="U1103" s="13"/>
      <c r="V1103" s="13"/>
      <c r="W1103" s="13"/>
      <c r="X1103" s="13">
        <v>12.750800449259726</v>
      </c>
      <c r="Y1103" s="13">
        <v>1.6477723087447027</v>
      </c>
      <c r="Z1103" s="13">
        <v>291.25691174642589</v>
      </c>
      <c r="AA1103" s="13"/>
      <c r="AB1103" s="13"/>
      <c r="AC1103" s="14">
        <v>678.6911361759544</v>
      </c>
      <c r="AD1103" s="14">
        <v>352.61783227191466</v>
      </c>
      <c r="AE1103" s="14">
        <v>510.75473563352205</v>
      </c>
      <c r="AF1103" s="14"/>
      <c r="AG1103" s="15">
        <v>0.59291110361413135</v>
      </c>
      <c r="AH1103" s="15">
        <v>0.59891057514407742</v>
      </c>
      <c r="AI1103" s="15"/>
      <c r="AJ1103" s="41">
        <f t="shared" si="34"/>
        <v>3037.2049536419872</v>
      </c>
      <c r="AK1103" s="44">
        <f t="shared" si="35"/>
        <v>4.4583698973192361</v>
      </c>
      <c r="AL1103" s="10"/>
      <c r="AM1103" s="10"/>
    </row>
    <row r="1104" spans="1:39" s="16" customFormat="1" ht="19" customHeight="1">
      <c r="A1104" s="9" t="s">
        <v>1138</v>
      </c>
      <c r="B1104" s="10" t="s">
        <v>1114</v>
      </c>
      <c r="C1104" s="10"/>
      <c r="D1104" s="10"/>
      <c r="E1104" s="11" t="s">
        <v>1341</v>
      </c>
      <c r="F1104" s="11" t="s">
        <v>249</v>
      </c>
      <c r="G1104" s="12" t="s">
        <v>1006</v>
      </c>
      <c r="H1104" s="13">
        <v>6.3546716886240224</v>
      </c>
      <c r="I1104" s="13">
        <v>3.6830127388461831</v>
      </c>
      <c r="J1104" s="13">
        <v>909.19957588739521</v>
      </c>
      <c r="K1104" s="13">
        <v>1476.3072305875551</v>
      </c>
      <c r="L1104" s="13">
        <v>142.30366292672809</v>
      </c>
      <c r="M1104" s="13">
        <v>1058.1808805445687</v>
      </c>
      <c r="N1104" s="13">
        <v>532.12514507603157</v>
      </c>
      <c r="O1104" s="13">
        <v>77.443227905254616</v>
      </c>
      <c r="P1104" s="13">
        <v>19.958042353291759</v>
      </c>
      <c r="Q1104" s="13">
        <v>75.762961804996905</v>
      </c>
      <c r="R1104" s="13"/>
      <c r="S1104" s="13">
        <v>40.657571950599014</v>
      </c>
      <c r="T1104" s="13">
        <v>192.29661105907357</v>
      </c>
      <c r="U1104" s="13"/>
      <c r="V1104" s="13"/>
      <c r="W1104" s="13"/>
      <c r="X1104" s="13">
        <v>9.4409733814256498</v>
      </c>
      <c r="Y1104" s="13">
        <v>1.3687583516474138</v>
      </c>
      <c r="Z1104" s="13">
        <v>497.52616202397576</v>
      </c>
      <c r="AA1104" s="13"/>
      <c r="AB1104" s="13"/>
      <c r="AC1104" s="14">
        <v>523.26505341388258</v>
      </c>
      <c r="AD1104" s="14">
        <v>354.49453558244693</v>
      </c>
      <c r="AE1104" s="14">
        <v>380.71840103013517</v>
      </c>
      <c r="AF1104" s="14"/>
      <c r="AG1104" s="15">
        <v>0.7842943006085743</v>
      </c>
      <c r="AH1104" s="15">
        <v>0.79423083798692717</v>
      </c>
      <c r="AI1104" s="15"/>
      <c r="AJ1104" s="41">
        <f t="shared" si="34"/>
        <v>3059.9356144777098</v>
      </c>
      <c r="AK1104" s="44">
        <f t="shared" si="35"/>
        <v>5.5028576672081613</v>
      </c>
      <c r="AL1104" s="10"/>
      <c r="AM1104" s="10"/>
    </row>
    <row r="1105" spans="1:39" s="16" customFormat="1" ht="19" customHeight="1">
      <c r="A1105" s="9" t="s">
        <v>1139</v>
      </c>
      <c r="B1105" s="10" t="s">
        <v>1114</v>
      </c>
      <c r="C1105" s="10"/>
      <c r="D1105" s="10"/>
      <c r="E1105" s="11" t="s">
        <v>1341</v>
      </c>
      <c r="F1105" s="11" t="s">
        <v>249</v>
      </c>
      <c r="G1105" s="12" t="s">
        <v>1006</v>
      </c>
      <c r="H1105" s="13">
        <v>11.285324870238403</v>
      </c>
      <c r="I1105" s="13">
        <v>3.6286513547851817</v>
      </c>
      <c r="J1105" s="13">
        <v>647.0806516302423</v>
      </c>
      <c r="K1105" s="13">
        <v>1743.6623407268876</v>
      </c>
      <c r="L1105" s="13">
        <v>257.30769796466274</v>
      </c>
      <c r="M1105" s="13">
        <v>259.33879727688452</v>
      </c>
      <c r="N1105" s="13">
        <v>1205.76250256508</v>
      </c>
      <c r="O1105" s="13">
        <v>297.65521398422533</v>
      </c>
      <c r="P1105" s="13">
        <v>63.491780320350031</v>
      </c>
      <c r="Q1105" s="13">
        <v>341.23792732165344</v>
      </c>
      <c r="R1105" s="13"/>
      <c r="S1105" s="13">
        <v>270.6089174676344</v>
      </c>
      <c r="T1105" s="13">
        <v>1389.1753163748419</v>
      </c>
      <c r="U1105" s="13"/>
      <c r="V1105" s="13"/>
      <c r="W1105" s="13"/>
      <c r="X1105" s="13">
        <v>80.433175656644266</v>
      </c>
      <c r="Y1105" s="13">
        <v>11.037951878311622</v>
      </c>
      <c r="Z1105" s="13">
        <v>403.21577084037824</v>
      </c>
      <c r="AA1105" s="13"/>
      <c r="AB1105" s="13"/>
      <c r="AC1105" s="14">
        <v>2011.1838782717928</v>
      </c>
      <c r="AD1105" s="14">
        <v>1127.740325405862</v>
      </c>
      <c r="AE1105" s="14">
        <v>1714.7634538776554</v>
      </c>
      <c r="AF1105" s="14"/>
      <c r="AG1105" s="15">
        <v>0.60534421175260367</v>
      </c>
      <c r="AH1105" s="15">
        <v>0.60726899909010035</v>
      </c>
      <c r="AI1105" s="15"/>
      <c r="AJ1105" s="41">
        <f t="shared" si="34"/>
        <v>3853.8131928868725</v>
      </c>
      <c r="AK1105" s="44">
        <f t="shared" si="35"/>
        <v>0.18668543431483417</v>
      </c>
      <c r="AL1105" s="10"/>
      <c r="AM1105" s="10"/>
    </row>
    <row r="1106" spans="1:39" s="16" customFormat="1" ht="19" customHeight="1">
      <c r="A1106" s="9" t="s">
        <v>1140</v>
      </c>
      <c r="B1106" s="10" t="s">
        <v>1114</v>
      </c>
      <c r="C1106" s="10"/>
      <c r="D1106" s="10"/>
      <c r="E1106" s="11" t="s">
        <v>1341</v>
      </c>
      <c r="F1106" s="11" t="s">
        <v>249</v>
      </c>
      <c r="G1106" s="12" t="s">
        <v>1006</v>
      </c>
      <c r="H1106" s="13">
        <v>9.9461974036358569</v>
      </c>
      <c r="I1106" s="13">
        <v>3.82390209868956</v>
      </c>
      <c r="J1106" s="13">
        <v>496.33956803088768</v>
      </c>
      <c r="K1106" s="13">
        <v>1405.6591353194456</v>
      </c>
      <c r="L1106" s="13">
        <v>210.11121067372622</v>
      </c>
      <c r="M1106" s="13">
        <v>237.93723752233817</v>
      </c>
      <c r="N1106" s="13">
        <v>1021.558090614579</v>
      </c>
      <c r="O1106" s="13">
        <v>255.2505870119372</v>
      </c>
      <c r="P1106" s="13">
        <v>49.368964533852115</v>
      </c>
      <c r="Q1106" s="13">
        <v>294.06261952597868</v>
      </c>
      <c r="R1106" s="13"/>
      <c r="S1106" s="13">
        <v>245.39783079090284</v>
      </c>
      <c r="T1106" s="13">
        <v>1250.6984762778916</v>
      </c>
      <c r="U1106" s="13"/>
      <c r="V1106" s="13"/>
      <c r="W1106" s="13"/>
      <c r="X1106" s="13">
        <v>74.007904516489802</v>
      </c>
      <c r="Y1106" s="13">
        <v>9.9555683633788501</v>
      </c>
      <c r="Z1106" s="13">
        <v>352.17313735685002</v>
      </c>
      <c r="AA1106" s="13"/>
      <c r="AB1106" s="13"/>
      <c r="AC1106" s="14">
        <v>1724.6661284590352</v>
      </c>
      <c r="AD1106" s="14">
        <v>876.89102191566815</v>
      </c>
      <c r="AE1106" s="14">
        <v>1477.7016056581842</v>
      </c>
      <c r="AF1106" s="14"/>
      <c r="AG1106" s="15">
        <v>0.54765167196352371</v>
      </c>
      <c r="AH1106" s="15">
        <v>0.54928752261272429</v>
      </c>
      <c r="AI1106" s="15"/>
      <c r="AJ1106" s="41">
        <f t="shared" si="34"/>
        <v>3133.6680046386382</v>
      </c>
      <c r="AK1106" s="44">
        <f t="shared" si="35"/>
        <v>0.19024348556851611</v>
      </c>
      <c r="AL1106" s="10"/>
      <c r="AM1106" s="10"/>
    </row>
    <row r="1107" spans="1:39" s="16" customFormat="1" ht="19" customHeight="1">
      <c r="A1107" s="9" t="s">
        <v>1141</v>
      </c>
      <c r="B1107" s="10" t="s">
        <v>1114</v>
      </c>
      <c r="C1107" s="10"/>
      <c r="D1107" s="10"/>
      <c r="E1107" s="11" t="s">
        <v>1341</v>
      </c>
      <c r="F1107" s="11" t="s">
        <v>249</v>
      </c>
      <c r="G1107" s="12" t="s">
        <v>1006</v>
      </c>
      <c r="H1107" s="13">
        <v>7.7284286391824413</v>
      </c>
      <c r="I1107" s="13">
        <v>3.9226204434650653</v>
      </c>
      <c r="J1107" s="13">
        <v>946.24666271238357</v>
      </c>
      <c r="K1107" s="13">
        <v>1565.5730894689602</v>
      </c>
      <c r="L1107" s="13">
        <v>143.81907347254983</v>
      </c>
      <c r="M1107" s="13">
        <v>1569.8715914850802</v>
      </c>
      <c r="N1107" s="13">
        <v>514.13583986998901</v>
      </c>
      <c r="O1107" s="13">
        <v>80.156125057557162</v>
      </c>
      <c r="P1107" s="13">
        <v>19.506979031545246</v>
      </c>
      <c r="Q1107" s="13">
        <v>70.364674475125582</v>
      </c>
      <c r="R1107" s="13"/>
      <c r="S1107" s="13">
        <v>38.419989790056889</v>
      </c>
      <c r="T1107" s="13">
        <v>174.54726652328233</v>
      </c>
      <c r="U1107" s="13"/>
      <c r="V1107" s="13"/>
      <c r="W1107" s="13"/>
      <c r="X1107" s="13">
        <v>10.90869874824117</v>
      </c>
      <c r="Y1107" s="13">
        <v>1.5155988504308966</v>
      </c>
      <c r="Z1107" s="13">
        <v>393.94300456284481</v>
      </c>
      <c r="AA1107" s="13"/>
      <c r="AB1107" s="13"/>
      <c r="AC1107" s="14">
        <v>541.59543957808899</v>
      </c>
      <c r="AD1107" s="14">
        <v>346.48275366865448</v>
      </c>
      <c r="AE1107" s="14">
        <v>353.59132902073156</v>
      </c>
      <c r="AF1107" s="14"/>
      <c r="AG1107" s="15">
        <v>0.77410159716945348</v>
      </c>
      <c r="AH1107" s="15">
        <v>0.79175956686676896</v>
      </c>
      <c r="AI1107" s="15"/>
      <c r="AJ1107" s="41">
        <f t="shared" si="34"/>
        <v>3169.7746655238825</v>
      </c>
      <c r="AK1107" s="44">
        <f t="shared" si="35"/>
        <v>8.993962625451255</v>
      </c>
      <c r="AL1107" s="10"/>
      <c r="AM1107" s="10"/>
    </row>
    <row r="1108" spans="1:39" s="16" customFormat="1" ht="19" customHeight="1">
      <c r="A1108" s="9" t="s">
        <v>1142</v>
      </c>
      <c r="B1108" s="10" t="s">
        <v>1114</v>
      </c>
      <c r="C1108" s="10"/>
      <c r="D1108" s="10"/>
      <c r="E1108" s="11" t="s">
        <v>1341</v>
      </c>
      <c r="F1108" s="11" t="s">
        <v>249</v>
      </c>
      <c r="G1108" s="12" t="s">
        <v>1006</v>
      </c>
      <c r="H1108" s="13">
        <v>6.5510196422437952</v>
      </c>
      <c r="I1108" s="13">
        <v>4.1330349289831112</v>
      </c>
      <c r="J1108" s="13">
        <v>930.73832439642831</v>
      </c>
      <c r="K1108" s="13">
        <v>1619.2304100916285</v>
      </c>
      <c r="L1108" s="13">
        <v>144.54475423130197</v>
      </c>
      <c r="M1108" s="13">
        <v>1418.6974493697865</v>
      </c>
      <c r="N1108" s="13">
        <v>561.6216330928562</v>
      </c>
      <c r="O1108" s="13">
        <v>89.606714108499361</v>
      </c>
      <c r="P1108" s="13">
        <v>22.946580879409712</v>
      </c>
      <c r="Q1108" s="13">
        <v>103.90999258919344</v>
      </c>
      <c r="R1108" s="13"/>
      <c r="S1108" s="13">
        <v>59.96356611665589</v>
      </c>
      <c r="T1108" s="13">
        <v>317.84943472404257</v>
      </c>
      <c r="U1108" s="13"/>
      <c r="V1108" s="13"/>
      <c r="W1108" s="13"/>
      <c r="X1108" s="13">
        <v>12.756385345827834</v>
      </c>
      <c r="Y1108" s="13">
        <v>2.0077107215411365</v>
      </c>
      <c r="Z1108" s="13">
        <v>364.73621505504053</v>
      </c>
      <c r="AA1108" s="13"/>
      <c r="AB1108" s="13"/>
      <c r="AC1108" s="14">
        <v>605.45077100337414</v>
      </c>
      <c r="AD1108" s="14">
        <v>407.5769250339203</v>
      </c>
      <c r="AE1108" s="14">
        <v>522.16076677986644</v>
      </c>
      <c r="AF1108" s="14"/>
      <c r="AG1108" s="15">
        <v>0.72290307677264698</v>
      </c>
      <c r="AH1108" s="15">
        <v>0.72488322811732475</v>
      </c>
      <c r="AI1108" s="15"/>
      <c r="AJ1108" s="41">
        <f t="shared" si="34"/>
        <v>3256.1351218122145</v>
      </c>
      <c r="AK1108" s="44">
        <f t="shared" si="35"/>
        <v>4.4634260576914411</v>
      </c>
      <c r="AL1108" s="10"/>
      <c r="AM1108" s="10"/>
    </row>
    <row r="1109" spans="1:39" s="16" customFormat="1" ht="19" customHeight="1">
      <c r="A1109" s="9" t="s">
        <v>1143</v>
      </c>
      <c r="B1109" s="10" t="s">
        <v>1114</v>
      </c>
      <c r="C1109" s="10"/>
      <c r="D1109" s="10"/>
      <c r="E1109" s="11" t="s">
        <v>1341</v>
      </c>
      <c r="F1109" s="11" t="s">
        <v>249</v>
      </c>
      <c r="G1109" s="12" t="s">
        <v>1006</v>
      </c>
      <c r="H1109" s="13">
        <v>6.4746137397843295</v>
      </c>
      <c r="I1109" s="13">
        <v>3.3512636539506415</v>
      </c>
      <c r="J1109" s="13">
        <v>831.1880720407911</v>
      </c>
      <c r="K1109" s="13">
        <v>1411.8987050204207</v>
      </c>
      <c r="L1109" s="13">
        <v>133.95223069841799</v>
      </c>
      <c r="M1109" s="13">
        <v>2564.7574259407252</v>
      </c>
      <c r="N1109" s="13">
        <v>505.24788340796817</v>
      </c>
      <c r="O1109" s="13">
        <v>83.635065448204898</v>
      </c>
      <c r="P1109" s="13">
        <v>26.072108690381807</v>
      </c>
      <c r="Q1109" s="13">
        <v>94.645426052773828</v>
      </c>
      <c r="R1109" s="13"/>
      <c r="S1109" s="13">
        <v>50.939883935394327</v>
      </c>
      <c r="T1109" s="13">
        <v>272.23633552291227</v>
      </c>
      <c r="U1109" s="13"/>
      <c r="V1109" s="13"/>
      <c r="W1109" s="13"/>
      <c r="X1109" s="13">
        <v>11.71206097685751</v>
      </c>
      <c r="Y1109" s="13">
        <v>1.4922079129908485</v>
      </c>
      <c r="Z1109" s="13">
        <v>237.30390821181058</v>
      </c>
      <c r="AA1109" s="13"/>
      <c r="AB1109" s="13"/>
      <c r="AC1109" s="14">
        <v>565.10179356895208</v>
      </c>
      <c r="AD1109" s="14">
        <v>463.09251670305167</v>
      </c>
      <c r="AE1109" s="14">
        <v>475.60515604408954</v>
      </c>
      <c r="AF1109" s="14"/>
      <c r="AG1109" s="15">
        <v>0.8899575752333353</v>
      </c>
      <c r="AH1109" s="15">
        <v>0.89326669775519385</v>
      </c>
      <c r="AI1109" s="15"/>
      <c r="AJ1109" s="41">
        <f t="shared" si="34"/>
        <v>2882.2868911675978</v>
      </c>
      <c r="AK1109" s="44">
        <f t="shared" si="35"/>
        <v>9.4210694579558325</v>
      </c>
      <c r="AL1109" s="10"/>
      <c r="AM1109" s="10"/>
    </row>
    <row r="1110" spans="1:39" s="16" customFormat="1" ht="19" customHeight="1">
      <c r="A1110" s="9" t="s">
        <v>1144</v>
      </c>
      <c r="B1110" s="10" t="s">
        <v>1114</v>
      </c>
      <c r="C1110" s="10"/>
      <c r="D1110" s="10"/>
      <c r="E1110" s="11" t="s">
        <v>1341</v>
      </c>
      <c r="F1110" s="11" t="s">
        <v>249</v>
      </c>
      <c r="G1110" s="12" t="s">
        <v>1006</v>
      </c>
      <c r="H1110" s="13">
        <v>6.1439348150243278</v>
      </c>
      <c r="I1110" s="13">
        <v>3.8672600643458837</v>
      </c>
      <c r="J1110" s="13">
        <v>892.31023717161065</v>
      </c>
      <c r="K1110" s="13">
        <v>1433.3257327275596</v>
      </c>
      <c r="L1110" s="13">
        <v>148.79962523963374</v>
      </c>
      <c r="M1110" s="13">
        <v>1618.4889186972021</v>
      </c>
      <c r="N1110" s="13">
        <v>556.06515370135526</v>
      </c>
      <c r="O1110" s="13">
        <v>101.58144604406451</v>
      </c>
      <c r="P1110" s="13">
        <v>23.007550292116576</v>
      </c>
      <c r="Q1110" s="13">
        <v>106.82783259903313</v>
      </c>
      <c r="R1110" s="13"/>
      <c r="S1110" s="13">
        <v>59.498139242886225</v>
      </c>
      <c r="T1110" s="13">
        <v>304.81480915984031</v>
      </c>
      <c r="U1110" s="13"/>
      <c r="V1110" s="13"/>
      <c r="W1110" s="13"/>
      <c r="X1110" s="13">
        <v>12.126146801555731</v>
      </c>
      <c r="Y1110" s="13">
        <v>1.6154857632936954</v>
      </c>
      <c r="Z1110" s="13">
        <v>401.44032041229514</v>
      </c>
      <c r="AA1110" s="13"/>
      <c r="AB1110" s="13"/>
      <c r="AC1110" s="14">
        <v>686.36112191935479</v>
      </c>
      <c r="AD1110" s="14">
        <v>408.65986309265679</v>
      </c>
      <c r="AE1110" s="14">
        <v>536.82327939212621</v>
      </c>
      <c r="AF1110" s="14"/>
      <c r="AG1110" s="15">
        <v>0.66819011533256556</v>
      </c>
      <c r="AH1110" s="15">
        <v>0.67324010188779715</v>
      </c>
      <c r="AI1110" s="15"/>
      <c r="AJ1110" s="41">
        <f t="shared" si="34"/>
        <v>3030.5007488401588</v>
      </c>
      <c r="AK1110" s="44">
        <f t="shared" si="35"/>
        <v>5.3097450322647903</v>
      </c>
      <c r="AL1110" s="10"/>
      <c r="AM1110" s="10"/>
    </row>
    <row r="1111" spans="1:39" s="16" customFormat="1" ht="19" customHeight="1">
      <c r="A1111" s="9" t="s">
        <v>1145</v>
      </c>
      <c r="B1111" s="10" t="s">
        <v>1114</v>
      </c>
      <c r="C1111" s="10"/>
      <c r="D1111" s="10"/>
      <c r="E1111" s="11" t="s">
        <v>1341</v>
      </c>
      <c r="F1111" s="11" t="s">
        <v>249</v>
      </c>
      <c r="G1111" s="12" t="s">
        <v>1006</v>
      </c>
      <c r="H1111" s="13">
        <v>1.2990734465575946</v>
      </c>
      <c r="I1111" s="13">
        <v>0.54544317701192868</v>
      </c>
      <c r="J1111" s="13">
        <v>258.73207099642201</v>
      </c>
      <c r="K1111" s="13">
        <v>819.63226640481491</v>
      </c>
      <c r="L1111" s="13">
        <v>144.3169144573435</v>
      </c>
      <c r="M1111" s="13">
        <v>225.21376397039577</v>
      </c>
      <c r="N1111" s="13">
        <v>770.83520333611261</v>
      </c>
      <c r="O1111" s="13">
        <v>227.35621248364382</v>
      </c>
      <c r="P1111" s="13">
        <v>34.338328860424454</v>
      </c>
      <c r="Q1111" s="13">
        <v>279.25427312222246</v>
      </c>
      <c r="R1111" s="13"/>
      <c r="S1111" s="13">
        <v>247.83032974639923</v>
      </c>
      <c r="T1111" s="13">
        <v>1348.9918117402381</v>
      </c>
      <c r="U1111" s="13"/>
      <c r="V1111" s="13"/>
      <c r="W1111" s="13"/>
      <c r="X1111" s="13">
        <v>76.669826391909837</v>
      </c>
      <c r="Y1111" s="13">
        <v>10.096346667215801</v>
      </c>
      <c r="Z1111" s="13">
        <v>593.80492868141073</v>
      </c>
      <c r="AA1111" s="13"/>
      <c r="AB1111" s="13"/>
      <c r="AC1111" s="14">
        <v>1536.1906248894852</v>
      </c>
      <c r="AD1111" s="14">
        <v>609.91703126864047</v>
      </c>
      <c r="AE1111" s="14">
        <v>1403.2878046342837</v>
      </c>
      <c r="AF1111" s="14"/>
      <c r="AG1111" s="15">
        <v>0.41498316513753392</v>
      </c>
      <c r="AH1111" s="15">
        <v>0.41540797519668454</v>
      </c>
      <c r="AI1111" s="15"/>
      <c r="AJ1111" s="41">
        <f t="shared" si="34"/>
        <v>1993.5164551946932</v>
      </c>
      <c r="AK1111" s="44">
        <f t="shared" si="35"/>
        <v>0.16694968939793903</v>
      </c>
      <c r="AL1111" s="10"/>
      <c r="AM1111" s="10"/>
    </row>
    <row r="1112" spans="1:39" s="16" customFormat="1" ht="19" customHeight="1">
      <c r="A1112" s="9" t="s">
        <v>1146</v>
      </c>
      <c r="B1112" s="10" t="s">
        <v>1114</v>
      </c>
      <c r="C1112" s="10"/>
      <c r="D1112" s="10"/>
      <c r="E1112" s="11" t="s">
        <v>1341</v>
      </c>
      <c r="F1112" s="11" t="s">
        <v>249</v>
      </c>
      <c r="G1112" s="12" t="s">
        <v>1006</v>
      </c>
      <c r="H1112" s="13">
        <v>1.190552162615599</v>
      </c>
      <c r="I1112" s="13">
        <v>0.60050429545117345</v>
      </c>
      <c r="J1112" s="13">
        <v>243.50157986132567</v>
      </c>
      <c r="K1112" s="13">
        <v>776.36240020645312</v>
      </c>
      <c r="L1112" s="13">
        <v>141.17514058748284</v>
      </c>
      <c r="M1112" s="13">
        <v>231.78986681263572</v>
      </c>
      <c r="N1112" s="13">
        <v>730.81799968306132</v>
      </c>
      <c r="O1112" s="13">
        <v>212.02802941183958</v>
      </c>
      <c r="P1112" s="13">
        <v>36.503538601013261</v>
      </c>
      <c r="Q1112" s="13">
        <v>270.66126361264787</v>
      </c>
      <c r="R1112" s="13"/>
      <c r="S1112" s="13">
        <v>227.40837442979668</v>
      </c>
      <c r="T1112" s="13">
        <v>1318.1931439792345</v>
      </c>
      <c r="U1112" s="13"/>
      <c r="V1112" s="13"/>
      <c r="W1112" s="13"/>
      <c r="X1112" s="13">
        <v>74.488192326348795</v>
      </c>
      <c r="Y1112" s="13">
        <v>9.3704616669256993</v>
      </c>
      <c r="Z1112" s="13">
        <v>588.02166549123376</v>
      </c>
      <c r="AA1112" s="13"/>
      <c r="AB1112" s="13"/>
      <c r="AC1112" s="14">
        <v>1432.6218203502676</v>
      </c>
      <c r="AD1112" s="14">
        <v>648.37546360591944</v>
      </c>
      <c r="AE1112" s="14">
        <v>1360.1068523248637</v>
      </c>
      <c r="AF1112" s="14"/>
      <c r="AG1112" s="15">
        <v>0.46433115393544194</v>
      </c>
      <c r="AH1112" s="15">
        <v>0.46448776243653389</v>
      </c>
      <c r="AI1112" s="15"/>
      <c r="AJ1112" s="41">
        <f t="shared" si="34"/>
        <v>1891.8571203383231</v>
      </c>
      <c r="AK1112" s="44">
        <f t="shared" si="35"/>
        <v>0.17583907780989574</v>
      </c>
      <c r="AL1112" s="10"/>
      <c r="AM1112" s="10"/>
    </row>
    <row r="1113" spans="1:39" s="16" customFormat="1" ht="19" customHeight="1">
      <c r="A1113" s="9" t="s">
        <v>1147</v>
      </c>
      <c r="B1113" s="10" t="s">
        <v>1114</v>
      </c>
      <c r="C1113" s="10"/>
      <c r="D1113" s="10"/>
      <c r="E1113" s="11" t="s">
        <v>1341</v>
      </c>
      <c r="F1113" s="11" t="s">
        <v>249</v>
      </c>
      <c r="G1113" s="12" t="s">
        <v>1006</v>
      </c>
      <c r="H1113" s="13">
        <v>1.000390993926948</v>
      </c>
      <c r="I1113" s="13">
        <v>0.61540695003256174</v>
      </c>
      <c r="J1113" s="13">
        <v>276.24778419329328</v>
      </c>
      <c r="K1113" s="13">
        <v>863.27932588073429</v>
      </c>
      <c r="L1113" s="13">
        <v>145.61352779480563</v>
      </c>
      <c r="M1113" s="13">
        <v>225.70503733587898</v>
      </c>
      <c r="N1113" s="13">
        <v>776.91705286110528</v>
      </c>
      <c r="O1113" s="13">
        <v>223.68467308570226</v>
      </c>
      <c r="P1113" s="13">
        <v>31.234713577885906</v>
      </c>
      <c r="Q1113" s="13">
        <v>266.09003350912394</v>
      </c>
      <c r="R1113" s="13"/>
      <c r="S1113" s="13">
        <v>246.46397273173037</v>
      </c>
      <c r="T1113" s="13">
        <v>1319.9321529595577</v>
      </c>
      <c r="U1113" s="13"/>
      <c r="V1113" s="13"/>
      <c r="W1113" s="13"/>
      <c r="X1113" s="13">
        <v>76.718945843418055</v>
      </c>
      <c r="Y1113" s="13">
        <v>10.116503819095486</v>
      </c>
      <c r="Z1113" s="13">
        <v>544.11615553494255</v>
      </c>
      <c r="AA1113" s="13"/>
      <c r="AB1113" s="13"/>
      <c r="AC1113" s="14">
        <v>1511.3829262547451</v>
      </c>
      <c r="AD1113" s="14">
        <v>554.79064969601973</v>
      </c>
      <c r="AE1113" s="14">
        <v>1337.1358467795171</v>
      </c>
      <c r="AF1113" s="14"/>
      <c r="AG1113" s="15">
        <v>0.38952922125561618</v>
      </c>
      <c r="AH1113" s="15">
        <v>0.39026006376891376</v>
      </c>
      <c r="AI1113" s="15"/>
      <c r="AJ1113" s="41">
        <f t="shared" si="34"/>
        <v>2062.0576907299383</v>
      </c>
      <c r="AK1113" s="44">
        <f t="shared" si="35"/>
        <v>0.17099745379321366</v>
      </c>
      <c r="AL1113" s="10"/>
      <c r="AM1113" s="10"/>
    </row>
    <row r="1114" spans="1:39" s="16" customFormat="1" ht="19" customHeight="1">
      <c r="A1114" s="9" t="s">
        <v>1148</v>
      </c>
      <c r="B1114" s="10" t="s">
        <v>1114</v>
      </c>
      <c r="C1114" s="10"/>
      <c r="D1114" s="10"/>
      <c r="E1114" s="11" t="s">
        <v>1341</v>
      </c>
      <c r="F1114" s="11" t="s">
        <v>249</v>
      </c>
      <c r="G1114" s="12" t="s">
        <v>1006</v>
      </c>
      <c r="H1114" s="13">
        <v>1.1610503996027794</v>
      </c>
      <c r="I1114" s="13">
        <v>0.5606411311837658</v>
      </c>
      <c r="J1114" s="13">
        <v>253.96342892894521</v>
      </c>
      <c r="K1114" s="13">
        <v>828.76628569068725</v>
      </c>
      <c r="L1114" s="13">
        <v>137.42554783521322</v>
      </c>
      <c r="M1114" s="13">
        <v>219.27123090493319</v>
      </c>
      <c r="N1114" s="13">
        <v>694.89067081155554</v>
      </c>
      <c r="O1114" s="13">
        <v>208.91636351346079</v>
      </c>
      <c r="P1114" s="13">
        <v>28.756907423606947</v>
      </c>
      <c r="Q1114" s="13">
        <v>254.09838799309188</v>
      </c>
      <c r="R1114" s="13"/>
      <c r="S1114" s="13">
        <v>215.33475156379856</v>
      </c>
      <c r="T1114" s="13">
        <v>1178.2166405145203</v>
      </c>
      <c r="U1114" s="13"/>
      <c r="V1114" s="13"/>
      <c r="W1114" s="13"/>
      <c r="X1114" s="13">
        <v>70.865676154008767</v>
      </c>
      <c r="Y1114" s="13">
        <v>8.9616791434693877</v>
      </c>
      <c r="Z1114" s="13">
        <v>533.14914298987344</v>
      </c>
      <c r="AA1114" s="13"/>
      <c r="AB1114" s="13"/>
      <c r="AC1114" s="14">
        <v>1411.597050766627</v>
      </c>
      <c r="AD1114" s="14">
        <v>510.77988319017669</v>
      </c>
      <c r="AE1114" s="14">
        <v>1276.8763215733259</v>
      </c>
      <c r="AF1114" s="14"/>
      <c r="AG1114" s="15">
        <v>0.37997763968598414</v>
      </c>
      <c r="AH1114" s="15">
        <v>0.38045561367565445</v>
      </c>
      <c r="AI1114" s="15"/>
      <c r="AJ1114" s="41">
        <f t="shared" si="34"/>
        <v>1915.0459332664011</v>
      </c>
      <c r="AK1114" s="44">
        <f t="shared" si="35"/>
        <v>0.18610434054740452</v>
      </c>
      <c r="AL1114" s="10"/>
      <c r="AM1114" s="10"/>
    </row>
    <row r="1115" spans="1:39" s="16" customFormat="1" ht="19" customHeight="1">
      <c r="A1115" s="9" t="s">
        <v>1149</v>
      </c>
      <c r="B1115" s="10" t="s">
        <v>1114</v>
      </c>
      <c r="C1115" s="10"/>
      <c r="D1115" s="10"/>
      <c r="E1115" s="11" t="s">
        <v>1341</v>
      </c>
      <c r="F1115" s="11" t="s">
        <v>249</v>
      </c>
      <c r="G1115" s="12" t="s">
        <v>1006</v>
      </c>
      <c r="H1115" s="13">
        <v>1.5398592941970062</v>
      </c>
      <c r="I1115" s="13">
        <v>0.70441067232393417</v>
      </c>
      <c r="J1115" s="13">
        <v>311.40212619481991</v>
      </c>
      <c r="K1115" s="13">
        <v>961.26148953501797</v>
      </c>
      <c r="L1115" s="13">
        <v>162.24208431288241</v>
      </c>
      <c r="M1115" s="13">
        <v>217.24749368951368</v>
      </c>
      <c r="N1115" s="13">
        <v>824.63371135479929</v>
      </c>
      <c r="O1115" s="13">
        <v>231.27146608735436</v>
      </c>
      <c r="P1115" s="13">
        <v>32.33095781711112</v>
      </c>
      <c r="Q1115" s="13">
        <v>289.96465664866838</v>
      </c>
      <c r="R1115" s="13"/>
      <c r="S1115" s="13">
        <v>245.68472706843818</v>
      </c>
      <c r="T1115" s="13">
        <v>1317.8193876715675</v>
      </c>
      <c r="U1115" s="13"/>
      <c r="V1115" s="13"/>
      <c r="W1115" s="13"/>
      <c r="X1115" s="13">
        <v>73.426567495544688</v>
      </c>
      <c r="Y1115" s="13">
        <v>9.8054408151442551</v>
      </c>
      <c r="Z1115" s="13">
        <v>547.37747609017674</v>
      </c>
      <c r="AA1115" s="13"/>
      <c r="AB1115" s="13"/>
      <c r="AC1115" s="14">
        <v>1562.6450411307728</v>
      </c>
      <c r="AD1115" s="14">
        <v>574.26212819025079</v>
      </c>
      <c r="AE1115" s="14">
        <v>1457.1088273802432</v>
      </c>
      <c r="AF1115" s="14"/>
      <c r="AG1115" s="15">
        <v>0.38033704281561775</v>
      </c>
      <c r="AH1115" s="15">
        <v>0.38056952871416688</v>
      </c>
      <c r="AI1115" s="15"/>
      <c r="AJ1115" s="41">
        <f t="shared" si="34"/>
        <v>2259.5394113975194</v>
      </c>
      <c r="AK1115" s="44">
        <f t="shared" si="35"/>
        <v>0.16485376958474146</v>
      </c>
      <c r="AL1115" s="10"/>
      <c r="AM1115" s="10"/>
    </row>
    <row r="1116" spans="1:39" s="16" customFormat="1" ht="19" customHeight="1">
      <c r="A1116" s="9" t="s">
        <v>1150</v>
      </c>
      <c r="B1116" s="10" t="s">
        <v>1114</v>
      </c>
      <c r="C1116" s="10"/>
      <c r="D1116" s="10"/>
      <c r="E1116" s="11" t="s">
        <v>1341</v>
      </c>
      <c r="F1116" s="11" t="s">
        <v>249</v>
      </c>
      <c r="G1116" s="12" t="s">
        <v>1006</v>
      </c>
      <c r="H1116" s="13">
        <v>2.2544191718755848</v>
      </c>
      <c r="I1116" s="13">
        <v>1.0030020047915684</v>
      </c>
      <c r="J1116" s="13">
        <v>458.29575915021144</v>
      </c>
      <c r="K1116" s="13">
        <v>1374.0780984440453</v>
      </c>
      <c r="L1116" s="13">
        <v>227.30907450282004</v>
      </c>
      <c r="M1116" s="13">
        <v>207.14712026849088</v>
      </c>
      <c r="N1116" s="13">
        <v>1150.5063081895146</v>
      </c>
      <c r="O1116" s="13">
        <v>316.90377582294946</v>
      </c>
      <c r="P1116" s="13">
        <v>36.651054180219305</v>
      </c>
      <c r="Q1116" s="13">
        <v>400.28398074923007</v>
      </c>
      <c r="R1116" s="13"/>
      <c r="S1116" s="13">
        <v>350.44629788685387</v>
      </c>
      <c r="T1116" s="13">
        <v>1776.4627508254366</v>
      </c>
      <c r="U1116" s="13"/>
      <c r="V1116" s="13"/>
      <c r="W1116" s="13"/>
      <c r="X1116" s="13">
        <v>102.54505846446921</v>
      </c>
      <c r="Y1116" s="13">
        <v>13.121999813464056</v>
      </c>
      <c r="Z1116" s="13">
        <v>500.58454798184283</v>
      </c>
      <c r="AA1116" s="13"/>
      <c r="AB1116" s="13"/>
      <c r="AC1116" s="14">
        <v>2141.2417285334423</v>
      </c>
      <c r="AD1116" s="14">
        <v>650.99563375167509</v>
      </c>
      <c r="AE1116" s="14">
        <v>2011.477290197136</v>
      </c>
      <c r="AF1116" s="14"/>
      <c r="AG1116" s="15">
        <v>0.31352741700818193</v>
      </c>
      <c r="AH1116" s="15">
        <v>0.31368059980957064</v>
      </c>
      <c r="AI1116" s="15"/>
      <c r="AJ1116" s="41">
        <f t="shared" si="34"/>
        <v>3210.189240286591</v>
      </c>
      <c r="AK1116" s="44">
        <f t="shared" si="35"/>
        <v>0.11660650929620651</v>
      </c>
      <c r="AL1116" s="10"/>
      <c r="AM1116" s="10"/>
    </row>
    <row r="1117" spans="1:39" s="16" customFormat="1" ht="19" customHeight="1">
      <c r="A1117" s="9" t="s">
        <v>1151</v>
      </c>
      <c r="B1117" s="10" t="s">
        <v>1114</v>
      </c>
      <c r="C1117" s="10"/>
      <c r="D1117" s="10"/>
      <c r="E1117" s="11" t="s">
        <v>1341</v>
      </c>
      <c r="F1117" s="11" t="s">
        <v>249</v>
      </c>
      <c r="G1117" s="12" t="s">
        <v>1006</v>
      </c>
      <c r="H1117" s="13">
        <v>2.0108210051519655</v>
      </c>
      <c r="I1117" s="13"/>
      <c r="J1117" s="13">
        <v>285.93949261056633</v>
      </c>
      <c r="K1117" s="13">
        <v>872.72664694519904</v>
      </c>
      <c r="L1117" s="13">
        <v>130.04192944290594</v>
      </c>
      <c r="M1117" s="13">
        <v>115.18493334035017</v>
      </c>
      <c r="N1117" s="13">
        <v>729.69943411657994</v>
      </c>
      <c r="O1117" s="13">
        <v>211.69338110406872</v>
      </c>
      <c r="P1117" s="13">
        <v>15.836669713555361</v>
      </c>
      <c r="Q1117" s="13">
        <v>254.30572442428596</v>
      </c>
      <c r="R1117" s="13"/>
      <c r="S1117" s="13">
        <v>230.51312656810003</v>
      </c>
      <c r="T1117" s="13">
        <v>1234.4488422905615</v>
      </c>
      <c r="U1117" s="13"/>
      <c r="V1117" s="13"/>
      <c r="W1117" s="13"/>
      <c r="X1117" s="13">
        <v>67.389880303940316</v>
      </c>
      <c r="Y1117" s="13">
        <v>8.2630580083953973</v>
      </c>
      <c r="Z1117" s="13">
        <v>386.0743232629668</v>
      </c>
      <c r="AA1117" s="13"/>
      <c r="AB1117" s="13"/>
      <c r="AC1117" s="14">
        <v>1430.3606831355996</v>
      </c>
      <c r="AD1117" s="14">
        <v>281.29075867771513</v>
      </c>
      <c r="AE1117" s="14">
        <v>1277.9182131873665</v>
      </c>
      <c r="AF1117" s="14"/>
      <c r="AG1117" s="15">
        <v>0.20772658167489619</v>
      </c>
      <c r="AH1117" s="15">
        <v>0.20805643490521683</v>
      </c>
      <c r="AI1117" s="15"/>
      <c r="AJ1117" s="41">
        <f t="shared" si="34"/>
        <v>2018.4075031152511</v>
      </c>
      <c r="AK1117" s="44">
        <f t="shared" si="35"/>
        <v>9.3308794495380334E-2</v>
      </c>
      <c r="AL1117" s="10"/>
      <c r="AM1117" s="10"/>
    </row>
    <row r="1118" spans="1:39" s="16" customFormat="1" ht="19" customHeight="1">
      <c r="A1118" s="9" t="s">
        <v>1152</v>
      </c>
      <c r="B1118" s="10" t="s">
        <v>1114</v>
      </c>
      <c r="C1118" s="10"/>
      <c r="D1118" s="10"/>
      <c r="E1118" s="11" t="s">
        <v>1341</v>
      </c>
      <c r="F1118" s="11" t="s">
        <v>249</v>
      </c>
      <c r="G1118" s="12" t="s">
        <v>1006</v>
      </c>
      <c r="H1118" s="13">
        <v>1.7453309057418414</v>
      </c>
      <c r="I1118" s="13"/>
      <c r="J1118" s="13">
        <v>269.95346385738492</v>
      </c>
      <c r="K1118" s="13">
        <v>776.39796816956948</v>
      </c>
      <c r="L1118" s="13">
        <v>113.96580090102715</v>
      </c>
      <c r="M1118" s="13">
        <v>139.6005639167509</v>
      </c>
      <c r="N1118" s="13">
        <v>642.80883565532542</v>
      </c>
      <c r="O1118" s="13">
        <v>182.60625265461456</v>
      </c>
      <c r="P1118" s="13">
        <v>15.19681114347892</v>
      </c>
      <c r="Q1118" s="13">
        <v>234.92949180132459</v>
      </c>
      <c r="R1118" s="13"/>
      <c r="S1118" s="13">
        <v>192.70043774218038</v>
      </c>
      <c r="T1118" s="13">
        <v>1022.9915470853972</v>
      </c>
      <c r="U1118" s="13"/>
      <c r="V1118" s="13"/>
      <c r="W1118" s="13"/>
      <c r="X1118" s="13">
        <v>51.479422537679397</v>
      </c>
      <c r="Y1118" s="13">
        <v>6.8154635009381792</v>
      </c>
      <c r="Z1118" s="13">
        <v>409.86808149579616</v>
      </c>
      <c r="AA1118" s="13"/>
      <c r="AB1118" s="13"/>
      <c r="AC1118" s="14">
        <v>1233.8260314500985</v>
      </c>
      <c r="AD1118" s="14">
        <v>269.92559757511407</v>
      </c>
      <c r="AE1118" s="14">
        <v>1180.5502100569074</v>
      </c>
      <c r="AF1118" s="14"/>
      <c r="AG1118" s="15">
        <v>0.22359861974671508</v>
      </c>
      <c r="AH1118" s="15">
        <v>0.22365307605126492</v>
      </c>
      <c r="AI1118" s="15"/>
      <c r="AJ1118" s="41">
        <f t="shared" si="34"/>
        <v>1803.1260685833072</v>
      </c>
      <c r="AK1118" s="44">
        <f t="shared" si="35"/>
        <v>0.13646306688895576</v>
      </c>
      <c r="AL1118" s="10"/>
      <c r="AM1118" s="10"/>
    </row>
    <row r="1119" spans="1:39" s="16" customFormat="1" ht="19" customHeight="1">
      <c r="A1119" s="9" t="s">
        <v>1153</v>
      </c>
      <c r="B1119" s="10" t="s">
        <v>1114</v>
      </c>
      <c r="C1119" s="10"/>
      <c r="D1119" s="10"/>
      <c r="E1119" s="11" t="s">
        <v>1341</v>
      </c>
      <c r="F1119" s="11" t="s">
        <v>249</v>
      </c>
      <c r="G1119" s="12" t="s">
        <v>1006</v>
      </c>
      <c r="H1119" s="13">
        <v>0.35</v>
      </c>
      <c r="I1119" s="13"/>
      <c r="J1119" s="13">
        <v>271.92533003496004</v>
      </c>
      <c r="K1119" s="13">
        <v>889.73219719206782</v>
      </c>
      <c r="L1119" s="13">
        <v>143.78036727996397</v>
      </c>
      <c r="M1119" s="13">
        <v>147.06252850365865</v>
      </c>
      <c r="N1119" s="13">
        <v>763.58588842733013</v>
      </c>
      <c r="O1119" s="13">
        <v>224.68253588338985</v>
      </c>
      <c r="P1119" s="13">
        <v>24.671715401934755</v>
      </c>
      <c r="Q1119" s="13">
        <v>268.77322133718894</v>
      </c>
      <c r="R1119" s="13"/>
      <c r="S1119" s="13">
        <v>239.22797287344787</v>
      </c>
      <c r="T1119" s="13">
        <v>1344.566597034787</v>
      </c>
      <c r="U1119" s="13"/>
      <c r="V1119" s="13"/>
      <c r="W1119" s="13"/>
      <c r="X1119" s="13">
        <v>77.307061058715902</v>
      </c>
      <c r="Y1119" s="13">
        <v>9.9595768182808548</v>
      </c>
      <c r="Z1119" s="13">
        <v>446.08960289470247</v>
      </c>
      <c r="AA1119" s="13"/>
      <c r="AB1119" s="13"/>
      <c r="AC1119" s="14">
        <v>1518.1252424553368</v>
      </c>
      <c r="AD1119" s="14">
        <v>438.21874603791753</v>
      </c>
      <c r="AE1119" s="14">
        <v>1350.6192026994418</v>
      </c>
      <c r="AF1119" s="14"/>
      <c r="AG1119" s="15">
        <v>0.30551257138157117</v>
      </c>
      <c r="AH1119" s="15">
        <v>0.30603471329681498</v>
      </c>
      <c r="AI1119" s="15"/>
      <c r="AJ1119" s="41">
        <f t="shared" si="34"/>
        <v>2069.0237829343218</v>
      </c>
      <c r="AK1119" s="44">
        <f t="shared" si="35"/>
        <v>0.10937541422491087</v>
      </c>
      <c r="AL1119" s="10"/>
      <c r="AM1119" s="10"/>
    </row>
    <row r="1120" spans="1:39" s="16" customFormat="1" ht="19" customHeight="1">
      <c r="A1120" s="9" t="s">
        <v>1154</v>
      </c>
      <c r="B1120" s="10" t="s">
        <v>1114</v>
      </c>
      <c r="C1120" s="10"/>
      <c r="D1120" s="10"/>
      <c r="E1120" s="11" t="s">
        <v>1341</v>
      </c>
      <c r="F1120" s="11" t="s">
        <v>249</v>
      </c>
      <c r="G1120" s="12" t="s">
        <v>1006</v>
      </c>
      <c r="H1120" s="13">
        <v>1.7177602966342476</v>
      </c>
      <c r="I1120" s="13"/>
      <c r="J1120" s="13">
        <v>219.41746069978763</v>
      </c>
      <c r="K1120" s="13">
        <v>683.1076181613804</v>
      </c>
      <c r="L1120" s="13">
        <v>113.95436435834287</v>
      </c>
      <c r="M1120" s="13">
        <v>163.4643439045754</v>
      </c>
      <c r="N1120" s="13">
        <v>614.58115624507218</v>
      </c>
      <c r="O1120" s="13">
        <v>184.51409986394239</v>
      </c>
      <c r="P1120" s="13">
        <v>22.783681807794679</v>
      </c>
      <c r="Q1120" s="13">
        <v>230.07118388739335</v>
      </c>
      <c r="R1120" s="13"/>
      <c r="S1120" s="13">
        <v>193.25541994771461</v>
      </c>
      <c r="T1120" s="13">
        <v>1064.8445071070244</v>
      </c>
      <c r="U1120" s="13"/>
      <c r="V1120" s="13"/>
      <c r="W1120" s="13"/>
      <c r="X1120" s="13">
        <v>58.377432153071929</v>
      </c>
      <c r="Y1120" s="13">
        <v>8.0005394252013797</v>
      </c>
      <c r="Z1120" s="13">
        <v>459.58570271417858</v>
      </c>
      <c r="AA1120" s="13"/>
      <c r="AB1120" s="13"/>
      <c r="AC1120" s="14">
        <v>1246.7168909725838</v>
      </c>
      <c r="AD1120" s="14">
        <v>404.68351345994103</v>
      </c>
      <c r="AE1120" s="14">
        <v>1156.1366024492127</v>
      </c>
      <c r="AF1120" s="14"/>
      <c r="AG1120" s="15">
        <v>0.33683577843412277</v>
      </c>
      <c r="AH1120" s="15">
        <v>0.33707536596222709</v>
      </c>
      <c r="AI1120" s="15"/>
      <c r="AJ1120" s="41">
        <f t="shared" si="34"/>
        <v>1631.060599464583</v>
      </c>
      <c r="AK1120" s="44">
        <f t="shared" si="35"/>
        <v>0.15351005974447504</v>
      </c>
      <c r="AL1120" s="10"/>
      <c r="AM1120" s="10"/>
    </row>
    <row r="1121" spans="1:39" s="16" customFormat="1" ht="19" customHeight="1">
      <c r="A1121" s="9" t="s">
        <v>1155</v>
      </c>
      <c r="B1121" s="10" t="s">
        <v>1114</v>
      </c>
      <c r="C1121" s="10"/>
      <c r="D1121" s="10"/>
      <c r="E1121" s="11" t="s">
        <v>1341</v>
      </c>
      <c r="F1121" s="11" t="s">
        <v>249</v>
      </c>
      <c r="G1121" s="12" t="s">
        <v>1006</v>
      </c>
      <c r="H1121" s="13">
        <v>5.9264215936056281</v>
      </c>
      <c r="I1121" s="13"/>
      <c r="J1121" s="13">
        <v>371.54751372537277</v>
      </c>
      <c r="K1121" s="13">
        <v>907.29372258459307</v>
      </c>
      <c r="L1121" s="13">
        <v>129.52883098644187</v>
      </c>
      <c r="M1121" s="13">
        <v>142.59654551330377</v>
      </c>
      <c r="N1121" s="13">
        <v>625.98570420268516</v>
      </c>
      <c r="O1121" s="13">
        <v>161.88083243336612</v>
      </c>
      <c r="P1121" s="13">
        <v>14.538107754207108</v>
      </c>
      <c r="Q1121" s="13">
        <v>198.92582854854962</v>
      </c>
      <c r="R1121" s="13"/>
      <c r="S1121" s="13">
        <v>165.59424938507374</v>
      </c>
      <c r="T1121" s="13">
        <v>852.74025707466478</v>
      </c>
      <c r="U1121" s="13"/>
      <c r="V1121" s="13"/>
      <c r="W1121" s="13"/>
      <c r="X1121" s="13">
        <v>43.431918787802402</v>
      </c>
      <c r="Y1121" s="13">
        <v>5.9329316932698015</v>
      </c>
      <c r="Z1121" s="13">
        <v>433.02387298000224</v>
      </c>
      <c r="AA1121" s="13"/>
      <c r="AB1121" s="13"/>
      <c r="AC1121" s="14">
        <v>1093.789408333555</v>
      </c>
      <c r="AD1121" s="14">
        <v>258.22571499479767</v>
      </c>
      <c r="AE1121" s="14">
        <v>999.62727913844026</v>
      </c>
      <c r="AF1121" s="14"/>
      <c r="AG1121" s="15">
        <v>0.24670264313850521</v>
      </c>
      <c r="AH1121" s="15">
        <v>0.2469525882215132</v>
      </c>
      <c r="AI1121" s="15"/>
      <c r="AJ1121" s="41">
        <f t="shared" si="34"/>
        <v>2034.3557714990927</v>
      </c>
      <c r="AK1121" s="44">
        <f t="shared" si="35"/>
        <v>0.16722154762867986</v>
      </c>
      <c r="AL1121" s="10"/>
      <c r="AM1121" s="10"/>
    </row>
    <row r="1122" spans="1:39" s="16" customFormat="1" ht="19" customHeight="1">
      <c r="A1122" s="9" t="s">
        <v>1156</v>
      </c>
      <c r="B1122" s="10" t="s">
        <v>1114</v>
      </c>
      <c r="C1122" s="10"/>
      <c r="D1122" s="10"/>
      <c r="E1122" s="11" t="s">
        <v>1341</v>
      </c>
      <c r="F1122" s="11" t="s">
        <v>249</v>
      </c>
      <c r="G1122" s="12" t="s">
        <v>1006</v>
      </c>
      <c r="H1122" s="13">
        <v>0.87088032850523545</v>
      </c>
      <c r="I1122" s="13">
        <v>0.45212309832192576</v>
      </c>
      <c r="J1122" s="13">
        <v>224.09622345395763</v>
      </c>
      <c r="K1122" s="13">
        <v>862.35750925559216</v>
      </c>
      <c r="L1122" s="13">
        <v>153.82780762533622</v>
      </c>
      <c r="M1122" s="13">
        <v>204.76335001531584</v>
      </c>
      <c r="N1122" s="13">
        <v>860.81211715052575</v>
      </c>
      <c r="O1122" s="13">
        <v>272.09008425346059</v>
      </c>
      <c r="P1122" s="13">
        <v>41.401021098841291</v>
      </c>
      <c r="Q1122" s="13">
        <v>332.24956056757941</v>
      </c>
      <c r="R1122" s="13"/>
      <c r="S1122" s="13">
        <v>308.54169392143137</v>
      </c>
      <c r="T1122" s="13">
        <v>1746.5609506852977</v>
      </c>
      <c r="U1122" s="13"/>
      <c r="V1122" s="13"/>
      <c r="W1122" s="13"/>
      <c r="X1122" s="13">
        <v>99.61358909487997</v>
      </c>
      <c r="Y1122" s="13">
        <v>11.981276864432594</v>
      </c>
      <c r="Z1122" s="13">
        <v>662.77486058107615</v>
      </c>
      <c r="AA1122" s="13"/>
      <c r="AB1122" s="13"/>
      <c r="AC1122" s="14">
        <v>1838.4465152260852</v>
      </c>
      <c r="AD1122" s="14">
        <v>735.36449553892169</v>
      </c>
      <c r="AE1122" s="14">
        <v>1669.5957817466301</v>
      </c>
      <c r="AF1122" s="14"/>
      <c r="AG1122" s="15">
        <v>0.41924494249884536</v>
      </c>
      <c r="AH1122" s="15">
        <v>0.4197314275600984</v>
      </c>
      <c r="AI1122" s="15"/>
      <c r="AJ1122" s="41">
        <f t="shared" si="34"/>
        <v>2101.0936574854118</v>
      </c>
      <c r="AK1122" s="44">
        <f t="shared" si="35"/>
        <v>0.11723802134415801</v>
      </c>
      <c r="AL1122" s="10"/>
      <c r="AM1122" s="10"/>
    </row>
    <row r="1123" spans="1:39" s="16" customFormat="1" ht="19" customHeight="1">
      <c r="A1123" s="9" t="s">
        <v>1157</v>
      </c>
      <c r="B1123" s="10" t="s">
        <v>1114</v>
      </c>
      <c r="C1123" s="10"/>
      <c r="D1123" s="10"/>
      <c r="E1123" s="11" t="s">
        <v>1341</v>
      </c>
      <c r="F1123" s="11" t="s">
        <v>249</v>
      </c>
      <c r="G1123" s="12" t="s">
        <v>1006</v>
      </c>
      <c r="H1123" s="13">
        <v>1.2781343582204772</v>
      </c>
      <c r="I1123" s="13">
        <v>0.53628052337632226</v>
      </c>
      <c r="J1123" s="13">
        <v>310.89004551309699</v>
      </c>
      <c r="K1123" s="13">
        <v>1047.1844717648951</v>
      </c>
      <c r="L1123" s="13">
        <v>183.07353520278841</v>
      </c>
      <c r="M1123" s="13">
        <v>187.47200965415294</v>
      </c>
      <c r="N1123" s="13">
        <v>1042.1979669863028</v>
      </c>
      <c r="O1123" s="13">
        <v>317.16656210043897</v>
      </c>
      <c r="P1123" s="13">
        <v>48.744922214156368</v>
      </c>
      <c r="Q1123" s="13">
        <v>408.04003376869002</v>
      </c>
      <c r="R1123" s="13"/>
      <c r="S1123" s="13">
        <v>375.72754864325952</v>
      </c>
      <c r="T1123" s="13">
        <v>2001.3506952692833</v>
      </c>
      <c r="U1123" s="13"/>
      <c r="V1123" s="13"/>
      <c r="W1123" s="13"/>
      <c r="X1123" s="13">
        <v>117.70384032315492</v>
      </c>
      <c r="Y1123" s="13">
        <v>14.574630879670352</v>
      </c>
      <c r="Z1123" s="13">
        <v>576.53141027999254</v>
      </c>
      <c r="AA1123" s="13"/>
      <c r="AB1123" s="13"/>
      <c r="AC1123" s="14">
        <v>2143.0173114894524</v>
      </c>
      <c r="AD1123" s="14">
        <v>865.80678888377213</v>
      </c>
      <c r="AE1123" s="14">
        <v>2050.4524309984422</v>
      </c>
      <c r="AF1123" s="14"/>
      <c r="AG1123" s="15">
        <v>0.41293098176504683</v>
      </c>
      <c r="AH1123" s="15">
        <v>0.41303161737325816</v>
      </c>
      <c r="AI1123" s="15"/>
      <c r="AJ1123" s="41">
        <f t="shared" si="34"/>
        <v>2583.3460194670834</v>
      </c>
      <c r="AK1123" s="44">
        <f t="shared" si="35"/>
        <v>9.3672743161551927E-2</v>
      </c>
      <c r="AL1123" s="10"/>
      <c r="AM1123" s="10"/>
    </row>
    <row r="1124" spans="1:39" s="16" customFormat="1" ht="19" customHeight="1">
      <c r="A1124" s="9" t="s">
        <v>1158</v>
      </c>
      <c r="B1124" s="10" t="s">
        <v>1114</v>
      </c>
      <c r="C1124" s="10"/>
      <c r="D1124" s="10"/>
      <c r="E1124" s="11" t="s">
        <v>1341</v>
      </c>
      <c r="F1124" s="11" t="s">
        <v>249</v>
      </c>
      <c r="G1124" s="12" t="s">
        <v>1006</v>
      </c>
      <c r="H1124" s="13">
        <v>0.7873481477898171</v>
      </c>
      <c r="I1124" s="13">
        <v>0.54025621185721595</v>
      </c>
      <c r="J1124" s="13">
        <v>202.94563603069508</v>
      </c>
      <c r="K1124" s="13">
        <v>763.47591970531516</v>
      </c>
      <c r="L1124" s="13">
        <v>144.36331637085402</v>
      </c>
      <c r="M1124" s="13">
        <v>205.24661786525607</v>
      </c>
      <c r="N1124" s="13">
        <v>856.63582535364185</v>
      </c>
      <c r="O1124" s="13">
        <v>270.76321627574936</v>
      </c>
      <c r="P1124" s="13">
        <v>49.064572445388706</v>
      </c>
      <c r="Q1124" s="13">
        <v>376.15756557469712</v>
      </c>
      <c r="R1124" s="13"/>
      <c r="S1124" s="13">
        <v>321.40681415095116</v>
      </c>
      <c r="T1124" s="13">
        <v>1729.9999761196602</v>
      </c>
      <c r="U1124" s="13"/>
      <c r="V1124" s="13"/>
      <c r="W1124" s="13"/>
      <c r="X1124" s="13">
        <v>109.89439256513113</v>
      </c>
      <c r="Y1124" s="13">
        <v>14.858494744392697</v>
      </c>
      <c r="Z1124" s="13">
        <v>644.68836379543666</v>
      </c>
      <c r="AA1124" s="13"/>
      <c r="AB1124" s="13"/>
      <c r="AC1124" s="14">
        <v>1829.4811910523606</v>
      </c>
      <c r="AD1124" s="14">
        <v>871.48441288434651</v>
      </c>
      <c r="AE1124" s="14">
        <v>1890.2390229884277</v>
      </c>
      <c r="AF1124" s="14"/>
      <c r="AG1124" s="15">
        <v>0.46857524907102616</v>
      </c>
      <c r="AH1124" s="15">
        <v>0.4686377692551672</v>
      </c>
      <c r="AI1124" s="15"/>
      <c r="AJ1124" s="41">
        <f t="shared" si="34"/>
        <v>1967.4206974605063</v>
      </c>
      <c r="AK1124" s="44">
        <f t="shared" si="35"/>
        <v>0.11863966514359051</v>
      </c>
      <c r="AL1124" s="10"/>
      <c r="AM1124" s="10"/>
    </row>
    <row r="1125" spans="1:39" s="16" customFormat="1" ht="19" customHeight="1">
      <c r="A1125" s="9" t="s">
        <v>1159</v>
      </c>
      <c r="B1125" s="10" t="s">
        <v>1114</v>
      </c>
      <c r="C1125" s="10"/>
      <c r="D1125" s="10"/>
      <c r="E1125" s="11" t="s">
        <v>1341</v>
      </c>
      <c r="F1125" s="11" t="s">
        <v>249</v>
      </c>
      <c r="G1125" s="12" t="s">
        <v>1006</v>
      </c>
      <c r="H1125" s="13">
        <v>1.6784042767892819</v>
      </c>
      <c r="I1125" s="13">
        <v>0.79628056924791368</v>
      </c>
      <c r="J1125" s="13">
        <v>223.14321823672842</v>
      </c>
      <c r="K1125" s="13">
        <v>832.82184544367431</v>
      </c>
      <c r="L1125" s="13">
        <v>153.1808921787669</v>
      </c>
      <c r="M1125" s="13">
        <v>185.74739813286405</v>
      </c>
      <c r="N1125" s="13">
        <v>877.00548897164799</v>
      </c>
      <c r="O1125" s="13">
        <v>281.79905053084497</v>
      </c>
      <c r="P1125" s="13">
        <v>46.594306023055012</v>
      </c>
      <c r="Q1125" s="13">
        <v>354.86519723844327</v>
      </c>
      <c r="R1125" s="13"/>
      <c r="S1125" s="13">
        <v>318.66204207601584</v>
      </c>
      <c r="T1125" s="13">
        <v>1738.0829443177176</v>
      </c>
      <c r="U1125" s="13"/>
      <c r="V1125" s="13"/>
      <c r="W1125" s="13"/>
      <c r="X1125" s="13">
        <v>108.27459230550242</v>
      </c>
      <c r="Y1125" s="13">
        <v>14.684531226276324</v>
      </c>
      <c r="Z1125" s="13">
        <v>637.37650911576168</v>
      </c>
      <c r="AA1125" s="13"/>
      <c r="AB1125" s="13"/>
      <c r="AC1125" s="14">
        <v>1904.0476387219255</v>
      </c>
      <c r="AD1125" s="14">
        <v>827.607567016963</v>
      </c>
      <c r="AE1125" s="14">
        <v>1783.2421971781068</v>
      </c>
      <c r="AF1125" s="14"/>
      <c r="AG1125" s="15">
        <v>0.44889748506301069</v>
      </c>
      <c r="AH1125" s="15">
        <v>0.44913860072225859</v>
      </c>
      <c r="AI1125" s="15"/>
      <c r="AJ1125" s="41">
        <f t="shared" si="34"/>
        <v>2086.1514448308176</v>
      </c>
      <c r="AK1125" s="44">
        <f t="shared" si="35"/>
        <v>0.1068691219484804</v>
      </c>
      <c r="AL1125" s="10"/>
      <c r="AM1125" s="10"/>
    </row>
    <row r="1126" spans="1:39" s="16" customFormat="1" ht="19" customHeight="1">
      <c r="A1126" s="9" t="s">
        <v>1160</v>
      </c>
      <c r="B1126" s="10" t="s">
        <v>1114</v>
      </c>
      <c r="C1126" s="10"/>
      <c r="D1126" s="10"/>
      <c r="E1126" s="11" t="s">
        <v>1341</v>
      </c>
      <c r="F1126" s="11" t="s">
        <v>249</v>
      </c>
      <c r="G1126" s="12" t="s">
        <v>1006</v>
      </c>
      <c r="H1126" s="13">
        <v>1.8793633256118256</v>
      </c>
      <c r="I1126" s="13">
        <v>1.4438644419410342</v>
      </c>
      <c r="J1126" s="13">
        <v>262.23147016515026</v>
      </c>
      <c r="K1126" s="13">
        <v>967.26317175945178</v>
      </c>
      <c r="L1126" s="13">
        <v>175.854002705873</v>
      </c>
      <c r="M1126" s="13">
        <v>180.98008623871013</v>
      </c>
      <c r="N1126" s="13">
        <v>985.11831489882968</v>
      </c>
      <c r="O1126" s="13">
        <v>322.98223476061139</v>
      </c>
      <c r="P1126" s="13">
        <v>49.592643919974797</v>
      </c>
      <c r="Q1126" s="13">
        <v>415.17996597584846</v>
      </c>
      <c r="R1126" s="13"/>
      <c r="S1126" s="13">
        <v>381.73282582727143</v>
      </c>
      <c r="T1126" s="13">
        <v>1969.6770946247339</v>
      </c>
      <c r="U1126" s="13"/>
      <c r="V1126" s="13"/>
      <c r="W1126" s="13"/>
      <c r="X1126" s="13">
        <v>125.58912801533779</v>
      </c>
      <c r="Y1126" s="13">
        <v>15.514051199257421</v>
      </c>
      <c r="Z1126" s="13">
        <v>576.00065064454213</v>
      </c>
      <c r="AA1126" s="13"/>
      <c r="AB1126" s="13"/>
      <c r="AC1126" s="14">
        <v>2182.3123970311581</v>
      </c>
      <c r="AD1126" s="14">
        <v>880.86401278818471</v>
      </c>
      <c r="AE1126" s="14">
        <v>2086.3314873158215</v>
      </c>
      <c r="AF1126" s="14"/>
      <c r="AG1126" s="15">
        <v>0.41271375015296691</v>
      </c>
      <c r="AH1126" s="15">
        <v>0.4128181196361036</v>
      </c>
      <c r="AI1126" s="15"/>
      <c r="AJ1126" s="41">
        <f t="shared" si="34"/>
        <v>2390.4669595293049</v>
      </c>
      <c r="AK1126" s="44">
        <f t="shared" si="35"/>
        <v>9.1883124768321861E-2</v>
      </c>
      <c r="AL1126" s="10"/>
      <c r="AM1126" s="10"/>
    </row>
    <row r="1127" spans="1:39" s="16" customFormat="1" ht="19" customHeight="1">
      <c r="A1127" s="9" t="s">
        <v>1161</v>
      </c>
      <c r="B1127" s="10" t="s">
        <v>1114</v>
      </c>
      <c r="C1127" s="10"/>
      <c r="D1127" s="10"/>
      <c r="E1127" s="11" t="s">
        <v>1341</v>
      </c>
      <c r="F1127" s="11" t="s">
        <v>249</v>
      </c>
      <c r="G1127" s="12" t="s">
        <v>1006</v>
      </c>
      <c r="H1127" s="13">
        <v>1.9366660504821718</v>
      </c>
      <c r="I1127" s="13">
        <v>1.0524752665950232</v>
      </c>
      <c r="J1127" s="13">
        <v>242.75928361315547</v>
      </c>
      <c r="K1127" s="13">
        <v>902.61047071852965</v>
      </c>
      <c r="L1127" s="13">
        <v>166.76950610304519</v>
      </c>
      <c r="M1127" s="13">
        <v>189.88889248034519</v>
      </c>
      <c r="N1127" s="13">
        <v>946.83813601984991</v>
      </c>
      <c r="O1127" s="13">
        <v>308.65241029055744</v>
      </c>
      <c r="P1127" s="13">
        <v>49.715279854031778</v>
      </c>
      <c r="Q1127" s="13">
        <v>409.07195141116341</v>
      </c>
      <c r="R1127" s="13"/>
      <c r="S1127" s="13">
        <v>358.01232840017627</v>
      </c>
      <c r="T1127" s="13">
        <v>1967.6274635774166</v>
      </c>
      <c r="U1127" s="13"/>
      <c r="V1127" s="13"/>
      <c r="W1127" s="13"/>
      <c r="X1127" s="13">
        <v>117.78051779848072</v>
      </c>
      <c r="Y1127" s="13">
        <v>16.19083102985903</v>
      </c>
      <c r="Z1127" s="13">
        <v>598.85955998597024</v>
      </c>
      <c r="AA1127" s="13"/>
      <c r="AB1127" s="13"/>
      <c r="AC1127" s="14">
        <v>2085.4892587199829</v>
      </c>
      <c r="AD1127" s="14">
        <v>883.04227094194994</v>
      </c>
      <c r="AE1127" s="14">
        <v>2055.6379467897659</v>
      </c>
      <c r="AF1127" s="14"/>
      <c r="AG1127" s="15">
        <v>0.42647435208803375</v>
      </c>
      <c r="AH1127" s="15">
        <v>0.42648543284809509</v>
      </c>
      <c r="AI1127" s="15"/>
      <c r="AJ1127" s="41">
        <f t="shared" si="34"/>
        <v>2258.9773964545802</v>
      </c>
      <c r="AK1127" s="44">
        <f t="shared" si="35"/>
        <v>9.6506526766556272E-2</v>
      </c>
      <c r="AL1127" s="10"/>
      <c r="AM1127" s="10"/>
    </row>
    <row r="1128" spans="1:39" s="16" customFormat="1" ht="19" customHeight="1">
      <c r="A1128" s="9" t="s">
        <v>1162</v>
      </c>
      <c r="B1128" s="10" t="s">
        <v>1114</v>
      </c>
      <c r="C1128" s="10"/>
      <c r="D1128" s="10"/>
      <c r="E1128" s="11" t="s">
        <v>1341</v>
      </c>
      <c r="F1128" s="11" t="s">
        <v>249</v>
      </c>
      <c r="G1128" s="12" t="s">
        <v>1006</v>
      </c>
      <c r="H1128" s="13">
        <v>0.90043005478780402</v>
      </c>
      <c r="I1128" s="13">
        <v>0.54635276087390661</v>
      </c>
      <c r="J1128" s="13">
        <v>206.81363085787555</v>
      </c>
      <c r="K1128" s="13">
        <v>793.02804340700357</v>
      </c>
      <c r="L1128" s="13">
        <v>139.88167378015856</v>
      </c>
      <c r="M1128" s="13">
        <v>191.23148026060977</v>
      </c>
      <c r="N1128" s="13">
        <v>840.67482624819468</v>
      </c>
      <c r="O1128" s="13">
        <v>268.76384351862492</v>
      </c>
      <c r="P1128" s="13">
        <v>44.94558029909436</v>
      </c>
      <c r="Q1128" s="13">
        <v>355.80325597569833</v>
      </c>
      <c r="R1128" s="13"/>
      <c r="S1128" s="13">
        <v>307.69194046414623</v>
      </c>
      <c r="T1128" s="13">
        <v>1652.2360356462941</v>
      </c>
      <c r="U1128" s="13"/>
      <c r="V1128" s="13"/>
      <c r="W1128" s="13"/>
      <c r="X1128" s="13">
        <v>104.67154615245784</v>
      </c>
      <c r="Y1128" s="13">
        <v>13.846791932879494</v>
      </c>
      <c r="Z1128" s="13">
        <v>625.12081512248324</v>
      </c>
      <c r="AA1128" s="13"/>
      <c r="AB1128" s="13"/>
      <c r="AC1128" s="14">
        <v>1815.9719156663848</v>
      </c>
      <c r="AD1128" s="14">
        <v>798.32291827876315</v>
      </c>
      <c r="AE1128" s="14">
        <v>1787.9560601793885</v>
      </c>
      <c r="AF1128" s="14"/>
      <c r="AG1128" s="15">
        <v>0.44302934111296272</v>
      </c>
      <c r="AH1128" s="15">
        <v>0.44304272794298699</v>
      </c>
      <c r="AI1128" s="15"/>
      <c r="AJ1128" s="41">
        <f t="shared" si="34"/>
        <v>1980.3981742932324</v>
      </c>
      <c r="AK1128" s="44">
        <f t="shared" si="35"/>
        <v>0.11574101770865143</v>
      </c>
      <c r="AL1128" s="10"/>
      <c r="AM1128" s="10"/>
    </row>
    <row r="1129" spans="1:39" s="16" customFormat="1" ht="19" customHeight="1">
      <c r="A1129" s="9" t="s">
        <v>1163</v>
      </c>
      <c r="B1129" s="10" t="s">
        <v>1114</v>
      </c>
      <c r="C1129" s="10"/>
      <c r="D1129" s="10"/>
      <c r="E1129" s="11" t="s">
        <v>1341</v>
      </c>
      <c r="F1129" s="11" t="s">
        <v>249</v>
      </c>
      <c r="G1129" s="12" t="s">
        <v>1006</v>
      </c>
      <c r="H1129" s="13">
        <v>2.2426009207456885</v>
      </c>
      <c r="I1129" s="13">
        <v>1.6902558729701895</v>
      </c>
      <c r="J1129" s="13">
        <v>254.54288621395125</v>
      </c>
      <c r="K1129" s="13">
        <v>999.12461956868515</v>
      </c>
      <c r="L1129" s="13">
        <v>179.03293456443797</v>
      </c>
      <c r="M1129" s="13">
        <v>226.90576011554828</v>
      </c>
      <c r="N1129" s="13">
        <v>1051.3119386393203</v>
      </c>
      <c r="O1129" s="13">
        <v>328.5374092741514</v>
      </c>
      <c r="P1129" s="13">
        <v>51.848174020767281</v>
      </c>
      <c r="Q1129" s="13">
        <v>430.63373583114969</v>
      </c>
      <c r="R1129" s="13"/>
      <c r="S1129" s="13">
        <v>390.63807528837447</v>
      </c>
      <c r="T1129" s="13">
        <v>2025.4612812948894</v>
      </c>
      <c r="U1129" s="13"/>
      <c r="V1129" s="13"/>
      <c r="W1129" s="13"/>
      <c r="X1129" s="13">
        <v>132.23995673163063</v>
      </c>
      <c r="Y1129" s="13">
        <v>17.3317223035815</v>
      </c>
      <c r="Z1129" s="13">
        <v>573.74009147953188</v>
      </c>
      <c r="AA1129" s="13"/>
      <c r="AB1129" s="13"/>
      <c r="AC1129" s="14">
        <v>2219.8473599604827</v>
      </c>
      <c r="AD1129" s="14">
        <v>920.92671440083984</v>
      </c>
      <c r="AE1129" s="14">
        <v>2163.9886222670839</v>
      </c>
      <c r="AF1129" s="14"/>
      <c r="AG1129" s="15">
        <v>0.42014651922852625</v>
      </c>
      <c r="AH1129" s="15">
        <v>0.42018063045242232</v>
      </c>
      <c r="AI1129" s="15"/>
      <c r="AJ1129" s="41">
        <f t="shared" si="34"/>
        <v>2484.0123789863947</v>
      </c>
      <c r="AK1129" s="44">
        <f t="shared" si="35"/>
        <v>0.11202670829159769</v>
      </c>
      <c r="AL1129" s="10"/>
      <c r="AM1129" s="10"/>
    </row>
    <row r="1130" spans="1:39" s="16" customFormat="1" ht="19" customHeight="1">
      <c r="A1130" s="9" t="s">
        <v>1164</v>
      </c>
      <c r="B1130" s="10" t="s">
        <v>1165</v>
      </c>
      <c r="C1130" s="10"/>
      <c r="D1130" s="10"/>
      <c r="E1130" s="38" t="s">
        <v>953</v>
      </c>
      <c r="F1130" s="38" t="s">
        <v>249</v>
      </c>
      <c r="G1130" s="12" t="s">
        <v>1006</v>
      </c>
      <c r="H1130" s="13">
        <v>114.72031085506531</v>
      </c>
      <c r="I1130" s="13">
        <v>7.3268496052768706</v>
      </c>
      <c r="J1130" s="13">
        <v>4448.5052245893157</v>
      </c>
      <c r="K1130" s="13">
        <v>8777.6107859413005</v>
      </c>
      <c r="L1130" s="13">
        <v>788.79813690559536</v>
      </c>
      <c r="M1130" s="13">
        <v>6034.9821290673062</v>
      </c>
      <c r="N1130" s="13">
        <v>2722.3114822007556</v>
      </c>
      <c r="O1130" s="13">
        <v>359.29198852667702</v>
      </c>
      <c r="P1130" s="13">
        <v>64.174809144260351</v>
      </c>
      <c r="Q1130" s="13">
        <v>263.5939200631787</v>
      </c>
      <c r="R1130" s="13"/>
      <c r="S1130" s="13">
        <v>121.4469665262508</v>
      </c>
      <c r="T1130" s="13">
        <v>745.29059747852534</v>
      </c>
      <c r="U1130" s="13"/>
      <c r="V1130" s="13"/>
      <c r="W1130" s="13"/>
      <c r="X1130" s="13">
        <v>44.20420668475608</v>
      </c>
      <c r="Y1130" s="13">
        <v>5.6790143885979383</v>
      </c>
      <c r="Z1130" s="13">
        <v>402.40675248624018</v>
      </c>
      <c r="AA1130" s="13"/>
      <c r="AB1130" s="13"/>
      <c r="AC1130" s="14">
        <v>2427.6485711261962</v>
      </c>
      <c r="AD1130" s="14">
        <v>1139.8722760969868</v>
      </c>
      <c r="AE1130" s="14">
        <v>1324.5925631315513</v>
      </c>
      <c r="AF1130" s="14"/>
      <c r="AG1130" s="15">
        <v>0.60756877573246448</v>
      </c>
      <c r="AH1130" s="15">
        <v>0.6356559634176091</v>
      </c>
      <c r="AI1130" s="15"/>
      <c r="AJ1130" s="41">
        <f t="shared" si="34"/>
        <v>16737.225629636967</v>
      </c>
      <c r="AK1130" s="44">
        <f t="shared" si="35"/>
        <v>8.0974886165006215</v>
      </c>
      <c r="AL1130" s="10"/>
      <c r="AM1130" s="10"/>
    </row>
    <row r="1131" spans="1:39" s="16" customFormat="1" ht="19" customHeight="1">
      <c r="A1131" s="9" t="s">
        <v>1166</v>
      </c>
      <c r="B1131" s="10" t="s">
        <v>1165</v>
      </c>
      <c r="C1131" s="10"/>
      <c r="D1131" s="10"/>
      <c r="E1131" s="38" t="s">
        <v>953</v>
      </c>
      <c r="F1131" s="38" t="s">
        <v>249</v>
      </c>
      <c r="G1131" s="12" t="s">
        <v>1006</v>
      </c>
      <c r="H1131" s="13">
        <v>30.530804177822564</v>
      </c>
      <c r="I1131" s="13">
        <v>4.795970586014719</v>
      </c>
      <c r="J1131" s="13">
        <v>4013.6265002127889</v>
      </c>
      <c r="K1131" s="13">
        <v>7080.5996713658997</v>
      </c>
      <c r="L1131" s="13">
        <v>603.14601772076549</v>
      </c>
      <c r="M1131" s="13">
        <v>4534.8836728242013</v>
      </c>
      <c r="N1131" s="13">
        <v>1980.5476300019168</v>
      </c>
      <c r="O1131" s="13">
        <v>244.85859306886252</v>
      </c>
      <c r="P1131" s="13">
        <v>54.48612537637036</v>
      </c>
      <c r="Q1131" s="13">
        <v>178.74230730316518</v>
      </c>
      <c r="R1131" s="13"/>
      <c r="S1131" s="13">
        <v>87.960686364610453</v>
      </c>
      <c r="T1131" s="13">
        <v>571.06685073858205</v>
      </c>
      <c r="U1131" s="13"/>
      <c r="V1131" s="13"/>
      <c r="W1131" s="13"/>
      <c r="X1131" s="13">
        <v>35.444442916289852</v>
      </c>
      <c r="Y1131" s="13">
        <v>4.671797374885772</v>
      </c>
      <c r="Z1131" s="13">
        <v>532.71510519005801</v>
      </c>
      <c r="AA1131" s="13"/>
      <c r="AB1131" s="13"/>
      <c r="AC1131" s="14">
        <v>1654.4499531679901</v>
      </c>
      <c r="AD1131" s="14">
        <v>967.78197826590349</v>
      </c>
      <c r="AE1131" s="14">
        <v>898.20254926213647</v>
      </c>
      <c r="AF1131" s="14"/>
      <c r="AG1131" s="15">
        <v>0.75825595324437978</v>
      </c>
      <c r="AH1131" s="15">
        <v>0.7938959230814705</v>
      </c>
      <c r="AI1131" s="15"/>
      <c r="AJ1131" s="41">
        <f t="shared" si="34"/>
        <v>13677.919819301371</v>
      </c>
      <c r="AK1131" s="44">
        <f t="shared" si="35"/>
        <v>7.9410732157873758</v>
      </c>
      <c r="AL1131" s="10"/>
      <c r="AM1131" s="10"/>
    </row>
    <row r="1132" spans="1:39" s="16" customFormat="1" ht="19" customHeight="1">
      <c r="A1132" s="9" t="s">
        <v>1167</v>
      </c>
      <c r="B1132" s="10" t="s">
        <v>1165</v>
      </c>
      <c r="C1132" s="10"/>
      <c r="D1132" s="10"/>
      <c r="E1132" s="38" t="s">
        <v>953</v>
      </c>
      <c r="F1132" s="38" t="s">
        <v>249</v>
      </c>
      <c r="G1132" s="12" t="s">
        <v>1006</v>
      </c>
      <c r="H1132" s="13">
        <v>156.66044003366207</v>
      </c>
      <c r="I1132" s="13">
        <v>15.91116091712045</v>
      </c>
      <c r="J1132" s="13">
        <v>5479.0826942519052</v>
      </c>
      <c r="K1132" s="13">
        <v>10755.597042253512</v>
      </c>
      <c r="L1132" s="13">
        <v>928.27620172387321</v>
      </c>
      <c r="M1132" s="13">
        <v>9322.776477053585</v>
      </c>
      <c r="N1132" s="13">
        <v>3091.8579212819704</v>
      </c>
      <c r="O1132" s="13">
        <v>402.99147077204123</v>
      </c>
      <c r="P1132" s="13">
        <v>89.46497491237551</v>
      </c>
      <c r="Q1132" s="13">
        <v>291.29492507441279</v>
      </c>
      <c r="R1132" s="13"/>
      <c r="S1132" s="13">
        <v>136.82304690920552</v>
      </c>
      <c r="T1132" s="13">
        <v>830.96486318656503</v>
      </c>
      <c r="U1132" s="13"/>
      <c r="V1132" s="13"/>
      <c r="W1132" s="13"/>
      <c r="X1132" s="13">
        <v>48.375042361814877</v>
      </c>
      <c r="Y1132" s="13">
        <v>6.2588238356172345</v>
      </c>
      <c r="Z1132" s="13">
        <v>294.35989367735664</v>
      </c>
      <c r="AA1132" s="13"/>
      <c r="AB1132" s="13"/>
      <c r="AC1132" s="14">
        <v>2722.9153430543329</v>
      </c>
      <c r="AD1132" s="14">
        <v>1589.0759309480554</v>
      </c>
      <c r="AE1132" s="14">
        <v>1463.7935933387575</v>
      </c>
      <c r="AF1132" s="14"/>
      <c r="AG1132" s="15">
        <v>0.75910504173574922</v>
      </c>
      <c r="AH1132" s="15">
        <v>0.79595343089321191</v>
      </c>
      <c r="AI1132" s="15"/>
      <c r="AJ1132" s="41">
        <f t="shared" si="34"/>
        <v>20254.813859511261</v>
      </c>
      <c r="AK1132" s="44">
        <f t="shared" si="35"/>
        <v>11.219218633749223</v>
      </c>
      <c r="AL1132" s="10"/>
      <c r="AM1132" s="10"/>
    </row>
    <row r="1133" spans="1:39" s="16" customFormat="1" ht="19" customHeight="1">
      <c r="A1133" s="9" t="s">
        <v>1168</v>
      </c>
      <c r="B1133" s="10" t="s">
        <v>1165</v>
      </c>
      <c r="C1133" s="10"/>
      <c r="D1133" s="10"/>
      <c r="E1133" s="38" t="s">
        <v>953</v>
      </c>
      <c r="F1133" s="38" t="s">
        <v>249</v>
      </c>
      <c r="G1133" s="12" t="s">
        <v>1006</v>
      </c>
      <c r="H1133" s="13">
        <v>123.70198171949848</v>
      </c>
      <c r="I1133" s="13">
        <v>10.553479412459492</v>
      </c>
      <c r="J1133" s="13">
        <v>4660.8961069152056</v>
      </c>
      <c r="K1133" s="13">
        <v>8152.8999480020448</v>
      </c>
      <c r="L1133" s="13">
        <v>745.33821826583107</v>
      </c>
      <c r="M1133" s="13">
        <v>6412.9634688789984</v>
      </c>
      <c r="N1133" s="13">
        <v>2469.9426531821819</v>
      </c>
      <c r="O1133" s="13">
        <v>320.87062610171205</v>
      </c>
      <c r="P1133" s="13">
        <v>59.340677877936393</v>
      </c>
      <c r="Q1133" s="13">
        <v>233.3044388850482</v>
      </c>
      <c r="R1133" s="13"/>
      <c r="S1133" s="13">
        <v>108.7002042632308</v>
      </c>
      <c r="T1133" s="13">
        <v>658.81164660821491</v>
      </c>
      <c r="U1133" s="13"/>
      <c r="V1133" s="13"/>
      <c r="W1133" s="13"/>
      <c r="X1133" s="13">
        <v>39.637356954960033</v>
      </c>
      <c r="Y1133" s="13">
        <v>5.1062614494694047</v>
      </c>
      <c r="Z1133" s="13">
        <v>366.07774153523121</v>
      </c>
      <c r="AA1133" s="13"/>
      <c r="AB1133" s="13"/>
      <c r="AC1133" s="14">
        <v>2168.0447709575137</v>
      </c>
      <c r="AD1133" s="14">
        <v>1054.0084880628135</v>
      </c>
      <c r="AE1133" s="14">
        <v>1172.3841150002422</v>
      </c>
      <c r="AF1133" s="14"/>
      <c r="AG1133" s="15">
        <v>0.63106177323132084</v>
      </c>
      <c r="AH1133" s="15">
        <v>0.66111197297050728</v>
      </c>
      <c r="AI1133" s="15"/>
      <c r="AJ1133" s="41">
        <f t="shared" si="34"/>
        <v>16029.076926365262</v>
      </c>
      <c r="AK1133" s="44">
        <f t="shared" si="35"/>
        <v>9.7341379769090342</v>
      </c>
      <c r="AL1133" s="10"/>
      <c r="AM1133" s="10"/>
    </row>
    <row r="1134" spans="1:39" s="16" customFormat="1" ht="19" customHeight="1">
      <c r="A1134" s="9" t="s">
        <v>1169</v>
      </c>
      <c r="B1134" s="10" t="s">
        <v>1165</v>
      </c>
      <c r="C1134" s="10"/>
      <c r="D1134" s="10"/>
      <c r="E1134" s="38" t="s">
        <v>953</v>
      </c>
      <c r="F1134" s="38" t="s">
        <v>249</v>
      </c>
      <c r="G1134" s="12" t="s">
        <v>1006</v>
      </c>
      <c r="H1134" s="13">
        <v>193.42038209623382</v>
      </c>
      <c r="I1134" s="13">
        <v>13.745756833245304</v>
      </c>
      <c r="J1134" s="13">
        <v>5781.1456019644493</v>
      </c>
      <c r="K1134" s="13">
        <v>11054.237579613718</v>
      </c>
      <c r="L1134" s="13">
        <v>914.02793842737412</v>
      </c>
      <c r="M1134" s="13">
        <v>6859.1862120500282</v>
      </c>
      <c r="N1134" s="13">
        <v>2999.1147742730268</v>
      </c>
      <c r="O1134" s="13">
        <v>365.53985563750081</v>
      </c>
      <c r="P1134" s="13">
        <v>74.545513964358037</v>
      </c>
      <c r="Q1134" s="13">
        <v>267.8794191792357</v>
      </c>
      <c r="R1134" s="13"/>
      <c r="S1134" s="13">
        <v>125.40217605066499</v>
      </c>
      <c r="T1134" s="13">
        <v>821.95931222678644</v>
      </c>
      <c r="U1134" s="13"/>
      <c r="V1134" s="13"/>
      <c r="W1134" s="13"/>
      <c r="X1134" s="13">
        <v>51.425280625566259</v>
      </c>
      <c r="Y1134" s="13">
        <v>6.847835789785492</v>
      </c>
      <c r="Z1134" s="13">
        <v>475.4222557391825</v>
      </c>
      <c r="AA1134" s="13"/>
      <c r="AB1134" s="13"/>
      <c r="AC1134" s="14">
        <v>2469.8638894425731</v>
      </c>
      <c r="AD1134" s="14">
        <v>1324.0766245889529</v>
      </c>
      <c r="AE1134" s="14">
        <v>1346.1277345690235</v>
      </c>
      <c r="AF1134" s="14"/>
      <c r="AG1134" s="15">
        <v>0.69396201829028392</v>
      </c>
      <c r="AH1134" s="15">
        <v>0.72616192236081956</v>
      </c>
      <c r="AI1134" s="15"/>
      <c r="AJ1134" s="41">
        <f t="shared" si="34"/>
        <v>20748.525894278569</v>
      </c>
      <c r="AK1134" s="44">
        <f t="shared" si="35"/>
        <v>8.3449218349600169</v>
      </c>
      <c r="AL1134" s="10"/>
      <c r="AM1134" s="10"/>
    </row>
    <row r="1135" spans="1:39" s="16" customFormat="1" ht="19" customHeight="1">
      <c r="A1135" s="9" t="s">
        <v>1170</v>
      </c>
      <c r="B1135" s="10" t="s">
        <v>1165</v>
      </c>
      <c r="C1135" s="10"/>
      <c r="D1135" s="10"/>
      <c r="E1135" s="38" t="s">
        <v>953</v>
      </c>
      <c r="F1135" s="38" t="s">
        <v>249</v>
      </c>
      <c r="G1135" s="12" t="s">
        <v>1006</v>
      </c>
      <c r="H1135" s="13">
        <v>90.353285786710387</v>
      </c>
      <c r="I1135" s="13">
        <v>8.6980764946636153</v>
      </c>
      <c r="J1135" s="13">
        <v>5500.9147747254829</v>
      </c>
      <c r="K1135" s="13">
        <v>10063.34176614818</v>
      </c>
      <c r="L1135" s="13">
        <v>835.80805189154034</v>
      </c>
      <c r="M1135" s="13">
        <v>4770.6995803595119</v>
      </c>
      <c r="N1135" s="13">
        <v>2727.8676375033533</v>
      </c>
      <c r="O1135" s="13">
        <v>341.23801569060106</v>
      </c>
      <c r="P1135" s="13">
        <v>73.288741282587665</v>
      </c>
      <c r="Q1135" s="13">
        <v>255.76652432397992</v>
      </c>
      <c r="R1135" s="13"/>
      <c r="S1135" s="13">
        <v>120.3551618796552</v>
      </c>
      <c r="T1135" s="13">
        <v>732.17377002329033</v>
      </c>
      <c r="U1135" s="13"/>
      <c r="V1135" s="13"/>
      <c r="W1135" s="13"/>
      <c r="X1135" s="13">
        <v>42.666698971626801</v>
      </c>
      <c r="Y1135" s="13">
        <v>5.6621521476554628</v>
      </c>
      <c r="Z1135" s="13">
        <v>573.72321987596763</v>
      </c>
      <c r="AA1135" s="13"/>
      <c r="AB1135" s="13"/>
      <c r="AC1135" s="14">
        <v>2305.6622681797371</v>
      </c>
      <c r="AD1135" s="14">
        <v>1301.7538416090172</v>
      </c>
      <c r="AE1135" s="14">
        <v>1285.258916200904</v>
      </c>
      <c r="AF1135" s="14"/>
      <c r="AG1135" s="15">
        <v>0.72502501434519373</v>
      </c>
      <c r="AH1135" s="15">
        <v>0.75619832156514044</v>
      </c>
      <c r="AI1135" s="15"/>
      <c r="AJ1135" s="41">
        <f t="shared" si="34"/>
        <v>19127.932230268558</v>
      </c>
      <c r="AK1135" s="44">
        <f t="shared" si="35"/>
        <v>6.5158023623377774</v>
      </c>
      <c r="AL1135" s="10"/>
      <c r="AM1135" s="10"/>
    </row>
    <row r="1136" spans="1:39" s="16" customFormat="1" ht="19" customHeight="1">
      <c r="A1136" s="9" t="s">
        <v>1171</v>
      </c>
      <c r="B1136" s="10" t="s">
        <v>1165</v>
      </c>
      <c r="C1136" s="10"/>
      <c r="D1136" s="10"/>
      <c r="E1136" s="38" t="s">
        <v>953</v>
      </c>
      <c r="F1136" s="38" t="s">
        <v>249</v>
      </c>
      <c r="G1136" s="12" t="s">
        <v>1006</v>
      </c>
      <c r="H1136" s="13">
        <v>146.39203142085256</v>
      </c>
      <c r="I1136" s="13">
        <v>14.583461582862505</v>
      </c>
      <c r="J1136" s="13">
        <v>6555.8713098373764</v>
      </c>
      <c r="K1136" s="13">
        <v>12551.584187352088</v>
      </c>
      <c r="L1136" s="13">
        <v>1046.313143260468</v>
      </c>
      <c r="M1136" s="13">
        <v>5293.772653454067</v>
      </c>
      <c r="N1136" s="13">
        <v>3398.8909846094552</v>
      </c>
      <c r="O1136" s="13">
        <v>427.5893861638591</v>
      </c>
      <c r="P1136" s="13">
        <v>89.136626228220678</v>
      </c>
      <c r="Q1136" s="13">
        <v>306.92199355359969</v>
      </c>
      <c r="R1136" s="13"/>
      <c r="S1136" s="13">
        <v>143.35185168932009</v>
      </c>
      <c r="T1136" s="13">
        <v>922.45601641177893</v>
      </c>
      <c r="U1136" s="13"/>
      <c r="V1136" s="13"/>
      <c r="W1136" s="13"/>
      <c r="X1136" s="13">
        <v>54.119892449400901</v>
      </c>
      <c r="Y1136" s="13">
        <v>6.7932830681416494</v>
      </c>
      <c r="Z1136" s="13">
        <v>577.37711318154732</v>
      </c>
      <c r="AA1136" s="13"/>
      <c r="AB1136" s="13"/>
      <c r="AC1136" s="14">
        <v>2889.1174740801293</v>
      </c>
      <c r="AD1136" s="14">
        <v>1583.2438051193726</v>
      </c>
      <c r="AE1136" s="14">
        <v>1542.3215756462296</v>
      </c>
      <c r="AF1136" s="14"/>
      <c r="AG1136" s="15">
        <v>0.71455064025630122</v>
      </c>
      <c r="AH1136" s="15">
        <v>0.75002843719346091</v>
      </c>
      <c r="AI1136" s="15"/>
      <c r="AJ1136" s="41">
        <f t="shared" si="34"/>
        <v>23552.659625059387</v>
      </c>
      <c r="AK1136" s="44">
        <f t="shared" si="35"/>
        <v>5.7387805589323166</v>
      </c>
      <c r="AL1136" s="10"/>
      <c r="AM1136" s="10"/>
    </row>
    <row r="1137" spans="1:39" s="16" customFormat="1" ht="19" customHeight="1">
      <c r="A1137" s="9" t="s">
        <v>1172</v>
      </c>
      <c r="B1137" s="10" t="s">
        <v>1165</v>
      </c>
      <c r="C1137" s="10"/>
      <c r="D1137" s="10"/>
      <c r="E1137" s="38" t="s">
        <v>953</v>
      </c>
      <c r="F1137" s="38" t="s">
        <v>249</v>
      </c>
      <c r="G1137" s="12" t="s">
        <v>1006</v>
      </c>
      <c r="H1137" s="13">
        <v>42.91116627650748</v>
      </c>
      <c r="I1137" s="13">
        <v>5.9833403528100932</v>
      </c>
      <c r="J1137" s="13">
        <v>4095.716375090431</v>
      </c>
      <c r="K1137" s="13">
        <v>6957.3008845665536</v>
      </c>
      <c r="L1137" s="13">
        <v>629.19302232365987</v>
      </c>
      <c r="M1137" s="13">
        <v>5979.0095959208184</v>
      </c>
      <c r="N1137" s="13">
        <v>2113.4799965863112</v>
      </c>
      <c r="O1137" s="13">
        <v>262.32123874191166</v>
      </c>
      <c r="P1137" s="13">
        <v>57.504715433567611</v>
      </c>
      <c r="Q1137" s="13">
        <v>190.77670464330421</v>
      </c>
      <c r="R1137" s="13"/>
      <c r="S1137" s="13">
        <v>87.137909324687328</v>
      </c>
      <c r="T1137" s="13">
        <v>558.17255327751718</v>
      </c>
      <c r="U1137" s="13"/>
      <c r="V1137" s="13"/>
      <c r="W1137" s="13"/>
      <c r="X1137" s="13">
        <v>32.971992473417323</v>
      </c>
      <c r="Y1137" s="13">
        <v>4.3316661809115873</v>
      </c>
      <c r="Z1137" s="13">
        <v>439.60610757524722</v>
      </c>
      <c r="AA1137" s="13"/>
      <c r="AB1137" s="13"/>
      <c r="AC1137" s="14">
        <v>1772.4408023102139</v>
      </c>
      <c r="AD1137" s="14">
        <v>1021.3981426921424</v>
      </c>
      <c r="AE1137" s="14">
        <v>958.67690775529752</v>
      </c>
      <c r="AF1137" s="14"/>
      <c r="AG1137" s="15">
        <v>0.74797079520065224</v>
      </c>
      <c r="AH1137" s="15">
        <v>0.78356144967259278</v>
      </c>
      <c r="AI1137" s="15"/>
      <c r="AJ1137" s="41">
        <f t="shared" si="34"/>
        <v>13795.690278566955</v>
      </c>
      <c r="AK1137" s="44">
        <f t="shared" si="35"/>
        <v>10.711758506957832</v>
      </c>
      <c r="AL1137" s="10"/>
      <c r="AM1137" s="10"/>
    </row>
    <row r="1138" spans="1:39" s="16" customFormat="1" ht="19" customHeight="1">
      <c r="A1138" s="9" t="s">
        <v>1173</v>
      </c>
      <c r="B1138" s="10" t="s">
        <v>1165</v>
      </c>
      <c r="C1138" s="10"/>
      <c r="D1138" s="10"/>
      <c r="E1138" s="38" t="s">
        <v>953</v>
      </c>
      <c r="F1138" s="38" t="s">
        <v>249</v>
      </c>
      <c r="G1138" s="12" t="s">
        <v>1006</v>
      </c>
      <c r="H1138" s="13">
        <v>130.80228157208396</v>
      </c>
      <c r="I1138" s="13">
        <v>12.918905526904769</v>
      </c>
      <c r="J1138" s="13">
        <v>5842.5309740331468</v>
      </c>
      <c r="K1138" s="13">
        <v>11362.958149987604</v>
      </c>
      <c r="L1138" s="13">
        <v>945.31667183214824</v>
      </c>
      <c r="M1138" s="13">
        <v>5246.7530743165453</v>
      </c>
      <c r="N1138" s="13">
        <v>3013.2315389373935</v>
      </c>
      <c r="O1138" s="13">
        <v>359.27077274578858</v>
      </c>
      <c r="P1138" s="13">
        <v>76.186575602247714</v>
      </c>
      <c r="Q1138" s="13">
        <v>263.41798100687129</v>
      </c>
      <c r="R1138" s="13"/>
      <c r="S1138" s="13">
        <v>127.63882825548544</v>
      </c>
      <c r="T1138" s="13">
        <v>805.01486971893917</v>
      </c>
      <c r="U1138" s="13"/>
      <c r="V1138" s="13"/>
      <c r="W1138" s="13"/>
      <c r="X1138" s="13">
        <v>48.003461792753939</v>
      </c>
      <c r="Y1138" s="13">
        <v>5.7540543799421533</v>
      </c>
      <c r="Z1138" s="13">
        <v>523.74915784093491</v>
      </c>
      <c r="AA1138" s="13"/>
      <c r="AB1138" s="13"/>
      <c r="AC1138" s="14">
        <v>2427.5052212553283</v>
      </c>
      <c r="AD1138" s="14">
        <v>1353.2251439120378</v>
      </c>
      <c r="AE1138" s="14">
        <v>1323.7084472707099</v>
      </c>
      <c r="AF1138" s="14"/>
      <c r="AG1138" s="15">
        <v>0.72148657127481597</v>
      </c>
      <c r="AH1138" s="15">
        <v>0.75490760791791267</v>
      </c>
      <c r="AI1138" s="15"/>
      <c r="AJ1138" s="41">
        <f t="shared" si="34"/>
        <v>21164.037334790293</v>
      </c>
      <c r="AK1138" s="44">
        <f t="shared" si="35"/>
        <v>6.5175852914970172</v>
      </c>
      <c r="AL1138" s="10"/>
      <c r="AM1138" s="10"/>
    </row>
    <row r="1139" spans="1:39" s="16" customFormat="1" ht="19" customHeight="1">
      <c r="A1139" s="9" t="s">
        <v>1174</v>
      </c>
      <c r="B1139" s="10" t="s">
        <v>1165</v>
      </c>
      <c r="C1139" s="10"/>
      <c r="D1139" s="10"/>
      <c r="E1139" s="38" t="s">
        <v>953</v>
      </c>
      <c r="F1139" s="38" t="s">
        <v>249</v>
      </c>
      <c r="G1139" s="12" t="s">
        <v>1006</v>
      </c>
      <c r="H1139" s="13">
        <v>154.37886634502809</v>
      </c>
      <c r="I1139" s="13">
        <v>17.243467014861618</v>
      </c>
      <c r="J1139" s="13">
        <v>6007.9758825215922</v>
      </c>
      <c r="K1139" s="13">
        <v>10892.211895567161</v>
      </c>
      <c r="L1139" s="13">
        <v>902.7841365781361</v>
      </c>
      <c r="M1139" s="13">
        <v>8911.6895512695392</v>
      </c>
      <c r="N1139" s="13">
        <v>2973.3419328564742</v>
      </c>
      <c r="O1139" s="13">
        <v>365.51821332821714</v>
      </c>
      <c r="P1139" s="13">
        <v>80.220354140244282</v>
      </c>
      <c r="Q1139" s="13">
        <v>267.81395931710534</v>
      </c>
      <c r="R1139" s="13"/>
      <c r="S1139" s="13">
        <v>124.61592246228894</v>
      </c>
      <c r="T1139" s="13">
        <v>795.17484563732842</v>
      </c>
      <c r="U1139" s="13"/>
      <c r="V1139" s="13"/>
      <c r="W1139" s="13"/>
      <c r="X1139" s="13">
        <v>47.342779259193307</v>
      </c>
      <c r="Y1139" s="13">
        <v>5.8166830546911878</v>
      </c>
      <c r="Z1139" s="13">
        <v>292.32071406747826</v>
      </c>
      <c r="AA1139" s="13"/>
      <c r="AB1139" s="13"/>
      <c r="AC1139" s="14">
        <v>2469.7176576230891</v>
      </c>
      <c r="AD1139" s="14">
        <v>1424.8730753151738</v>
      </c>
      <c r="AE1139" s="14">
        <v>1345.7987905382176</v>
      </c>
      <c r="AF1139" s="14"/>
      <c r="AG1139" s="15">
        <v>0.74688346632698632</v>
      </c>
      <c r="AH1139" s="15">
        <v>0.78156024397992274</v>
      </c>
      <c r="AI1139" s="15"/>
      <c r="AJ1139" s="41">
        <f t="shared" si="34"/>
        <v>20776.313847523361</v>
      </c>
      <c r="AK1139" s="44">
        <f t="shared" si="35"/>
        <v>11.207207572225034</v>
      </c>
      <c r="AL1139" s="10"/>
      <c r="AM1139" s="10"/>
    </row>
    <row r="1140" spans="1:39" s="16" customFormat="1" ht="19" customHeight="1">
      <c r="A1140" s="9" t="s">
        <v>1175</v>
      </c>
      <c r="B1140" s="10" t="s">
        <v>1165</v>
      </c>
      <c r="C1140" s="10"/>
      <c r="D1140" s="10"/>
      <c r="E1140" s="38" t="s">
        <v>953</v>
      </c>
      <c r="F1140" s="38" t="s">
        <v>249</v>
      </c>
      <c r="G1140" s="12" t="s">
        <v>1006</v>
      </c>
      <c r="H1140" s="13">
        <v>67.057371434458929</v>
      </c>
      <c r="I1140" s="13">
        <v>9.243515637967171</v>
      </c>
      <c r="J1140" s="13">
        <v>4079.9477499818099</v>
      </c>
      <c r="K1140" s="13">
        <v>7929.5933849139819</v>
      </c>
      <c r="L1140" s="13">
        <v>685.26558752749042</v>
      </c>
      <c r="M1140" s="13">
        <v>8002.4919281085304</v>
      </c>
      <c r="N1140" s="13">
        <v>2247.1995932612117</v>
      </c>
      <c r="O1140" s="13">
        <v>282.15106104656201</v>
      </c>
      <c r="P1140" s="13">
        <v>72.22746980362902</v>
      </c>
      <c r="Q1140" s="13">
        <v>214.20088977132377</v>
      </c>
      <c r="R1140" s="13"/>
      <c r="S1140" s="13">
        <v>103.54460059273764</v>
      </c>
      <c r="T1140" s="13">
        <v>780.3978423253451</v>
      </c>
      <c r="U1140" s="13"/>
      <c r="V1140" s="13"/>
      <c r="W1140" s="13"/>
      <c r="X1140" s="13">
        <v>52.444946997450799</v>
      </c>
      <c r="Y1140" s="13">
        <v>7.1887297828000705</v>
      </c>
      <c r="Z1140" s="13">
        <v>302.38918965578546</v>
      </c>
      <c r="AA1140" s="13"/>
      <c r="AB1140" s="13"/>
      <c r="AC1140" s="14">
        <v>1906.426088152446</v>
      </c>
      <c r="AD1140" s="14">
        <v>1282.9035489099294</v>
      </c>
      <c r="AE1140" s="14">
        <v>1076.3863807604209</v>
      </c>
      <c r="AF1140" s="14"/>
      <c r="AG1140" s="15">
        <v>0.8601972549601844</v>
      </c>
      <c r="AH1140" s="15">
        <v>0.89557079642096815</v>
      </c>
      <c r="AI1140" s="15"/>
      <c r="AJ1140" s="41">
        <f t="shared" si="34"/>
        <v>14942.006315684494</v>
      </c>
      <c r="AK1140" s="44">
        <f t="shared" si="35"/>
        <v>10.25437474847902</v>
      </c>
      <c r="AL1140" s="10"/>
      <c r="AM1140" s="10"/>
    </row>
    <row r="1141" spans="1:39" s="16" customFormat="1" ht="19" customHeight="1">
      <c r="A1141" s="9" t="s">
        <v>1176</v>
      </c>
      <c r="B1141" s="10" t="s">
        <v>1165</v>
      </c>
      <c r="C1141" s="10"/>
      <c r="D1141" s="10"/>
      <c r="E1141" s="38" t="s">
        <v>953</v>
      </c>
      <c r="F1141" s="38" t="s">
        <v>249</v>
      </c>
      <c r="G1141" s="12" t="s">
        <v>1006</v>
      </c>
      <c r="H1141" s="13">
        <v>66.365739958510687</v>
      </c>
      <c r="I1141" s="13">
        <v>7.9801346972733915</v>
      </c>
      <c r="J1141" s="13">
        <v>4907.9634952906245</v>
      </c>
      <c r="K1141" s="13">
        <v>8557.053458937271</v>
      </c>
      <c r="L1141" s="13">
        <v>755.79189199535926</v>
      </c>
      <c r="M1141" s="13">
        <v>5511.9326461625424</v>
      </c>
      <c r="N1141" s="13">
        <v>2496.2650792055933</v>
      </c>
      <c r="O1141" s="13">
        <v>314.92933507850222</v>
      </c>
      <c r="P1141" s="13">
        <v>68.599670431266063</v>
      </c>
      <c r="Q1141" s="13">
        <v>227.52523686572175</v>
      </c>
      <c r="R1141" s="13"/>
      <c r="S1141" s="13">
        <v>103.13201704878711</v>
      </c>
      <c r="T1141" s="13">
        <v>672.01020416017025</v>
      </c>
      <c r="U1141" s="13"/>
      <c r="V1141" s="13"/>
      <c r="W1141" s="13"/>
      <c r="X1141" s="13">
        <v>39.568231639877951</v>
      </c>
      <c r="Y1141" s="13">
        <v>5.5927993993017129</v>
      </c>
      <c r="Z1141" s="13">
        <v>515.9765557085633</v>
      </c>
      <c r="AA1141" s="13"/>
      <c r="AB1141" s="13"/>
      <c r="AC1141" s="14">
        <v>2127.9009126925826</v>
      </c>
      <c r="AD1141" s="14">
        <v>1218.4666151201789</v>
      </c>
      <c r="AE1141" s="14">
        <v>1143.3428988227224</v>
      </c>
      <c r="AF1141" s="14"/>
      <c r="AG1141" s="15">
        <v>0.74495616060837788</v>
      </c>
      <c r="AH1141" s="15">
        <v>0.7811774256334193</v>
      </c>
      <c r="AI1141" s="15"/>
      <c r="AJ1141" s="41">
        <f t="shared" si="34"/>
        <v>16717.073925428849</v>
      </c>
      <c r="AK1141" s="44">
        <f t="shared" si="35"/>
        <v>8.2021561756654524</v>
      </c>
      <c r="AL1141" s="10"/>
      <c r="AM1141" s="10"/>
    </row>
    <row r="1142" spans="1:39" s="16" customFormat="1" ht="19" customHeight="1">
      <c r="A1142" s="9" t="s">
        <v>1177</v>
      </c>
      <c r="B1142" s="10" t="s">
        <v>1165</v>
      </c>
      <c r="C1142" s="10"/>
      <c r="D1142" s="10"/>
      <c r="E1142" s="38" t="s">
        <v>953</v>
      </c>
      <c r="F1142" s="38" t="s">
        <v>249</v>
      </c>
      <c r="G1142" s="12" t="s">
        <v>1006</v>
      </c>
      <c r="H1142" s="13">
        <v>139.18396722276393</v>
      </c>
      <c r="I1142" s="13">
        <v>12.944846864566491</v>
      </c>
      <c r="J1142" s="13">
        <v>5986.6128894072517</v>
      </c>
      <c r="K1142" s="13">
        <v>11307.148701648613</v>
      </c>
      <c r="L1142" s="13">
        <v>929.94707591561257</v>
      </c>
      <c r="M1142" s="13">
        <v>5621.9982622687548</v>
      </c>
      <c r="N1142" s="13">
        <v>2984.2624916862715</v>
      </c>
      <c r="O1142" s="13">
        <v>370.01838894117071</v>
      </c>
      <c r="P1142" s="13">
        <v>77.524326819352481</v>
      </c>
      <c r="Q1142" s="13">
        <v>267.03610051083695</v>
      </c>
      <c r="R1142" s="13"/>
      <c r="S1142" s="13">
        <v>128.33812632969688</v>
      </c>
      <c r="T1142" s="13">
        <v>827.92882893682759</v>
      </c>
      <c r="U1142" s="13"/>
      <c r="V1142" s="13"/>
      <c r="W1142" s="13"/>
      <c r="X1142" s="13">
        <v>48.537443952452925</v>
      </c>
      <c r="Y1142" s="13">
        <v>6.094750065779575</v>
      </c>
      <c r="Z1142" s="13">
        <v>486.99487102114682</v>
      </c>
      <c r="AA1142" s="13"/>
      <c r="AB1142" s="13"/>
      <c r="AC1142" s="14">
        <v>2500.1242496025047</v>
      </c>
      <c r="AD1142" s="14">
        <v>1376.9862667735788</v>
      </c>
      <c r="AE1142" s="14">
        <v>1341.8899523157634</v>
      </c>
      <c r="AF1142" s="14"/>
      <c r="AG1142" s="15">
        <v>0.71680436063253872</v>
      </c>
      <c r="AH1142" s="15">
        <v>0.75177929781316888</v>
      </c>
      <c r="AI1142" s="15"/>
      <c r="AJ1142" s="41">
        <f t="shared" si="34"/>
        <v>21207.971158657754</v>
      </c>
      <c r="AK1142" s="44">
        <f t="shared" si="35"/>
        <v>6.7904366483869874</v>
      </c>
      <c r="AL1142" s="10"/>
      <c r="AM1142" s="10"/>
    </row>
    <row r="1143" spans="1:39" s="16" customFormat="1" ht="19" customHeight="1">
      <c r="A1143" s="9" t="s">
        <v>1178</v>
      </c>
      <c r="B1143" s="10" t="s">
        <v>1165</v>
      </c>
      <c r="C1143" s="10"/>
      <c r="D1143" s="10"/>
      <c r="E1143" s="38" t="s">
        <v>953</v>
      </c>
      <c r="F1143" s="38" t="s">
        <v>249</v>
      </c>
      <c r="G1143" s="12" t="s">
        <v>1006</v>
      </c>
      <c r="H1143" s="13">
        <v>146.29928216827821</v>
      </c>
      <c r="I1143" s="13">
        <v>13.570145603467928</v>
      </c>
      <c r="J1143" s="13">
        <v>6266.1003247092403</v>
      </c>
      <c r="K1143" s="13">
        <v>12099.342362929961</v>
      </c>
      <c r="L1143" s="13">
        <v>1027.0229106346012</v>
      </c>
      <c r="M1143" s="13">
        <v>5171.7336823883343</v>
      </c>
      <c r="N1143" s="13">
        <v>3334.4344560555023</v>
      </c>
      <c r="O1143" s="13">
        <v>428.05531936192767</v>
      </c>
      <c r="P1143" s="13">
        <v>83.844048806031964</v>
      </c>
      <c r="Q1143" s="13">
        <v>303.59285806169413</v>
      </c>
      <c r="R1143" s="13"/>
      <c r="S1143" s="13">
        <v>142.95347280093475</v>
      </c>
      <c r="T1143" s="13">
        <v>907.29258918406629</v>
      </c>
      <c r="U1143" s="13"/>
      <c r="V1143" s="13"/>
      <c r="W1143" s="13"/>
      <c r="X1143" s="13">
        <v>50.541477179013825</v>
      </c>
      <c r="Y1143" s="13">
        <v>6.4823392353717999</v>
      </c>
      <c r="Z1143" s="13">
        <v>384.50925117427096</v>
      </c>
      <c r="AA1143" s="13"/>
      <c r="AB1143" s="13"/>
      <c r="AC1143" s="14">
        <v>2892.2656713643764</v>
      </c>
      <c r="AD1143" s="14">
        <v>1489.237101350479</v>
      </c>
      <c r="AE1143" s="14">
        <v>1525.5922515663021</v>
      </c>
      <c r="AF1143" s="14"/>
      <c r="AG1143" s="15">
        <v>0.67418967623230508</v>
      </c>
      <c r="AH1143" s="15">
        <v>0.70896618039883585</v>
      </c>
      <c r="AI1143" s="15"/>
      <c r="AJ1143" s="41">
        <f t="shared" si="34"/>
        <v>22726.900054329308</v>
      </c>
      <c r="AK1143" s="44">
        <f t="shared" si="35"/>
        <v>5.7001828782039379</v>
      </c>
      <c r="AL1143" s="10"/>
      <c r="AM1143" s="10"/>
    </row>
    <row r="1144" spans="1:39" s="16" customFormat="1" ht="19" customHeight="1">
      <c r="A1144" s="9" t="s">
        <v>1179</v>
      </c>
      <c r="B1144" s="10" t="s">
        <v>1165</v>
      </c>
      <c r="C1144" s="10"/>
      <c r="D1144" s="10"/>
      <c r="E1144" s="38" t="s">
        <v>953</v>
      </c>
      <c r="F1144" s="38" t="s">
        <v>249</v>
      </c>
      <c r="G1144" s="12" t="s">
        <v>1006</v>
      </c>
      <c r="H1144" s="13">
        <v>158.13806043248368</v>
      </c>
      <c r="I1144" s="13">
        <v>12.065347876219269</v>
      </c>
      <c r="J1144" s="13">
        <v>5714.2174334493657</v>
      </c>
      <c r="K1144" s="13">
        <v>10416.724667992079</v>
      </c>
      <c r="L1144" s="13">
        <v>891.52263737654812</v>
      </c>
      <c r="M1144" s="13">
        <v>6049.8243690003519</v>
      </c>
      <c r="N1144" s="13">
        <v>2978.6960388297762</v>
      </c>
      <c r="O1144" s="13">
        <v>376.84302206549313</v>
      </c>
      <c r="P1144" s="13">
        <v>72.879173233113733</v>
      </c>
      <c r="Q1144" s="13">
        <v>271.36619639047746</v>
      </c>
      <c r="R1144" s="13"/>
      <c r="S1144" s="13">
        <v>126.23311512477892</v>
      </c>
      <c r="T1144" s="13">
        <v>790.64843534482452</v>
      </c>
      <c r="U1144" s="13"/>
      <c r="V1144" s="13"/>
      <c r="W1144" s="13"/>
      <c r="X1144" s="13">
        <v>44.820244919988554</v>
      </c>
      <c r="Y1144" s="13">
        <v>5.8704594629570046</v>
      </c>
      <c r="Z1144" s="13">
        <v>277.57753863869527</v>
      </c>
      <c r="AA1144" s="13"/>
      <c r="AB1144" s="13"/>
      <c r="AC1144" s="14">
        <v>2546.2366355776562</v>
      </c>
      <c r="AD1144" s="14">
        <v>1294.4790982791073</v>
      </c>
      <c r="AE1144" s="14">
        <v>1363.6492280928514</v>
      </c>
      <c r="AF1144" s="14"/>
      <c r="AG1144" s="15">
        <v>0.66215697512145855</v>
      </c>
      <c r="AH1144" s="15">
        <v>0.69469524393882476</v>
      </c>
      <c r="AI1144" s="15"/>
      <c r="AJ1144" s="41">
        <f t="shared" si="34"/>
        <v>20001.160777647769</v>
      </c>
      <c r="AK1144" s="44">
        <f t="shared" si="35"/>
        <v>7.6517249621342129</v>
      </c>
      <c r="AL1144" s="10"/>
      <c r="AM1144" s="10"/>
    </row>
    <row r="1145" spans="1:39" s="16" customFormat="1" ht="19" customHeight="1">
      <c r="A1145" s="9" t="s">
        <v>1180</v>
      </c>
      <c r="B1145" s="10" t="s">
        <v>1165</v>
      </c>
      <c r="C1145" s="10"/>
      <c r="D1145" s="10"/>
      <c r="E1145" s="38" t="s">
        <v>953</v>
      </c>
      <c r="F1145" s="38" t="s">
        <v>249</v>
      </c>
      <c r="G1145" s="12" t="s">
        <v>1006</v>
      </c>
      <c r="H1145" s="13">
        <v>163.56956089916923</v>
      </c>
      <c r="I1145" s="13">
        <v>13.885904116766328</v>
      </c>
      <c r="J1145" s="13">
        <v>6370.563221975186</v>
      </c>
      <c r="K1145" s="13">
        <v>12115.775826331515</v>
      </c>
      <c r="L1145" s="13">
        <v>999.36693722413258</v>
      </c>
      <c r="M1145" s="13">
        <v>5340.1101596134558</v>
      </c>
      <c r="N1145" s="13">
        <v>3194.9338387878493</v>
      </c>
      <c r="O1145" s="13">
        <v>415.55376177772769</v>
      </c>
      <c r="P1145" s="13">
        <v>83.131191831293862</v>
      </c>
      <c r="Q1145" s="13">
        <v>292.17065041231376</v>
      </c>
      <c r="R1145" s="13"/>
      <c r="S1145" s="13">
        <v>137.23362736582891</v>
      </c>
      <c r="T1145" s="13">
        <v>872.4830223218238</v>
      </c>
      <c r="U1145" s="13"/>
      <c r="V1145" s="13"/>
      <c r="W1145" s="13"/>
      <c r="X1145" s="13">
        <v>49.307847712481255</v>
      </c>
      <c r="Y1145" s="13">
        <v>6.1534472232745703</v>
      </c>
      <c r="Z1145" s="13">
        <v>506.45926516625639</v>
      </c>
      <c r="AA1145" s="13"/>
      <c r="AB1145" s="13"/>
      <c r="AC1145" s="14">
        <v>2807.7956876873495</v>
      </c>
      <c r="AD1145" s="14">
        <v>1476.5753433622356</v>
      </c>
      <c r="AE1145" s="14">
        <v>1468.194223177456</v>
      </c>
      <c r="AF1145" s="14"/>
      <c r="AG1145" s="15">
        <v>0.69063556001871051</v>
      </c>
      <c r="AH1145" s="15">
        <v>0.72724560485583933</v>
      </c>
      <c r="AI1145" s="15"/>
      <c r="AJ1145" s="41">
        <f t="shared" si="34"/>
        <v>22680.639824318681</v>
      </c>
      <c r="AK1145" s="44">
        <f t="shared" si="35"/>
        <v>6.1205891954235696</v>
      </c>
      <c r="AL1145" s="10"/>
      <c r="AM1145" s="10"/>
    </row>
    <row r="1146" spans="1:39" s="16" customFormat="1" ht="19" customHeight="1">
      <c r="A1146" s="9" t="s">
        <v>1181</v>
      </c>
      <c r="B1146" s="10" t="s">
        <v>1165</v>
      </c>
      <c r="C1146" s="10"/>
      <c r="D1146" s="10"/>
      <c r="E1146" s="38" t="s">
        <v>953</v>
      </c>
      <c r="F1146" s="38" t="s">
        <v>249</v>
      </c>
      <c r="G1146" s="12" t="s">
        <v>1006</v>
      </c>
      <c r="H1146" s="13">
        <v>110.08362477058684</v>
      </c>
      <c r="I1146" s="13">
        <v>9.681670816085802</v>
      </c>
      <c r="J1146" s="13">
        <v>5300.1020467268918</v>
      </c>
      <c r="K1146" s="13">
        <v>9690.2796048640375</v>
      </c>
      <c r="L1146" s="13">
        <v>863.59960948196135</v>
      </c>
      <c r="M1146" s="13">
        <v>7391.8427043384454</v>
      </c>
      <c r="N1146" s="13">
        <v>2926.02449710568</v>
      </c>
      <c r="O1146" s="13">
        <v>372.28345962667328</v>
      </c>
      <c r="P1146" s="13">
        <v>72.480943792876701</v>
      </c>
      <c r="Q1146" s="13">
        <v>274.51674801748743</v>
      </c>
      <c r="R1146" s="13"/>
      <c r="S1146" s="13">
        <v>127.97685634743968</v>
      </c>
      <c r="T1146" s="13">
        <v>803.25248860048839</v>
      </c>
      <c r="U1146" s="13"/>
      <c r="V1146" s="13"/>
      <c r="W1146" s="13"/>
      <c r="X1146" s="13">
        <v>46.123061897311089</v>
      </c>
      <c r="Y1146" s="13">
        <v>6.2174610791057372</v>
      </c>
      <c r="Z1146" s="13">
        <v>411.74803113954994</v>
      </c>
      <c r="AA1146" s="13"/>
      <c r="AB1146" s="13"/>
      <c r="AC1146" s="14">
        <v>2515.4287812613061</v>
      </c>
      <c r="AD1146" s="14">
        <v>1287.4057512056254</v>
      </c>
      <c r="AE1146" s="14">
        <v>1379.4811458165198</v>
      </c>
      <c r="AF1146" s="14"/>
      <c r="AG1146" s="15">
        <v>0.66107087214286742</v>
      </c>
      <c r="AH1146" s="15">
        <v>0.6911169549168672</v>
      </c>
      <c r="AI1146" s="15"/>
      <c r="AJ1146" s="41">
        <f t="shared" si="34"/>
        <v>18780.005758178573</v>
      </c>
      <c r="AK1146" s="44">
        <f t="shared" si="35"/>
        <v>9.2023900445267177</v>
      </c>
      <c r="AL1146" s="10"/>
      <c r="AM1146" s="10"/>
    </row>
    <row r="1147" spans="1:39" s="16" customFormat="1" ht="19" customHeight="1">
      <c r="A1147" s="9" t="s">
        <v>1182</v>
      </c>
      <c r="B1147" s="10" t="s">
        <v>1165</v>
      </c>
      <c r="C1147" s="10"/>
      <c r="D1147" s="10"/>
      <c r="E1147" s="38" t="s">
        <v>953</v>
      </c>
      <c r="F1147" s="38" t="s">
        <v>249</v>
      </c>
      <c r="G1147" s="12" t="s">
        <v>1006</v>
      </c>
      <c r="H1147" s="13">
        <v>16.683108262030988</v>
      </c>
      <c r="I1147" s="13">
        <v>3.3506990302302531</v>
      </c>
      <c r="J1147" s="13">
        <v>665.96883903104333</v>
      </c>
      <c r="K1147" s="13">
        <v>1881.6268985172653</v>
      </c>
      <c r="L1147" s="13">
        <v>246.45501683166773</v>
      </c>
      <c r="M1147" s="13">
        <v>7933.5444856597906</v>
      </c>
      <c r="N1147" s="13">
        <v>1064.6817256438655</v>
      </c>
      <c r="O1147" s="13">
        <v>186.34891648214975</v>
      </c>
      <c r="P1147" s="13">
        <v>70.143669822129951</v>
      </c>
      <c r="Q1147" s="13">
        <v>155.99342148831067</v>
      </c>
      <c r="R1147" s="13"/>
      <c r="S1147" s="13">
        <v>77.827891529476886</v>
      </c>
      <c r="T1147" s="13">
        <v>538.02571199549425</v>
      </c>
      <c r="U1147" s="13"/>
      <c r="V1147" s="13"/>
      <c r="W1147" s="13"/>
      <c r="X1147" s="13">
        <v>28.625509539148872</v>
      </c>
      <c r="Y1147" s="13">
        <v>3.5223598482861358</v>
      </c>
      <c r="Z1147" s="13">
        <v>175.18148443055219</v>
      </c>
      <c r="AA1147" s="13"/>
      <c r="AB1147" s="13"/>
      <c r="AC1147" s="14">
        <v>1259.1143005550659</v>
      </c>
      <c r="AD1147" s="14">
        <v>1245.8911158460028</v>
      </c>
      <c r="AE1147" s="14">
        <v>783.88654014226461</v>
      </c>
      <c r="AF1147" s="14"/>
      <c r="AG1147" s="15">
        <v>1.2196677466082166</v>
      </c>
      <c r="AH1147" s="15">
        <v>1.2540674829035472</v>
      </c>
      <c r="AI1147" s="15"/>
      <c r="AJ1147" s="41">
        <f t="shared" si="34"/>
        <v>3858.7324800238421</v>
      </c>
      <c r="AK1147" s="44">
        <f t="shared" si="35"/>
        <v>14.745660493129426</v>
      </c>
      <c r="AL1147" s="10"/>
      <c r="AM1147" s="10"/>
    </row>
    <row r="1148" spans="1:39" s="16" customFormat="1" ht="19" customHeight="1">
      <c r="A1148" s="9" t="s">
        <v>1183</v>
      </c>
      <c r="B1148" s="10" t="s">
        <v>1165</v>
      </c>
      <c r="C1148" s="10"/>
      <c r="D1148" s="10"/>
      <c r="E1148" s="38" t="s">
        <v>953</v>
      </c>
      <c r="F1148" s="38" t="s">
        <v>249</v>
      </c>
      <c r="G1148" s="12" t="s">
        <v>1006</v>
      </c>
      <c r="H1148" s="13">
        <v>124.23878777536949</v>
      </c>
      <c r="I1148" s="13">
        <v>12.952415771967484</v>
      </c>
      <c r="J1148" s="13">
        <v>5622.836444920692</v>
      </c>
      <c r="K1148" s="13">
        <v>10802.492335939032</v>
      </c>
      <c r="L1148" s="13">
        <v>903.79968926715719</v>
      </c>
      <c r="M1148" s="13">
        <v>5774.1740600185167</v>
      </c>
      <c r="N1148" s="13">
        <v>3010.3569959562833</v>
      </c>
      <c r="O1148" s="13">
        <v>375.75283674278569</v>
      </c>
      <c r="P1148" s="13">
        <v>79.136260791723458</v>
      </c>
      <c r="Q1148" s="13">
        <v>271.17795612545842</v>
      </c>
      <c r="R1148" s="13"/>
      <c r="S1148" s="13">
        <v>130.72109583839031</v>
      </c>
      <c r="T1148" s="13">
        <v>838.19214541665644</v>
      </c>
      <c r="U1148" s="13"/>
      <c r="V1148" s="13"/>
      <c r="W1148" s="13"/>
      <c r="X1148" s="13">
        <v>49.119513203766118</v>
      </c>
      <c r="Y1148" s="13">
        <v>6.4692741158720004</v>
      </c>
      <c r="Z1148" s="13">
        <v>360.63606964238232</v>
      </c>
      <c r="AA1148" s="13"/>
      <c r="AB1148" s="13"/>
      <c r="AC1148" s="14">
        <v>2538.8705185323361</v>
      </c>
      <c r="AD1148" s="14">
        <v>1405.6174208121397</v>
      </c>
      <c r="AE1148" s="14">
        <v>1362.7032971128563</v>
      </c>
      <c r="AF1148" s="14"/>
      <c r="AG1148" s="15">
        <v>0.72053867860997867</v>
      </c>
      <c r="AH1148" s="15">
        <v>0.75569439558284235</v>
      </c>
      <c r="AI1148" s="15"/>
      <c r="AJ1148" s="41">
        <f t="shared" si="34"/>
        <v>20339.485466083166</v>
      </c>
      <c r="AK1148" s="44">
        <f t="shared" si="35"/>
        <v>6.8888429599256575</v>
      </c>
      <c r="AL1148" s="10"/>
      <c r="AM1148" s="10"/>
    </row>
    <row r="1149" spans="1:39" s="16" customFormat="1" ht="19" customHeight="1">
      <c r="A1149" s="9" t="s">
        <v>1184</v>
      </c>
      <c r="B1149" s="10" t="s">
        <v>1165</v>
      </c>
      <c r="C1149" s="10"/>
      <c r="D1149" s="10"/>
      <c r="E1149" s="38" t="s">
        <v>953</v>
      </c>
      <c r="F1149" s="38" t="s">
        <v>249</v>
      </c>
      <c r="G1149" s="12" t="s">
        <v>1006</v>
      </c>
      <c r="H1149" s="13">
        <v>47.885253372945222</v>
      </c>
      <c r="I1149" s="13">
        <v>6.9392997737520918</v>
      </c>
      <c r="J1149" s="13">
        <v>3489.5479630336622</v>
      </c>
      <c r="K1149" s="13">
        <v>6058.1479386371229</v>
      </c>
      <c r="L1149" s="13">
        <v>554.58267485918805</v>
      </c>
      <c r="M1149" s="13">
        <v>9057.3727844160621</v>
      </c>
      <c r="N1149" s="13">
        <v>1809.6160243702989</v>
      </c>
      <c r="O1149" s="13">
        <v>224.42424147328336</v>
      </c>
      <c r="P1149" s="13">
        <v>58.447279811249814</v>
      </c>
      <c r="Q1149" s="13">
        <v>166.68213021422577</v>
      </c>
      <c r="R1149" s="13"/>
      <c r="S1149" s="13">
        <v>80.030701743681334</v>
      </c>
      <c r="T1149" s="13">
        <v>510.33082171566332</v>
      </c>
      <c r="U1149" s="13"/>
      <c r="V1149" s="13"/>
      <c r="W1149" s="13"/>
      <c r="X1149" s="13">
        <v>27.014789429442171</v>
      </c>
      <c r="Y1149" s="13">
        <v>3.6627531200578081</v>
      </c>
      <c r="Z1149" s="13">
        <v>253.92216026095036</v>
      </c>
      <c r="AA1149" s="13"/>
      <c r="AB1149" s="13"/>
      <c r="AC1149" s="14">
        <v>1516.3800099546174</v>
      </c>
      <c r="AD1149" s="14">
        <v>1038.1399611234426</v>
      </c>
      <c r="AE1149" s="14">
        <v>837.59864429259176</v>
      </c>
      <c r="AF1149" s="14"/>
      <c r="AG1149" s="15">
        <v>0.88203005515819732</v>
      </c>
      <c r="AH1149" s="15">
        <v>0.92115751706610305</v>
      </c>
      <c r="AI1149" s="15"/>
      <c r="AJ1149" s="41">
        <f t="shared" si="34"/>
        <v>11911.894600900272</v>
      </c>
      <c r="AK1149" s="44">
        <f t="shared" si="35"/>
        <v>17.748041856391112</v>
      </c>
      <c r="AL1149" s="10"/>
      <c r="AM1149" s="10"/>
    </row>
    <row r="1150" spans="1:39" s="16" customFormat="1" ht="19" customHeight="1">
      <c r="A1150" s="9" t="s">
        <v>1185</v>
      </c>
      <c r="B1150" s="10" t="s">
        <v>1165</v>
      </c>
      <c r="C1150" s="10"/>
      <c r="D1150" s="10"/>
      <c r="E1150" s="38" t="s">
        <v>953</v>
      </c>
      <c r="F1150" s="38" t="s">
        <v>249</v>
      </c>
      <c r="G1150" s="12" t="s">
        <v>1006</v>
      </c>
      <c r="H1150" s="13">
        <v>193.64115141495574</v>
      </c>
      <c r="I1150" s="13">
        <v>12.259553382619821</v>
      </c>
      <c r="J1150" s="13">
        <v>4827.5153947135113</v>
      </c>
      <c r="K1150" s="13">
        <v>8290.6012540910415</v>
      </c>
      <c r="L1150" s="13">
        <v>750.83642710474237</v>
      </c>
      <c r="M1150" s="13">
        <v>6459.9605771524157</v>
      </c>
      <c r="N1150" s="13">
        <v>2485.7228684650395</v>
      </c>
      <c r="O1150" s="13">
        <v>335.06984426818724</v>
      </c>
      <c r="P1150" s="13">
        <v>53.349773467084802</v>
      </c>
      <c r="Q1150" s="13">
        <v>237.99655755242577</v>
      </c>
      <c r="R1150" s="13"/>
      <c r="S1150" s="13">
        <v>121.07081360891671</v>
      </c>
      <c r="T1150" s="13">
        <v>708.48289745793784</v>
      </c>
      <c r="U1150" s="13"/>
      <c r="V1150" s="13"/>
      <c r="W1150" s="13"/>
      <c r="X1150" s="13">
        <v>39.903696368211683</v>
      </c>
      <c r="Y1150" s="13">
        <v>5.2941908988001467</v>
      </c>
      <c r="Z1150" s="13">
        <v>363.47398076981318</v>
      </c>
      <c r="AA1150" s="13"/>
      <c r="AB1150" s="13"/>
      <c r="AC1150" s="14">
        <v>2263.9854342445083</v>
      </c>
      <c r="AD1150" s="14">
        <v>947.5981077634957</v>
      </c>
      <c r="AE1150" s="14">
        <v>1195.9626007659585</v>
      </c>
      <c r="AF1150" s="14"/>
      <c r="AG1150" s="15">
        <v>0.547752797542018</v>
      </c>
      <c r="AH1150" s="15">
        <v>0.57587545864092748</v>
      </c>
      <c r="AI1150" s="15"/>
      <c r="AJ1150" s="41">
        <f t="shared" si="34"/>
        <v>16354.675944374336</v>
      </c>
      <c r="AK1150" s="44">
        <f t="shared" si="35"/>
        <v>9.1180190803913366</v>
      </c>
      <c r="AL1150" s="10"/>
      <c r="AM1150" s="10"/>
    </row>
    <row r="1151" spans="1:39" s="16" customFormat="1" ht="19" customHeight="1">
      <c r="A1151" s="9" t="s">
        <v>1186</v>
      </c>
      <c r="B1151" s="10" t="s">
        <v>1187</v>
      </c>
      <c r="C1151" s="10"/>
      <c r="D1151" s="10"/>
      <c r="E1151" s="11" t="s">
        <v>1341</v>
      </c>
      <c r="F1151" s="11" t="s">
        <v>249</v>
      </c>
      <c r="G1151" s="12" t="s">
        <v>1006</v>
      </c>
      <c r="H1151" s="13">
        <v>38.339829083727672</v>
      </c>
      <c r="I1151" s="13">
        <v>8.416296308681833</v>
      </c>
      <c r="J1151" s="13">
        <v>979.19595588058451</v>
      </c>
      <c r="K1151" s="13">
        <v>1640.4004418794461</v>
      </c>
      <c r="L1151" s="13">
        <v>201.40017574107128</v>
      </c>
      <c r="M1151" s="13">
        <v>781.14092960257187</v>
      </c>
      <c r="N1151" s="13">
        <v>982.00163293206185</v>
      </c>
      <c r="O1151" s="13">
        <v>190.69697610602663</v>
      </c>
      <c r="P1151" s="13">
        <v>15.136447733595382</v>
      </c>
      <c r="Q1151" s="13">
        <v>167.08836702696834</v>
      </c>
      <c r="R1151" s="13"/>
      <c r="S1151" s="13">
        <v>86.630698043359445</v>
      </c>
      <c r="T1151" s="13">
        <v>405.0672788584406</v>
      </c>
      <c r="U1151" s="13"/>
      <c r="V1151" s="13"/>
      <c r="W1151" s="13"/>
      <c r="X1151" s="13">
        <v>21.683800103401147</v>
      </c>
      <c r="Y1151" s="13">
        <v>3.0577111347196628</v>
      </c>
      <c r="Z1151" s="13">
        <v>409.90654050612164</v>
      </c>
      <c r="AA1151" s="13"/>
      <c r="AB1151" s="13"/>
      <c r="AC1151" s="14">
        <v>1288.4930817974773</v>
      </c>
      <c r="AD1151" s="14">
        <v>268.85342333206722</v>
      </c>
      <c r="AE1151" s="14">
        <v>839.64003531139861</v>
      </c>
      <c r="AF1151" s="14"/>
      <c r="AG1151" s="15">
        <v>0.2526659833171635</v>
      </c>
      <c r="AH1151" s="15">
        <v>0.25848060177786525</v>
      </c>
      <c r="AI1151" s="15"/>
      <c r="AJ1151" s="41">
        <f t="shared" si="34"/>
        <v>3802.9982064331639</v>
      </c>
      <c r="AK1151" s="44">
        <f t="shared" si="35"/>
        <v>1.928422685248685</v>
      </c>
      <c r="AL1151" s="10"/>
      <c r="AM1151" s="10"/>
    </row>
    <row r="1152" spans="1:39" s="16" customFormat="1" ht="19" customHeight="1">
      <c r="A1152" s="9" t="s">
        <v>1188</v>
      </c>
      <c r="B1152" s="10" t="s">
        <v>1187</v>
      </c>
      <c r="C1152" s="10"/>
      <c r="D1152" s="10"/>
      <c r="E1152" s="11" t="s">
        <v>1341</v>
      </c>
      <c r="F1152" s="11" t="s">
        <v>249</v>
      </c>
      <c r="G1152" s="12" t="s">
        <v>1006</v>
      </c>
      <c r="H1152" s="13">
        <v>17.77725661949011</v>
      </c>
      <c r="I1152" s="13">
        <v>5.5561542999224081</v>
      </c>
      <c r="J1152" s="13">
        <v>973.5829681879942</v>
      </c>
      <c r="K1152" s="13">
        <v>2341.9605355222375</v>
      </c>
      <c r="L1152" s="13">
        <v>275.24433129486175</v>
      </c>
      <c r="M1152" s="13">
        <v>707.8657464894585</v>
      </c>
      <c r="N1152" s="13">
        <v>1089.7184433563123</v>
      </c>
      <c r="O1152" s="13">
        <v>156.43325426660891</v>
      </c>
      <c r="P1152" s="13">
        <v>22.61313343549222</v>
      </c>
      <c r="Q1152" s="13">
        <v>103.96327710261949</v>
      </c>
      <c r="R1152" s="13"/>
      <c r="S1152" s="13">
        <v>56.117903761492698</v>
      </c>
      <c r="T1152" s="13">
        <v>293.15252975052584</v>
      </c>
      <c r="U1152" s="13"/>
      <c r="V1152" s="13"/>
      <c r="W1152" s="13"/>
      <c r="X1152" s="13">
        <v>18.24540355953128</v>
      </c>
      <c r="Y1152" s="13">
        <v>3.1236951962843715</v>
      </c>
      <c r="Z1152" s="13">
        <v>372.32102734053717</v>
      </c>
      <c r="AA1152" s="13"/>
      <c r="AB1152" s="13"/>
      <c r="AC1152" s="14">
        <v>1056.9814477473576</v>
      </c>
      <c r="AD1152" s="14">
        <v>401.65423508867178</v>
      </c>
      <c r="AE1152" s="14">
        <v>522.42852815386675</v>
      </c>
      <c r="AF1152" s="14"/>
      <c r="AG1152" s="15">
        <v>0.50861301526158154</v>
      </c>
      <c r="AH1152" s="15">
        <v>0.540511857946399</v>
      </c>
      <c r="AI1152" s="15"/>
      <c r="AJ1152" s="41">
        <f t="shared" si="34"/>
        <v>4680.5062783614057</v>
      </c>
      <c r="AK1152" s="44">
        <f t="shared" si="35"/>
        <v>2.4146670236543941</v>
      </c>
      <c r="AL1152" s="10"/>
      <c r="AM1152" s="10"/>
    </row>
    <row r="1153" spans="1:39" s="16" customFormat="1" ht="19" customHeight="1">
      <c r="A1153" s="9" t="s">
        <v>1189</v>
      </c>
      <c r="B1153" s="10" t="s">
        <v>1187</v>
      </c>
      <c r="C1153" s="10"/>
      <c r="D1153" s="10"/>
      <c r="E1153" s="11" t="s">
        <v>1341</v>
      </c>
      <c r="F1153" s="11" t="s">
        <v>249</v>
      </c>
      <c r="G1153" s="12" t="s">
        <v>1006</v>
      </c>
      <c r="H1153" s="13">
        <v>28.195071450868223</v>
      </c>
      <c r="I1153" s="13">
        <v>6.1553011726961619</v>
      </c>
      <c r="J1153" s="13">
        <v>833.30803675400261</v>
      </c>
      <c r="K1153" s="13">
        <v>1887.1459296412086</v>
      </c>
      <c r="L1153" s="13">
        <v>263.83495051478235</v>
      </c>
      <c r="M1153" s="13">
        <v>785.71089825795627</v>
      </c>
      <c r="N1153" s="13">
        <v>1263.3118515670901</v>
      </c>
      <c r="O1153" s="13">
        <v>226.79904596337607</v>
      </c>
      <c r="P1153" s="13">
        <v>18.171722189562871</v>
      </c>
      <c r="Q1153" s="13">
        <v>172.95296769982906</v>
      </c>
      <c r="R1153" s="13"/>
      <c r="S1153" s="13">
        <v>94.239482807525974</v>
      </c>
      <c r="T1153" s="13">
        <v>446.17971626865562</v>
      </c>
      <c r="U1153" s="13"/>
      <c r="V1153" s="13"/>
      <c r="W1153" s="13"/>
      <c r="X1153" s="13">
        <v>23.274629400075042</v>
      </c>
      <c r="Y1153" s="13">
        <v>3.2569758086082978</v>
      </c>
      <c r="Z1153" s="13">
        <v>351.88448231682969</v>
      </c>
      <c r="AA1153" s="13"/>
      <c r="AB1153" s="13"/>
      <c r="AC1153" s="14">
        <v>1532.4259862390277</v>
      </c>
      <c r="AD1153" s="14">
        <v>322.76593587145419</v>
      </c>
      <c r="AE1153" s="14">
        <v>869.11039045140228</v>
      </c>
      <c r="AF1153" s="14"/>
      <c r="AG1153" s="15">
        <v>0.26879953933178363</v>
      </c>
      <c r="AH1153" s="15">
        <v>0.27967939327199459</v>
      </c>
      <c r="AI1153" s="15"/>
      <c r="AJ1153" s="41">
        <f t="shared" si="34"/>
        <v>4247.6007684770839</v>
      </c>
      <c r="AK1153" s="44">
        <f t="shared" si="35"/>
        <v>1.7609740416457227</v>
      </c>
      <c r="AL1153" s="10"/>
      <c r="AM1153" s="10"/>
    </row>
    <row r="1154" spans="1:39" s="16" customFormat="1" ht="19" customHeight="1">
      <c r="A1154" s="9" t="s">
        <v>1190</v>
      </c>
      <c r="B1154" s="10" t="s">
        <v>1187</v>
      </c>
      <c r="C1154" s="10"/>
      <c r="D1154" s="10"/>
      <c r="E1154" s="11" t="s">
        <v>1341</v>
      </c>
      <c r="F1154" s="11" t="s">
        <v>249</v>
      </c>
      <c r="G1154" s="12" t="s">
        <v>1006</v>
      </c>
      <c r="H1154" s="13">
        <v>21.524711832355532</v>
      </c>
      <c r="I1154" s="13">
        <v>3.7772035195863762</v>
      </c>
      <c r="J1154" s="13">
        <v>840.05654936513861</v>
      </c>
      <c r="K1154" s="13">
        <v>2364.4778462377285</v>
      </c>
      <c r="L1154" s="13">
        <v>332.526428113083</v>
      </c>
      <c r="M1154" s="13">
        <v>807.61634332793949</v>
      </c>
      <c r="N1154" s="13">
        <v>1523.1083907983104</v>
      </c>
      <c r="O1154" s="13">
        <v>259.83826008192182</v>
      </c>
      <c r="P1154" s="13">
        <v>22.830389053130446</v>
      </c>
      <c r="Q1154" s="13">
        <v>191.54206906968483</v>
      </c>
      <c r="R1154" s="13"/>
      <c r="S1154" s="13">
        <v>101.09513317364484</v>
      </c>
      <c r="T1154" s="13">
        <v>505.49052063949193</v>
      </c>
      <c r="U1154" s="13"/>
      <c r="V1154" s="13"/>
      <c r="W1154" s="13"/>
      <c r="X1154" s="13">
        <v>26.611243795098751</v>
      </c>
      <c r="Y1154" s="13">
        <v>3.3289349422004677</v>
      </c>
      <c r="Z1154" s="13">
        <v>380.26632082860988</v>
      </c>
      <c r="AA1154" s="13"/>
      <c r="AB1154" s="13"/>
      <c r="AC1154" s="14">
        <v>1755.6639194724448</v>
      </c>
      <c r="AD1154" s="14">
        <v>405.51312705382679</v>
      </c>
      <c r="AE1154" s="14">
        <v>962.52296014916999</v>
      </c>
      <c r="AF1154" s="14"/>
      <c r="AG1154" s="15">
        <v>0.2983703071293437</v>
      </c>
      <c r="AH1154" s="15">
        <v>0.31194546510744475</v>
      </c>
      <c r="AI1154" s="15"/>
      <c r="AJ1154" s="41">
        <f t="shared" si="34"/>
        <v>5060.1692145142606</v>
      </c>
      <c r="AK1154" s="44">
        <f t="shared" si="35"/>
        <v>1.5976884043369015</v>
      </c>
      <c r="AL1154" s="10"/>
      <c r="AM1154" s="10"/>
    </row>
    <row r="1155" spans="1:39" s="16" customFormat="1" ht="19" customHeight="1">
      <c r="A1155" s="9" t="s">
        <v>1191</v>
      </c>
      <c r="B1155" s="10" t="s">
        <v>1187</v>
      </c>
      <c r="C1155" s="10"/>
      <c r="D1155" s="10"/>
      <c r="E1155" s="11" t="s">
        <v>1341</v>
      </c>
      <c r="F1155" s="11" t="s">
        <v>249</v>
      </c>
      <c r="G1155" s="12" t="s">
        <v>1006</v>
      </c>
      <c r="H1155" s="13">
        <v>40.420906141425803</v>
      </c>
      <c r="I1155" s="13">
        <v>8.3907369963678065</v>
      </c>
      <c r="J1155" s="13">
        <v>1019.4265766581213</v>
      </c>
      <c r="K1155" s="13">
        <v>1972.3403841296042</v>
      </c>
      <c r="L1155" s="13">
        <v>253.77697186976275</v>
      </c>
      <c r="M1155" s="13">
        <v>795.92089192180026</v>
      </c>
      <c r="N1155" s="13">
        <v>1213.6857173989285</v>
      </c>
      <c r="O1155" s="13">
        <v>236.79892171763976</v>
      </c>
      <c r="P1155" s="13">
        <v>18.54445175392555</v>
      </c>
      <c r="Q1155" s="13">
        <v>187.12373370965574</v>
      </c>
      <c r="R1155" s="13"/>
      <c r="S1155" s="13">
        <v>94.83449107312849</v>
      </c>
      <c r="T1155" s="13">
        <v>457.88383569257314</v>
      </c>
      <c r="U1155" s="13"/>
      <c r="V1155" s="13"/>
      <c r="W1155" s="13"/>
      <c r="X1155" s="13">
        <v>25.040063167227284</v>
      </c>
      <c r="Y1155" s="13">
        <v>3.3580692730607091</v>
      </c>
      <c r="Z1155" s="13">
        <v>384.18109141045574</v>
      </c>
      <c r="AA1155" s="13"/>
      <c r="AB1155" s="13"/>
      <c r="AC1155" s="14">
        <v>1599.9927143083769</v>
      </c>
      <c r="AD1155" s="14">
        <v>329.38635442141299</v>
      </c>
      <c r="AE1155" s="14">
        <v>940.3202698977675</v>
      </c>
      <c r="AF1155" s="14"/>
      <c r="AG1155" s="15">
        <v>0.25932737931845612</v>
      </c>
      <c r="AH1155" s="15">
        <v>0.2685398252851558</v>
      </c>
      <c r="AI1155" s="15"/>
      <c r="AJ1155" s="41">
        <f t="shared" si="34"/>
        <v>4459.2296500564171</v>
      </c>
      <c r="AK1155" s="44">
        <f t="shared" si="35"/>
        <v>1.7382594227593304</v>
      </c>
      <c r="AL1155" s="10"/>
      <c r="AM1155" s="10"/>
    </row>
    <row r="1156" spans="1:39" s="16" customFormat="1" ht="19" customHeight="1">
      <c r="A1156" s="9" t="s">
        <v>1192</v>
      </c>
      <c r="B1156" s="10" t="s">
        <v>1187</v>
      </c>
      <c r="C1156" s="10"/>
      <c r="D1156" s="10"/>
      <c r="E1156" s="11" t="s">
        <v>1341</v>
      </c>
      <c r="F1156" s="11" t="s">
        <v>249</v>
      </c>
      <c r="G1156" s="12" t="s">
        <v>1006</v>
      </c>
      <c r="H1156" s="13">
        <v>38.095730411825222</v>
      </c>
      <c r="I1156" s="13">
        <v>10.729214077895142</v>
      </c>
      <c r="J1156" s="13">
        <v>916.10951209129189</v>
      </c>
      <c r="K1156" s="13">
        <v>1952.4675397216349</v>
      </c>
      <c r="L1156" s="13">
        <v>242.49453367823662</v>
      </c>
      <c r="M1156" s="13">
        <v>877.2794597253087</v>
      </c>
      <c r="N1156" s="13">
        <v>1099.665581313657</v>
      </c>
      <c r="O1156" s="13">
        <v>186.59264962161285</v>
      </c>
      <c r="P1156" s="13">
        <v>17.256676541900941</v>
      </c>
      <c r="Q1156" s="13">
        <v>157.84919995482059</v>
      </c>
      <c r="R1156" s="13"/>
      <c r="S1156" s="13">
        <v>81.81750069533912</v>
      </c>
      <c r="T1156" s="13">
        <v>408.85909027073944</v>
      </c>
      <c r="U1156" s="13"/>
      <c r="V1156" s="13"/>
      <c r="W1156" s="13"/>
      <c r="X1156" s="13">
        <v>23.461601072960793</v>
      </c>
      <c r="Y1156" s="13">
        <v>2.9710064899442896</v>
      </c>
      <c r="Z1156" s="13">
        <v>364.55354965989068</v>
      </c>
      <c r="AA1156" s="13"/>
      <c r="AB1156" s="13"/>
      <c r="AC1156" s="14">
        <v>1260.7611460919788</v>
      </c>
      <c r="AD1156" s="14">
        <v>306.51290482950162</v>
      </c>
      <c r="AE1156" s="14">
        <v>793.21206007447529</v>
      </c>
      <c r="AF1156" s="14"/>
      <c r="AG1156" s="15">
        <v>0.29845852312901283</v>
      </c>
      <c r="AH1156" s="15">
        <v>0.30650509733172621</v>
      </c>
      <c r="AI1156" s="15"/>
      <c r="AJ1156" s="41">
        <f t="shared" si="34"/>
        <v>4210.7371668048199</v>
      </c>
      <c r="AK1156" s="44">
        <f t="shared" si="35"/>
        <v>2.145676788412334</v>
      </c>
      <c r="AL1156" s="10"/>
      <c r="AM1156" s="10"/>
    </row>
    <row r="1157" spans="1:39" s="16" customFormat="1" ht="19" customHeight="1">
      <c r="A1157" s="9" t="s">
        <v>1193</v>
      </c>
      <c r="B1157" s="10" t="s">
        <v>1187</v>
      </c>
      <c r="C1157" s="10"/>
      <c r="D1157" s="10"/>
      <c r="E1157" s="11" t="s">
        <v>1341</v>
      </c>
      <c r="F1157" s="11" t="s">
        <v>249</v>
      </c>
      <c r="G1157" s="12" t="s">
        <v>1006</v>
      </c>
      <c r="H1157" s="13">
        <v>34.185731312441625</v>
      </c>
      <c r="I1157" s="13">
        <v>8.7755055990532362</v>
      </c>
      <c r="J1157" s="13">
        <v>920.12488781874436</v>
      </c>
      <c r="K1157" s="13">
        <v>1809.1294072648529</v>
      </c>
      <c r="L1157" s="13">
        <v>221.00916488166442</v>
      </c>
      <c r="M1157" s="13">
        <v>817.84011452490245</v>
      </c>
      <c r="N1157" s="13">
        <v>1037.9024282838468</v>
      </c>
      <c r="O1157" s="13">
        <v>179.39785494320404</v>
      </c>
      <c r="P1157" s="13">
        <v>17.259668980231972</v>
      </c>
      <c r="Q1157" s="13">
        <v>144.5151598240912</v>
      </c>
      <c r="R1157" s="13"/>
      <c r="S1157" s="13">
        <v>74.644691576529027</v>
      </c>
      <c r="T1157" s="13">
        <v>363.59225860492108</v>
      </c>
      <c r="U1157" s="13"/>
      <c r="V1157" s="13"/>
      <c r="W1157" s="13"/>
      <c r="X1157" s="13">
        <v>21.566286973303502</v>
      </c>
      <c r="Y1157" s="13">
        <v>2.6750665746690614</v>
      </c>
      <c r="Z1157" s="13">
        <v>386.86958720697481</v>
      </c>
      <c r="AA1157" s="13"/>
      <c r="AB1157" s="13"/>
      <c r="AC1157" s="14">
        <v>1212.1476685351624</v>
      </c>
      <c r="AD1157" s="14">
        <v>306.56605648724639</v>
      </c>
      <c r="AE1157" s="14">
        <v>726.2068332868904</v>
      </c>
      <c r="AF1157" s="14"/>
      <c r="AG1157" s="15">
        <v>0.31631577835640934</v>
      </c>
      <c r="AH1157" s="15">
        <v>0.32675040650765547</v>
      </c>
      <c r="AI1157" s="15"/>
      <c r="AJ1157" s="41">
        <f t="shared" si="34"/>
        <v>3988.1658882491083</v>
      </c>
      <c r="AK1157" s="44">
        <f t="shared" si="35"/>
        <v>2.2493331339421241</v>
      </c>
      <c r="AL1157" s="10"/>
      <c r="AM1157" s="10"/>
    </row>
    <row r="1158" spans="1:39" s="16" customFormat="1" ht="19" customHeight="1">
      <c r="A1158" s="9" t="s">
        <v>1194</v>
      </c>
      <c r="B1158" s="10" t="s">
        <v>1187</v>
      </c>
      <c r="C1158" s="10"/>
      <c r="D1158" s="10"/>
      <c r="E1158" s="11" t="s">
        <v>1341</v>
      </c>
      <c r="F1158" s="11" t="s">
        <v>249</v>
      </c>
      <c r="G1158" s="12" t="s">
        <v>1006</v>
      </c>
      <c r="H1158" s="13">
        <v>20.290159197290283</v>
      </c>
      <c r="I1158" s="13">
        <v>4.2017650772545068</v>
      </c>
      <c r="J1158" s="13">
        <v>806.18151199324154</v>
      </c>
      <c r="K1158" s="13">
        <v>1763.6112999699722</v>
      </c>
      <c r="L1158" s="13">
        <v>223.50935356593624</v>
      </c>
      <c r="M1158" s="13">
        <v>768.74189087966352</v>
      </c>
      <c r="N1158" s="13">
        <v>1067.5627769136081</v>
      </c>
      <c r="O1158" s="13">
        <v>186.7518749589083</v>
      </c>
      <c r="P1158" s="13">
        <v>15.969292565355969</v>
      </c>
      <c r="Q1158" s="13">
        <v>152.33123969457588</v>
      </c>
      <c r="R1158" s="13"/>
      <c r="S1158" s="13">
        <v>78.174660609221718</v>
      </c>
      <c r="T1158" s="13">
        <v>387.66178333395629</v>
      </c>
      <c r="U1158" s="13"/>
      <c r="V1158" s="13"/>
      <c r="W1158" s="13"/>
      <c r="X1158" s="13">
        <v>20.592663770569303</v>
      </c>
      <c r="Y1158" s="13">
        <v>2.8213056908066152</v>
      </c>
      <c r="Z1158" s="13">
        <v>476.8630867847545</v>
      </c>
      <c r="AA1158" s="13"/>
      <c r="AB1158" s="13"/>
      <c r="AC1158" s="14">
        <v>1261.8369929655967</v>
      </c>
      <c r="AD1158" s="14">
        <v>283.64640435801016</v>
      </c>
      <c r="AE1158" s="14">
        <v>765.4836165556577</v>
      </c>
      <c r="AF1158" s="14"/>
      <c r="AG1158" s="15">
        <v>0.27982392427312458</v>
      </c>
      <c r="AH1158" s="15">
        <v>0.28860756117245079</v>
      </c>
      <c r="AI1158" s="15"/>
      <c r="AJ1158" s="41">
        <f t="shared" ref="AJ1158:AJ1221" si="36">J1158+K1158+L1158+N1158</f>
        <v>3860.8649424427581</v>
      </c>
      <c r="AK1158" s="44">
        <f t="shared" ref="AK1158:AK1221" si="37">M1158/T1158</f>
        <v>1.9830221185806722</v>
      </c>
      <c r="AL1158" s="10"/>
      <c r="AM1158" s="10"/>
    </row>
    <row r="1159" spans="1:39" s="16" customFormat="1" ht="19" customHeight="1">
      <c r="A1159" s="9" t="s">
        <v>1195</v>
      </c>
      <c r="B1159" s="10" t="s">
        <v>1187</v>
      </c>
      <c r="C1159" s="10"/>
      <c r="D1159" s="10"/>
      <c r="E1159" s="11" t="s">
        <v>1341</v>
      </c>
      <c r="F1159" s="11" t="s">
        <v>249</v>
      </c>
      <c r="G1159" s="12" t="s">
        <v>1006</v>
      </c>
      <c r="H1159" s="13">
        <v>46.049527020624581</v>
      </c>
      <c r="I1159" s="13">
        <v>7.2725214823006921</v>
      </c>
      <c r="J1159" s="13">
        <v>1874.1232838478604</v>
      </c>
      <c r="K1159" s="13">
        <v>4672.4711574144658</v>
      </c>
      <c r="L1159" s="13">
        <v>566.82789004524329</v>
      </c>
      <c r="M1159" s="13">
        <v>928.26712158922987</v>
      </c>
      <c r="N1159" s="13">
        <v>2364.2679707217108</v>
      </c>
      <c r="O1159" s="13">
        <v>349.047818383432</v>
      </c>
      <c r="P1159" s="13">
        <v>43.91257052592352</v>
      </c>
      <c r="Q1159" s="13">
        <v>236.37623686710808</v>
      </c>
      <c r="R1159" s="13"/>
      <c r="S1159" s="13">
        <v>127.89880404356435</v>
      </c>
      <c r="T1159" s="13">
        <v>664.56165347728745</v>
      </c>
      <c r="U1159" s="13"/>
      <c r="V1159" s="13"/>
      <c r="W1159" s="13"/>
      <c r="X1159" s="13">
        <v>41.627848568461708</v>
      </c>
      <c r="Y1159" s="13">
        <v>5.5395310413292522</v>
      </c>
      <c r="Z1159" s="13">
        <v>443.01213310141463</v>
      </c>
      <c r="AA1159" s="13"/>
      <c r="AB1159" s="13"/>
      <c r="AC1159" s="14">
        <v>2358.4312052934597</v>
      </c>
      <c r="AD1159" s="14">
        <v>779.97460969668782</v>
      </c>
      <c r="AE1159" s="14">
        <v>1187.8202857643621</v>
      </c>
      <c r="AF1159" s="14"/>
      <c r="AG1159" s="15">
        <v>0.43988679971708766</v>
      </c>
      <c r="AH1159" s="15">
        <v>0.46600812649305495</v>
      </c>
      <c r="AI1159" s="15"/>
      <c r="AJ1159" s="41">
        <f t="shared" si="36"/>
        <v>9477.6903020292812</v>
      </c>
      <c r="AK1159" s="44">
        <f t="shared" si="37"/>
        <v>1.3968111411967814</v>
      </c>
      <c r="AL1159" s="10"/>
      <c r="AM1159" s="10"/>
    </row>
    <row r="1160" spans="1:39" s="16" customFormat="1" ht="19" customHeight="1">
      <c r="A1160" s="9" t="s">
        <v>1196</v>
      </c>
      <c r="B1160" s="10" t="s">
        <v>1187</v>
      </c>
      <c r="C1160" s="10"/>
      <c r="D1160" s="10"/>
      <c r="E1160" s="11" t="s">
        <v>1341</v>
      </c>
      <c r="F1160" s="11" t="s">
        <v>249</v>
      </c>
      <c r="G1160" s="12" t="s">
        <v>1006</v>
      </c>
      <c r="H1160" s="13">
        <v>25.191684307743749</v>
      </c>
      <c r="I1160" s="13">
        <v>6.5467786698545378</v>
      </c>
      <c r="J1160" s="13">
        <v>892.44756272119218</v>
      </c>
      <c r="K1160" s="13">
        <v>1990.94496475152</v>
      </c>
      <c r="L1160" s="13">
        <v>260.12161325731955</v>
      </c>
      <c r="M1160" s="13">
        <v>810.80128813587191</v>
      </c>
      <c r="N1160" s="13">
        <v>1194.0289559918847</v>
      </c>
      <c r="O1160" s="13">
        <v>212.48260786091791</v>
      </c>
      <c r="P1160" s="13">
        <v>16.419783880585939</v>
      </c>
      <c r="Q1160" s="13">
        <v>165.82295713981043</v>
      </c>
      <c r="R1160" s="13"/>
      <c r="S1160" s="13">
        <v>86.490277798130535</v>
      </c>
      <c r="T1160" s="13">
        <v>430.60578670380983</v>
      </c>
      <c r="U1160" s="13"/>
      <c r="V1160" s="13"/>
      <c r="W1160" s="13"/>
      <c r="X1160" s="13">
        <v>22.299683666967852</v>
      </c>
      <c r="Y1160" s="13">
        <v>2.8802428123202763</v>
      </c>
      <c r="Z1160" s="13">
        <v>382.08347195364263</v>
      </c>
      <c r="AA1160" s="13"/>
      <c r="AB1160" s="13"/>
      <c r="AC1160" s="14">
        <v>1435.6932963575534</v>
      </c>
      <c r="AD1160" s="14">
        <v>291.64802629815171</v>
      </c>
      <c r="AE1160" s="14">
        <v>833.28119165733881</v>
      </c>
      <c r="AF1160" s="14"/>
      <c r="AG1160" s="15">
        <v>0.25707475146916459</v>
      </c>
      <c r="AH1160" s="15">
        <v>0.26664436846527939</v>
      </c>
      <c r="AI1160" s="15"/>
      <c r="AJ1160" s="41">
        <f t="shared" si="36"/>
        <v>4337.5430967219163</v>
      </c>
      <c r="AK1160" s="44">
        <f t="shared" si="37"/>
        <v>1.8829317049879262</v>
      </c>
      <c r="AL1160" s="10"/>
      <c r="AM1160" s="10"/>
    </row>
    <row r="1161" spans="1:39" s="16" customFormat="1" ht="19" customHeight="1">
      <c r="A1161" s="9" t="s">
        <v>1197</v>
      </c>
      <c r="B1161" s="10" t="s">
        <v>1187</v>
      </c>
      <c r="C1161" s="10"/>
      <c r="D1161" s="10"/>
      <c r="E1161" s="11" t="s">
        <v>1341</v>
      </c>
      <c r="F1161" s="11" t="s">
        <v>249</v>
      </c>
      <c r="G1161" s="12" t="s">
        <v>1006</v>
      </c>
      <c r="H1161" s="13">
        <v>23.772885848812422</v>
      </c>
      <c r="I1161" s="13">
        <v>5.1610933449279575</v>
      </c>
      <c r="J1161" s="13">
        <v>1021.8579657114883</v>
      </c>
      <c r="K1161" s="13">
        <v>1878.7287990337336</v>
      </c>
      <c r="L1161" s="13">
        <v>215.12963520514225</v>
      </c>
      <c r="M1161" s="13">
        <v>793.54405789444854</v>
      </c>
      <c r="N1161" s="13">
        <v>955.36632161386808</v>
      </c>
      <c r="O1161" s="13">
        <v>163.53599772786657</v>
      </c>
      <c r="P1161" s="13">
        <v>16.175169261481486</v>
      </c>
      <c r="Q1161" s="13">
        <v>135.91567545808172</v>
      </c>
      <c r="R1161" s="13"/>
      <c r="S1161" s="13">
        <v>70.420363770434847</v>
      </c>
      <c r="T1161" s="13">
        <v>320.76170320260974</v>
      </c>
      <c r="U1161" s="13"/>
      <c r="V1161" s="13"/>
      <c r="W1161" s="13"/>
      <c r="X1161" s="13">
        <v>18.010343958194184</v>
      </c>
      <c r="Y1161" s="13">
        <v>2.6014322288244265</v>
      </c>
      <c r="Z1161" s="13">
        <v>496.84255394529384</v>
      </c>
      <c r="AA1161" s="13"/>
      <c r="AB1161" s="13"/>
      <c r="AC1161" s="14">
        <v>1104.9729576207201</v>
      </c>
      <c r="AD1161" s="14">
        <v>287.30318404052372</v>
      </c>
      <c r="AE1161" s="14">
        <v>682.99334401046087</v>
      </c>
      <c r="AF1161" s="14"/>
      <c r="AG1161" s="15">
        <v>0.32137427173925359</v>
      </c>
      <c r="AH1161" s="15">
        <v>0.33071689257005055</v>
      </c>
      <c r="AI1161" s="15"/>
      <c r="AJ1161" s="41">
        <f t="shared" si="36"/>
        <v>4071.0827215642321</v>
      </c>
      <c r="AK1161" s="44">
        <f t="shared" si="37"/>
        <v>2.4739364143892355</v>
      </c>
      <c r="AL1161" s="10"/>
      <c r="AM1161" s="10"/>
    </row>
    <row r="1162" spans="1:39" s="16" customFormat="1" ht="19" customHeight="1">
      <c r="A1162" s="9" t="s">
        <v>1198</v>
      </c>
      <c r="B1162" s="10" t="s">
        <v>1187</v>
      </c>
      <c r="C1162" s="10"/>
      <c r="D1162" s="10"/>
      <c r="E1162" s="11" t="s">
        <v>1341</v>
      </c>
      <c r="F1162" s="11" t="s">
        <v>249</v>
      </c>
      <c r="G1162" s="12" t="s">
        <v>1006</v>
      </c>
      <c r="H1162" s="13">
        <v>22.911603238883359</v>
      </c>
      <c r="I1162" s="13">
        <v>4.871236430355375</v>
      </c>
      <c r="J1162" s="13">
        <v>740.74809113049844</v>
      </c>
      <c r="K1162" s="13">
        <v>1647.218309139434</v>
      </c>
      <c r="L1162" s="13">
        <v>222.43128337741851</v>
      </c>
      <c r="M1162" s="13">
        <v>781.32157282534865</v>
      </c>
      <c r="N1162" s="13">
        <v>1045.5488295134739</v>
      </c>
      <c r="O1162" s="13">
        <v>194.81261092086328</v>
      </c>
      <c r="P1162" s="13">
        <v>14.911808040810321</v>
      </c>
      <c r="Q1162" s="13">
        <v>151.49357031475836</v>
      </c>
      <c r="R1162" s="13"/>
      <c r="S1162" s="13">
        <v>78.632641407356246</v>
      </c>
      <c r="T1162" s="13">
        <v>380.42867639892239</v>
      </c>
      <c r="U1162" s="13"/>
      <c r="V1162" s="13"/>
      <c r="W1162" s="13"/>
      <c r="X1162" s="13">
        <v>20.427491655730584</v>
      </c>
      <c r="Y1162" s="13">
        <v>2.7518859238469338</v>
      </c>
      <c r="Z1162" s="13">
        <v>381.53161363818293</v>
      </c>
      <c r="AA1162" s="13"/>
      <c r="AB1162" s="13"/>
      <c r="AC1162" s="14">
        <v>1316.3014251409681</v>
      </c>
      <c r="AD1162" s="14">
        <v>264.86337550284765</v>
      </c>
      <c r="AE1162" s="14">
        <v>761.27422268722785</v>
      </c>
      <c r="AF1162" s="14"/>
      <c r="AG1162" s="15">
        <v>0.25497350797283735</v>
      </c>
      <c r="AH1162" s="15">
        <v>0.26459014940837522</v>
      </c>
      <c r="AI1162" s="15"/>
      <c r="AJ1162" s="41">
        <f t="shared" si="36"/>
        <v>3655.9465131608249</v>
      </c>
      <c r="AK1162" s="44">
        <f t="shared" si="37"/>
        <v>2.053792527475097</v>
      </c>
      <c r="AL1162" s="10"/>
      <c r="AM1162" s="10"/>
    </row>
    <row r="1163" spans="1:39" s="16" customFormat="1" ht="19" customHeight="1">
      <c r="A1163" s="9" t="s">
        <v>1199</v>
      </c>
      <c r="B1163" s="10" t="s">
        <v>1187</v>
      </c>
      <c r="C1163" s="10"/>
      <c r="D1163" s="10"/>
      <c r="E1163" s="11" t="s">
        <v>1341</v>
      </c>
      <c r="F1163" s="11" t="s">
        <v>249</v>
      </c>
      <c r="G1163" s="12" t="s">
        <v>1006</v>
      </c>
      <c r="H1163" s="13">
        <v>19.717979854654764</v>
      </c>
      <c r="I1163" s="13">
        <v>3.731962518136235</v>
      </c>
      <c r="J1163" s="13">
        <v>1031.8247039349508</v>
      </c>
      <c r="K1163" s="13">
        <v>2625.9501281529365</v>
      </c>
      <c r="L1163" s="13">
        <v>340.58747614182755</v>
      </c>
      <c r="M1163" s="13">
        <v>851.44519168745785</v>
      </c>
      <c r="N1163" s="13">
        <v>1526.5151440828665</v>
      </c>
      <c r="O1163" s="13">
        <v>249.0726715062242</v>
      </c>
      <c r="P1163" s="13">
        <v>23.879956382547928</v>
      </c>
      <c r="Q1163" s="13">
        <v>186.75424989892596</v>
      </c>
      <c r="R1163" s="13"/>
      <c r="S1163" s="13">
        <v>95.194839233871065</v>
      </c>
      <c r="T1163" s="13">
        <v>461.51451207300471</v>
      </c>
      <c r="U1163" s="13"/>
      <c r="V1163" s="13"/>
      <c r="W1163" s="13"/>
      <c r="X1163" s="13">
        <v>25.381461548206886</v>
      </c>
      <c r="Y1163" s="13">
        <v>3.2081111304368237</v>
      </c>
      <c r="Z1163" s="13">
        <v>556.60275281147096</v>
      </c>
      <c r="AA1163" s="13"/>
      <c r="AB1163" s="13"/>
      <c r="AC1163" s="14">
        <v>1682.9234561231365</v>
      </c>
      <c r="AD1163" s="14">
        <v>424.15553077349784</v>
      </c>
      <c r="AE1163" s="14">
        <v>938.46356733128619</v>
      </c>
      <c r="AF1163" s="14"/>
      <c r="AG1163" s="15">
        <v>0.32361152853694403</v>
      </c>
      <c r="AH1163" s="15">
        <v>0.33750813406676955</v>
      </c>
      <c r="AI1163" s="15"/>
      <c r="AJ1163" s="41">
        <f t="shared" si="36"/>
        <v>5524.8774523125812</v>
      </c>
      <c r="AK1163" s="44">
        <f t="shared" si="37"/>
        <v>1.8448936477923188</v>
      </c>
      <c r="AL1163" s="10"/>
      <c r="AM1163" s="10"/>
    </row>
    <row r="1164" spans="1:39" s="16" customFormat="1" ht="19" customHeight="1">
      <c r="A1164" s="9" t="s">
        <v>1200</v>
      </c>
      <c r="B1164" s="10" t="s">
        <v>1005</v>
      </c>
      <c r="C1164" s="10"/>
      <c r="D1164" s="10"/>
      <c r="E1164" s="38" t="s">
        <v>953</v>
      </c>
      <c r="F1164" s="38" t="s">
        <v>249</v>
      </c>
      <c r="G1164" s="12" t="s">
        <v>1006</v>
      </c>
      <c r="H1164" s="13">
        <v>79.53936513251044</v>
      </c>
      <c r="I1164" s="13">
        <v>13.37080462820713</v>
      </c>
      <c r="J1164" s="13">
        <v>4344.574940189983</v>
      </c>
      <c r="K1164" s="13">
        <v>7258.5361083875732</v>
      </c>
      <c r="L1164" s="13">
        <v>637.73106614051164</v>
      </c>
      <c r="M1164" s="13">
        <v>2915.1048360303598</v>
      </c>
      <c r="N1164" s="13">
        <v>2076.3071991046263</v>
      </c>
      <c r="O1164" s="13">
        <v>266.08021216782879</v>
      </c>
      <c r="P1164" s="13">
        <v>48.668944777918121</v>
      </c>
      <c r="Q1164" s="13">
        <v>205.54023953983463</v>
      </c>
      <c r="R1164" s="13"/>
      <c r="S1164" s="13">
        <v>92.155081712419985</v>
      </c>
      <c r="T1164" s="13">
        <v>548.1601323390563</v>
      </c>
      <c r="U1164" s="13"/>
      <c r="V1164" s="13"/>
      <c r="W1164" s="13"/>
      <c r="X1164" s="13">
        <v>30.854407850038811</v>
      </c>
      <c r="Y1164" s="13">
        <v>3.9410674409038209</v>
      </c>
      <c r="Z1164" s="13">
        <v>527.63410983087374</v>
      </c>
      <c r="AA1164" s="13"/>
      <c r="AB1164" s="13"/>
      <c r="AC1164" s="14">
        <v>1797.8392714042486</v>
      </c>
      <c r="AD1164" s="14">
        <v>864.45727847101466</v>
      </c>
      <c r="AE1164" s="14">
        <v>1032.8655253258021</v>
      </c>
      <c r="AF1164" s="14"/>
      <c r="AG1164" s="15">
        <v>0.61077176219124729</v>
      </c>
      <c r="AH1164" s="15">
        <v>0.63437522398505408</v>
      </c>
      <c r="AI1164" s="15"/>
      <c r="AJ1164" s="41">
        <f t="shared" si="36"/>
        <v>14317.149313822694</v>
      </c>
      <c r="AK1164" s="44">
        <f t="shared" si="37"/>
        <v>5.3179803930492069</v>
      </c>
      <c r="AL1164" s="10"/>
      <c r="AM1164" s="10"/>
    </row>
    <row r="1165" spans="1:39" s="16" customFormat="1" ht="19" customHeight="1">
      <c r="A1165" s="9" t="s">
        <v>1201</v>
      </c>
      <c r="B1165" s="10" t="s">
        <v>1005</v>
      </c>
      <c r="C1165" s="10"/>
      <c r="D1165" s="10"/>
      <c r="E1165" s="38" t="s">
        <v>953</v>
      </c>
      <c r="F1165" s="38" t="s">
        <v>249</v>
      </c>
      <c r="G1165" s="12" t="s">
        <v>1006</v>
      </c>
      <c r="H1165" s="13">
        <v>92.331381520013991</v>
      </c>
      <c r="I1165" s="13">
        <v>9.148654886013782</v>
      </c>
      <c r="J1165" s="13">
        <v>3833.4199085238874</v>
      </c>
      <c r="K1165" s="13">
        <v>6343.6046502144036</v>
      </c>
      <c r="L1165" s="13">
        <v>542.04017369000212</v>
      </c>
      <c r="M1165" s="13">
        <v>3312.8505700204319</v>
      </c>
      <c r="N1165" s="13">
        <v>1737.1374889139167</v>
      </c>
      <c r="O1165" s="13">
        <v>215.11551360875362</v>
      </c>
      <c r="P1165" s="13">
        <v>44.00212303384837</v>
      </c>
      <c r="Q1165" s="13">
        <v>168.64053999939486</v>
      </c>
      <c r="R1165" s="13"/>
      <c r="S1165" s="13">
        <v>77.460447832768722</v>
      </c>
      <c r="T1165" s="13">
        <v>471.1892087557618</v>
      </c>
      <c r="U1165" s="13"/>
      <c r="V1165" s="13"/>
      <c r="W1165" s="13"/>
      <c r="X1165" s="13">
        <v>27.946378949360124</v>
      </c>
      <c r="Y1165" s="13">
        <v>3.8998852940948034</v>
      </c>
      <c r="Z1165" s="13">
        <v>453.91044971876556</v>
      </c>
      <c r="AA1165" s="13"/>
      <c r="AB1165" s="13"/>
      <c r="AC1165" s="14">
        <v>1453.4832000591462</v>
      </c>
      <c r="AD1165" s="14">
        <v>781.56524038807061</v>
      </c>
      <c r="AE1165" s="14">
        <v>847.43989949444654</v>
      </c>
      <c r="AF1165" s="14"/>
      <c r="AG1165" s="15">
        <v>0.67934929293352209</v>
      </c>
      <c r="AH1165" s="15">
        <v>0.70421581506170594</v>
      </c>
      <c r="AI1165" s="15"/>
      <c r="AJ1165" s="41">
        <f t="shared" si="36"/>
        <v>12456.20222134221</v>
      </c>
      <c r="AK1165" s="44">
        <f t="shared" si="37"/>
        <v>7.030828610800441</v>
      </c>
      <c r="AL1165" s="10"/>
      <c r="AM1165" s="10"/>
    </row>
    <row r="1166" spans="1:39" s="16" customFormat="1" ht="19" customHeight="1">
      <c r="A1166" s="9" t="s">
        <v>1202</v>
      </c>
      <c r="B1166" s="10" t="s">
        <v>1005</v>
      </c>
      <c r="C1166" s="10"/>
      <c r="D1166" s="10"/>
      <c r="E1166" s="38" t="s">
        <v>953</v>
      </c>
      <c r="F1166" s="38" t="s">
        <v>249</v>
      </c>
      <c r="G1166" s="12" t="s">
        <v>1006</v>
      </c>
      <c r="H1166" s="13">
        <v>281.98766204039913</v>
      </c>
      <c r="I1166" s="13">
        <v>23.642618314105587</v>
      </c>
      <c r="J1166" s="13">
        <v>5406.1006242248222</v>
      </c>
      <c r="K1166" s="13">
        <v>8817.1183410747817</v>
      </c>
      <c r="L1166" s="13">
        <v>767.90335071776235</v>
      </c>
      <c r="M1166" s="13">
        <v>3595.7969515729842</v>
      </c>
      <c r="N1166" s="13">
        <v>2415.3606996996177</v>
      </c>
      <c r="O1166" s="13">
        <v>321.95791973417056</v>
      </c>
      <c r="P1166" s="13">
        <v>59.848723883096113</v>
      </c>
      <c r="Q1166" s="13">
        <v>226.67554023976305</v>
      </c>
      <c r="R1166" s="13"/>
      <c r="S1166" s="13">
        <v>106.0698859290098</v>
      </c>
      <c r="T1166" s="13">
        <v>659.3650501643549</v>
      </c>
      <c r="U1166" s="13"/>
      <c r="V1166" s="13"/>
      <c r="W1166" s="13"/>
      <c r="X1166" s="13">
        <v>39.792748213116333</v>
      </c>
      <c r="Y1166" s="13">
        <v>5.6121312335427529</v>
      </c>
      <c r="Z1166" s="13">
        <v>453.01725296214681</v>
      </c>
      <c r="AA1166" s="13"/>
      <c r="AB1166" s="13"/>
      <c r="AC1166" s="14">
        <v>2175.3913495552065</v>
      </c>
      <c r="AD1166" s="14">
        <v>1063.0323957921157</v>
      </c>
      <c r="AE1166" s="14">
        <v>1139.0730665314725</v>
      </c>
      <c r="AF1166" s="14"/>
      <c r="AG1166" s="15">
        <v>0.64145048028436313</v>
      </c>
      <c r="AH1166" s="15">
        <v>0.6753081789157982</v>
      </c>
      <c r="AI1166" s="15"/>
      <c r="AJ1166" s="41">
        <f t="shared" si="36"/>
        <v>17406.483015716985</v>
      </c>
      <c r="AK1166" s="44">
        <f t="shared" si="37"/>
        <v>5.453423639418995</v>
      </c>
      <c r="AL1166" s="10"/>
      <c r="AM1166" s="10"/>
    </row>
    <row r="1167" spans="1:39" s="16" customFormat="1" ht="19" customHeight="1">
      <c r="A1167" s="9" t="s">
        <v>1203</v>
      </c>
      <c r="B1167" s="10" t="s">
        <v>1005</v>
      </c>
      <c r="C1167" s="10"/>
      <c r="D1167" s="10"/>
      <c r="E1167" s="38" t="s">
        <v>953</v>
      </c>
      <c r="F1167" s="38" t="s">
        <v>249</v>
      </c>
      <c r="G1167" s="12" t="s">
        <v>1006</v>
      </c>
      <c r="H1167" s="13">
        <v>340.28108240867374</v>
      </c>
      <c r="I1167" s="13">
        <v>28.926811171265449</v>
      </c>
      <c r="J1167" s="13">
        <v>6343.7719263815297</v>
      </c>
      <c r="K1167" s="13">
        <v>11666.495862022593</v>
      </c>
      <c r="L1167" s="13">
        <v>959.17737924069525</v>
      </c>
      <c r="M1167" s="13">
        <v>3422.9176089673501</v>
      </c>
      <c r="N1167" s="13">
        <v>3206.014311293784</v>
      </c>
      <c r="O1167" s="13">
        <v>424.74008106538639</v>
      </c>
      <c r="P1167" s="13">
        <v>71.722402533446342</v>
      </c>
      <c r="Q1167" s="13">
        <v>307.25144895774736</v>
      </c>
      <c r="R1167" s="13"/>
      <c r="S1167" s="13">
        <v>142.01935894715203</v>
      </c>
      <c r="T1167" s="13">
        <v>823.61040127823685</v>
      </c>
      <c r="U1167" s="13"/>
      <c r="V1167" s="13"/>
      <c r="W1167" s="13"/>
      <c r="X1167" s="13">
        <v>45.99439747847093</v>
      </c>
      <c r="Y1167" s="13">
        <v>5.7100690166926062</v>
      </c>
      <c r="Z1167" s="13">
        <v>589.70816993226754</v>
      </c>
      <c r="AA1167" s="13"/>
      <c r="AB1167" s="13"/>
      <c r="AC1167" s="14">
        <v>2869.8654126039623</v>
      </c>
      <c r="AD1167" s="14">
        <v>1273.9325494395443</v>
      </c>
      <c r="AE1167" s="14">
        <v>1543.9771304409414</v>
      </c>
      <c r="AF1167" s="14"/>
      <c r="AG1167" s="15">
        <v>0.57724422066072056</v>
      </c>
      <c r="AH1167" s="15">
        <v>0.60519486915777854</v>
      </c>
      <c r="AI1167" s="15"/>
      <c r="AJ1167" s="41">
        <f t="shared" si="36"/>
        <v>22175.459478938603</v>
      </c>
      <c r="AK1167" s="44">
        <f t="shared" si="37"/>
        <v>4.1559912352430333</v>
      </c>
      <c r="AL1167" s="10"/>
      <c r="AM1167" s="10"/>
    </row>
    <row r="1168" spans="1:39" s="16" customFormat="1" ht="19" customHeight="1">
      <c r="A1168" s="9" t="s">
        <v>1204</v>
      </c>
      <c r="B1168" s="10" t="s">
        <v>1005</v>
      </c>
      <c r="C1168" s="10"/>
      <c r="D1168" s="10"/>
      <c r="E1168" s="38" t="s">
        <v>953</v>
      </c>
      <c r="F1168" s="38" t="s">
        <v>249</v>
      </c>
      <c r="G1168" s="12" t="s">
        <v>1006</v>
      </c>
      <c r="H1168" s="13">
        <v>280.2755684225761</v>
      </c>
      <c r="I1168" s="13">
        <v>23.794220519692352</v>
      </c>
      <c r="J1168" s="13">
        <v>4945.1575872095236</v>
      </c>
      <c r="K1168" s="13">
        <v>8881.9429050864637</v>
      </c>
      <c r="L1168" s="13">
        <v>736.36193786649676</v>
      </c>
      <c r="M1168" s="13">
        <v>3469.084304061585</v>
      </c>
      <c r="N1168" s="13">
        <v>2407.0931603954314</v>
      </c>
      <c r="O1168" s="13">
        <v>310.14820668666806</v>
      </c>
      <c r="P1168" s="13">
        <v>60.154086153348175</v>
      </c>
      <c r="Q1168" s="13">
        <v>225.12161752069301</v>
      </c>
      <c r="R1168" s="13"/>
      <c r="S1168" s="13">
        <v>104.13070465298209</v>
      </c>
      <c r="T1168" s="13">
        <v>641.73097870629056</v>
      </c>
      <c r="U1168" s="13"/>
      <c r="V1168" s="13"/>
      <c r="W1168" s="13"/>
      <c r="X1168" s="13">
        <v>38.748514452648905</v>
      </c>
      <c r="Y1168" s="13">
        <v>5.1138648571950815</v>
      </c>
      <c r="Z1168" s="13">
        <v>469.3443386543031</v>
      </c>
      <c r="AA1168" s="13"/>
      <c r="AB1168" s="13"/>
      <c r="AC1168" s="14">
        <v>2095.5959911261357</v>
      </c>
      <c r="AD1168" s="14">
        <v>1068.456237182028</v>
      </c>
      <c r="AE1168" s="14">
        <v>1131.2644096517236</v>
      </c>
      <c r="AF1168" s="14"/>
      <c r="AG1168" s="15">
        <v>0.66222650160166108</v>
      </c>
      <c r="AH1168" s="15">
        <v>0.69393836270357301</v>
      </c>
      <c r="AI1168" s="15"/>
      <c r="AJ1168" s="41">
        <f t="shared" si="36"/>
        <v>16970.555590557917</v>
      </c>
      <c r="AK1168" s="44">
        <f t="shared" si="37"/>
        <v>5.40582334213497</v>
      </c>
      <c r="AL1168" s="10"/>
      <c r="AM1168" s="10"/>
    </row>
    <row r="1169" spans="1:39" s="16" customFormat="1" ht="19" customHeight="1">
      <c r="A1169" s="9" t="s">
        <v>1205</v>
      </c>
      <c r="B1169" s="10" t="s">
        <v>1005</v>
      </c>
      <c r="C1169" s="10"/>
      <c r="D1169" s="10"/>
      <c r="E1169" s="38" t="s">
        <v>953</v>
      </c>
      <c r="F1169" s="38" t="s">
        <v>249</v>
      </c>
      <c r="G1169" s="12" t="s">
        <v>1006</v>
      </c>
      <c r="H1169" s="13">
        <v>14.83039411026704</v>
      </c>
      <c r="I1169" s="13">
        <v>3.4848649810552392</v>
      </c>
      <c r="J1169" s="13">
        <v>3311.0524836462896</v>
      </c>
      <c r="K1169" s="13">
        <v>5681.6947569279573</v>
      </c>
      <c r="L1169" s="13">
        <v>485.10957798627715</v>
      </c>
      <c r="M1169" s="13">
        <v>3058.5713087188474</v>
      </c>
      <c r="N1169" s="13">
        <v>1573.1068371777576</v>
      </c>
      <c r="O1169" s="13">
        <v>199.30725251836586</v>
      </c>
      <c r="P1169" s="13">
        <v>38.063683939485898</v>
      </c>
      <c r="Q1169" s="13">
        <v>146.30858495916652</v>
      </c>
      <c r="R1169" s="13"/>
      <c r="S1169" s="13">
        <v>65.299412060947375</v>
      </c>
      <c r="T1169" s="13">
        <v>413.49981726218766</v>
      </c>
      <c r="U1169" s="13"/>
      <c r="V1169" s="13"/>
      <c r="W1169" s="13"/>
      <c r="X1169" s="13">
        <v>24.514064714343039</v>
      </c>
      <c r="Y1169" s="13">
        <v>3.1747707071306248</v>
      </c>
      <c r="Z1169" s="13">
        <v>461.08279784746412</v>
      </c>
      <c r="AA1169" s="13"/>
      <c r="AB1169" s="13"/>
      <c r="AC1169" s="14">
        <v>1346.6706251240937</v>
      </c>
      <c r="AD1169" s="14">
        <v>676.08674848109945</v>
      </c>
      <c r="AE1169" s="14">
        <v>735.21901989530909</v>
      </c>
      <c r="AF1169" s="14"/>
      <c r="AG1169" s="15">
        <v>0.64949335820804122</v>
      </c>
      <c r="AH1169" s="15">
        <v>0.67945916868066836</v>
      </c>
      <c r="AI1169" s="15"/>
      <c r="AJ1169" s="41">
        <f t="shared" si="36"/>
        <v>11050.963655738282</v>
      </c>
      <c r="AK1169" s="44">
        <f t="shared" si="37"/>
        <v>7.3967899888562716</v>
      </c>
      <c r="AL1169" s="10"/>
      <c r="AM1169" s="10"/>
    </row>
    <row r="1170" spans="1:39" s="16" customFormat="1" ht="19" customHeight="1">
      <c r="A1170" s="9" t="s">
        <v>1206</v>
      </c>
      <c r="B1170" s="10" t="s">
        <v>1005</v>
      </c>
      <c r="C1170" s="10"/>
      <c r="D1170" s="10"/>
      <c r="E1170" s="38" t="s">
        <v>953</v>
      </c>
      <c r="F1170" s="38" t="s">
        <v>249</v>
      </c>
      <c r="G1170" s="12" t="s">
        <v>1006</v>
      </c>
      <c r="H1170" s="13">
        <v>349.36323967764929</v>
      </c>
      <c r="I1170" s="13">
        <v>25.976522482285898</v>
      </c>
      <c r="J1170" s="13">
        <v>5784.0829444054752</v>
      </c>
      <c r="K1170" s="13">
        <v>10833.932733452824</v>
      </c>
      <c r="L1170" s="13">
        <v>871.43807995462851</v>
      </c>
      <c r="M1170" s="13">
        <v>3573.9544369669616</v>
      </c>
      <c r="N1170" s="13">
        <v>2850.1956965338554</v>
      </c>
      <c r="O1170" s="13">
        <v>363.97243199573273</v>
      </c>
      <c r="P1170" s="13">
        <v>67.176384527351743</v>
      </c>
      <c r="Q1170" s="13">
        <v>263.74071784183172</v>
      </c>
      <c r="R1170" s="13"/>
      <c r="S1170" s="13">
        <v>129.10321050762178</v>
      </c>
      <c r="T1170" s="13">
        <v>787.63926747978712</v>
      </c>
      <c r="U1170" s="13"/>
      <c r="V1170" s="13"/>
      <c r="W1170" s="13"/>
      <c r="X1170" s="13">
        <v>45.798932608031649</v>
      </c>
      <c r="Y1170" s="13">
        <v>6.3635747208054259</v>
      </c>
      <c r="Z1170" s="13">
        <v>494.94541977855192</v>
      </c>
      <c r="AA1170" s="13"/>
      <c r="AB1170" s="13"/>
      <c r="AC1170" s="14">
        <v>2459.2731891603567</v>
      </c>
      <c r="AD1170" s="14">
        <v>1193.1862260630862</v>
      </c>
      <c r="AE1170" s="14">
        <v>1325.3302404112146</v>
      </c>
      <c r="AF1170" s="14"/>
      <c r="AG1170" s="15">
        <v>0.63054755842577592</v>
      </c>
      <c r="AH1170" s="15">
        <v>0.66091071051529771</v>
      </c>
      <c r="AI1170" s="15"/>
      <c r="AJ1170" s="41">
        <f t="shared" si="36"/>
        <v>20339.649454346782</v>
      </c>
      <c r="AK1170" s="44">
        <f t="shared" si="37"/>
        <v>4.5375523853737763</v>
      </c>
      <c r="AL1170" s="10"/>
      <c r="AM1170" s="10"/>
    </row>
    <row r="1171" spans="1:39" s="16" customFormat="1" ht="19" customHeight="1">
      <c r="A1171" s="9" t="s">
        <v>1207</v>
      </c>
      <c r="B1171" s="10" t="s">
        <v>1005</v>
      </c>
      <c r="C1171" s="10"/>
      <c r="D1171" s="10"/>
      <c r="E1171" s="38" t="s">
        <v>953</v>
      </c>
      <c r="F1171" s="38" t="s">
        <v>249</v>
      </c>
      <c r="G1171" s="12" t="s">
        <v>1006</v>
      </c>
      <c r="H1171" s="13">
        <v>226.99953696132579</v>
      </c>
      <c r="I1171" s="13">
        <v>21.487790483682335</v>
      </c>
      <c r="J1171" s="13">
        <v>4528.4392810447216</v>
      </c>
      <c r="K1171" s="13">
        <v>7516.3465779479093</v>
      </c>
      <c r="L1171" s="13">
        <v>612.46439058364069</v>
      </c>
      <c r="M1171" s="13">
        <v>4063.6679451287796</v>
      </c>
      <c r="N1171" s="13">
        <v>2035.6036929432901</v>
      </c>
      <c r="O1171" s="13">
        <v>250.78989573117892</v>
      </c>
      <c r="P1171" s="13">
        <v>56.412052323230952</v>
      </c>
      <c r="Q1171" s="13">
        <v>192.0309422398922</v>
      </c>
      <c r="R1171" s="13"/>
      <c r="S1171" s="13">
        <v>86.994984261533233</v>
      </c>
      <c r="T1171" s="13">
        <v>554.15457025725527</v>
      </c>
      <c r="U1171" s="13"/>
      <c r="V1171" s="13"/>
      <c r="W1171" s="13"/>
      <c r="X1171" s="13">
        <v>34.372382852939033</v>
      </c>
      <c r="Y1171" s="13">
        <v>4.6426735277723896</v>
      </c>
      <c r="Z1171" s="13">
        <v>394.13911369579745</v>
      </c>
      <c r="AA1171" s="13"/>
      <c r="AB1171" s="13"/>
      <c r="AC1171" s="14">
        <v>1694.5263225079657</v>
      </c>
      <c r="AD1171" s="14">
        <v>1001.9902721710649</v>
      </c>
      <c r="AE1171" s="14">
        <v>964.9796092456894</v>
      </c>
      <c r="AF1171" s="14"/>
      <c r="AG1171" s="15">
        <v>0.75351610252687895</v>
      </c>
      <c r="AH1171" s="15">
        <v>0.78357446931048724</v>
      </c>
      <c r="AI1171" s="15"/>
      <c r="AJ1171" s="41">
        <f t="shared" si="36"/>
        <v>14692.853942519561</v>
      </c>
      <c r="AK1171" s="44">
        <f t="shared" si="37"/>
        <v>7.3330947054037692</v>
      </c>
      <c r="AL1171" s="10"/>
      <c r="AM1171" s="10"/>
    </row>
    <row r="1172" spans="1:39" s="16" customFormat="1" ht="19" customHeight="1">
      <c r="A1172" s="9" t="s">
        <v>1208</v>
      </c>
      <c r="B1172" s="10" t="s">
        <v>1005</v>
      </c>
      <c r="C1172" s="10"/>
      <c r="D1172" s="10"/>
      <c r="E1172" s="38" t="s">
        <v>953</v>
      </c>
      <c r="F1172" s="38" t="s">
        <v>249</v>
      </c>
      <c r="G1172" s="12" t="s">
        <v>1006</v>
      </c>
      <c r="H1172" s="13">
        <v>299.51429191883813</v>
      </c>
      <c r="I1172" s="13">
        <v>25.617544505574145</v>
      </c>
      <c r="J1172" s="13">
        <v>5409.3184963878757</v>
      </c>
      <c r="K1172" s="13">
        <v>9688.3885868762518</v>
      </c>
      <c r="L1172" s="13">
        <v>749.83113418539892</v>
      </c>
      <c r="M1172" s="13">
        <v>3932.8028864861662</v>
      </c>
      <c r="N1172" s="13">
        <v>2465.0809498094263</v>
      </c>
      <c r="O1172" s="13">
        <v>313.04804714192016</v>
      </c>
      <c r="P1172" s="13">
        <v>64.225435525019321</v>
      </c>
      <c r="Q1172" s="13">
        <v>228.47167731380702</v>
      </c>
      <c r="R1172" s="13"/>
      <c r="S1172" s="13">
        <v>108.1576751047664</v>
      </c>
      <c r="T1172" s="13">
        <v>654.34855471092681</v>
      </c>
      <c r="U1172" s="13"/>
      <c r="V1172" s="13"/>
      <c r="W1172" s="13"/>
      <c r="X1172" s="13">
        <v>40.445793438184779</v>
      </c>
      <c r="Y1172" s="13">
        <v>5.8829419903012168</v>
      </c>
      <c r="Z1172" s="13">
        <v>428.39010105587431</v>
      </c>
      <c r="AA1172" s="13"/>
      <c r="AB1172" s="13"/>
      <c r="AC1172" s="14">
        <v>2115.1895077156769</v>
      </c>
      <c r="AD1172" s="14">
        <v>1140.7715013324926</v>
      </c>
      <c r="AE1172" s="14">
        <v>1148.0988809739047</v>
      </c>
      <c r="AF1172" s="14"/>
      <c r="AG1172" s="15">
        <v>0.69915457382581203</v>
      </c>
      <c r="AH1172" s="15">
        <v>0.73203926205254943</v>
      </c>
      <c r="AI1172" s="15"/>
      <c r="AJ1172" s="41">
        <f t="shared" si="36"/>
        <v>18312.619167258952</v>
      </c>
      <c r="AK1172" s="44">
        <f t="shared" si="37"/>
        <v>6.0102568549625213</v>
      </c>
      <c r="AL1172" s="10"/>
      <c r="AM1172" s="10"/>
    </row>
    <row r="1173" spans="1:39" s="16" customFormat="1" ht="19" customHeight="1">
      <c r="A1173" s="9" t="s">
        <v>1209</v>
      </c>
      <c r="B1173" s="10" t="s">
        <v>1005</v>
      </c>
      <c r="C1173" s="10"/>
      <c r="D1173" s="10"/>
      <c r="E1173" s="38" t="s">
        <v>953</v>
      </c>
      <c r="F1173" s="38" t="s">
        <v>249</v>
      </c>
      <c r="G1173" s="12" t="s">
        <v>1006</v>
      </c>
      <c r="H1173" s="13">
        <v>115.61634033453387</v>
      </c>
      <c r="I1173" s="13">
        <v>14.502878361882548</v>
      </c>
      <c r="J1173" s="13">
        <v>3590.5564169598183</v>
      </c>
      <c r="K1173" s="13">
        <v>6503.6835712694201</v>
      </c>
      <c r="L1173" s="13">
        <v>522.23342363938286</v>
      </c>
      <c r="M1173" s="13">
        <v>3514.7176821874664</v>
      </c>
      <c r="N1173" s="13">
        <v>1696.2452792198617</v>
      </c>
      <c r="O1173" s="13">
        <v>210.3317640681403</v>
      </c>
      <c r="P1173" s="13">
        <v>44.166936418242898</v>
      </c>
      <c r="Q1173" s="13">
        <v>154.7919925446237</v>
      </c>
      <c r="R1173" s="13"/>
      <c r="S1173" s="13">
        <v>70.707645725696352</v>
      </c>
      <c r="T1173" s="13">
        <v>436.3474954143868</v>
      </c>
      <c r="U1173" s="13"/>
      <c r="V1173" s="13"/>
      <c r="W1173" s="13"/>
      <c r="X1173" s="13">
        <v>26.083863882994525</v>
      </c>
      <c r="Y1173" s="13">
        <v>3.6227413978717551</v>
      </c>
      <c r="Z1173" s="13">
        <v>423.12499436052485</v>
      </c>
      <c r="AA1173" s="13"/>
      <c r="AB1173" s="13"/>
      <c r="AC1173" s="14">
        <v>1421.1605680279752</v>
      </c>
      <c r="AD1173" s="14">
        <v>784.49265396523799</v>
      </c>
      <c r="AE1173" s="14">
        <v>777.84920876695321</v>
      </c>
      <c r="AF1173" s="14"/>
      <c r="AG1173" s="15">
        <v>0.71349628568604306</v>
      </c>
      <c r="AH1173" s="15">
        <v>0.74613875746401548</v>
      </c>
      <c r="AI1173" s="15"/>
      <c r="AJ1173" s="41">
        <f t="shared" si="36"/>
        <v>12312.718691088483</v>
      </c>
      <c r="AK1173" s="44">
        <f t="shared" si="37"/>
        <v>8.0548593016436101</v>
      </c>
      <c r="AL1173" s="10"/>
      <c r="AM1173" s="10"/>
    </row>
    <row r="1174" spans="1:39" s="16" customFormat="1" ht="19" customHeight="1">
      <c r="A1174" s="9" t="s">
        <v>1210</v>
      </c>
      <c r="B1174" s="10" t="s">
        <v>1005</v>
      </c>
      <c r="C1174" s="10"/>
      <c r="D1174" s="10"/>
      <c r="E1174" s="38" t="s">
        <v>953</v>
      </c>
      <c r="F1174" s="38" t="s">
        <v>249</v>
      </c>
      <c r="G1174" s="12" t="s">
        <v>1006</v>
      </c>
      <c r="H1174" s="13">
        <v>245.01125910274092</v>
      </c>
      <c r="I1174" s="13">
        <v>20.819805406705743</v>
      </c>
      <c r="J1174" s="13">
        <v>5190.6052017556576</v>
      </c>
      <c r="K1174" s="13">
        <v>9565.3266241817964</v>
      </c>
      <c r="L1174" s="13">
        <v>773.81470700162106</v>
      </c>
      <c r="M1174" s="13">
        <v>3295.6143744280766</v>
      </c>
      <c r="N1174" s="13">
        <v>2486.1596826149871</v>
      </c>
      <c r="O1174" s="13">
        <v>313.84450821530282</v>
      </c>
      <c r="P1174" s="13">
        <v>58.844398233030326</v>
      </c>
      <c r="Q1174" s="13">
        <v>232.85252890031967</v>
      </c>
      <c r="R1174" s="13"/>
      <c r="S1174" s="13">
        <v>108.90937377157717</v>
      </c>
      <c r="T1174" s="13">
        <v>670.17326634755659</v>
      </c>
      <c r="U1174" s="13"/>
      <c r="V1174" s="13"/>
      <c r="W1174" s="13"/>
      <c r="X1174" s="13">
        <v>38.785327699036657</v>
      </c>
      <c r="Y1174" s="13">
        <v>5.2198282266202058</v>
      </c>
      <c r="Z1174" s="13">
        <v>454.34936084208476</v>
      </c>
      <c r="AA1174" s="13"/>
      <c r="AB1174" s="13"/>
      <c r="AC1174" s="14">
        <v>2120.571001454749</v>
      </c>
      <c r="AD1174" s="14">
        <v>1045.1935742989401</v>
      </c>
      <c r="AE1174" s="14">
        <v>1170.1132105543702</v>
      </c>
      <c r="AF1174" s="14"/>
      <c r="AG1174" s="15">
        <v>0.63524392312369571</v>
      </c>
      <c r="AH1174" s="15">
        <v>0.66352360975979396</v>
      </c>
      <c r="AI1174" s="15"/>
      <c r="AJ1174" s="41">
        <f t="shared" si="36"/>
        <v>18015.90621555406</v>
      </c>
      <c r="AK1174" s="44">
        <f t="shared" si="37"/>
        <v>4.9175557127027325</v>
      </c>
      <c r="AL1174" s="10"/>
      <c r="AM1174" s="10"/>
    </row>
    <row r="1175" spans="1:39" s="16" customFormat="1" ht="19" customHeight="1">
      <c r="A1175" s="9" t="s">
        <v>1211</v>
      </c>
      <c r="B1175" s="10" t="s">
        <v>1005</v>
      </c>
      <c r="C1175" s="10"/>
      <c r="D1175" s="10"/>
      <c r="E1175" s="38" t="s">
        <v>953</v>
      </c>
      <c r="F1175" s="38" t="s">
        <v>249</v>
      </c>
      <c r="G1175" s="12" t="s">
        <v>1006</v>
      </c>
      <c r="H1175" s="13">
        <v>223.12011414873328</v>
      </c>
      <c r="I1175" s="13">
        <v>24.920837783255447</v>
      </c>
      <c r="J1175" s="13">
        <v>3629.0182501314944</v>
      </c>
      <c r="K1175" s="13">
        <v>5226.3367023707051</v>
      </c>
      <c r="L1175" s="13">
        <v>405.69541578335117</v>
      </c>
      <c r="M1175" s="13">
        <v>4509.7412909995528</v>
      </c>
      <c r="N1175" s="13">
        <v>1292.9349089143079</v>
      </c>
      <c r="O1175" s="13">
        <v>151.9615824677563</v>
      </c>
      <c r="P1175" s="13">
        <v>44.524533557432555</v>
      </c>
      <c r="Q1175" s="13">
        <v>117.6286309621748</v>
      </c>
      <c r="R1175" s="13"/>
      <c r="S1175" s="13">
        <v>51.264378647332876</v>
      </c>
      <c r="T1175" s="13">
        <v>325.93415869408699</v>
      </c>
      <c r="U1175" s="13"/>
      <c r="V1175" s="13"/>
      <c r="W1175" s="13"/>
      <c r="X1175" s="13">
        <v>21.576015385402304</v>
      </c>
      <c r="Y1175" s="13">
        <v>3.5689098252337419</v>
      </c>
      <c r="Z1175" s="13">
        <v>338.81986224069004</v>
      </c>
      <c r="AA1175" s="13"/>
      <c r="AB1175" s="13"/>
      <c r="AC1175" s="14">
        <v>1026.7674491064615</v>
      </c>
      <c r="AD1175" s="14">
        <v>790.84429054054283</v>
      </c>
      <c r="AE1175" s="14">
        <v>591.09864805112954</v>
      </c>
      <c r="AF1175" s="14"/>
      <c r="AG1175" s="15">
        <v>0.97763874517176352</v>
      </c>
      <c r="AH1175" s="15">
        <v>1.0151376946665644</v>
      </c>
      <c r="AI1175" s="15"/>
      <c r="AJ1175" s="41">
        <f t="shared" si="36"/>
        <v>10553.985277199859</v>
      </c>
      <c r="AK1175" s="44">
        <f t="shared" si="37"/>
        <v>13.836356732502757</v>
      </c>
      <c r="AL1175" s="10"/>
      <c r="AM1175" s="10"/>
    </row>
    <row r="1176" spans="1:39" s="16" customFormat="1" ht="19" customHeight="1">
      <c r="A1176" s="9" t="s">
        <v>1212</v>
      </c>
      <c r="B1176" s="10" t="s">
        <v>1005</v>
      </c>
      <c r="C1176" s="10"/>
      <c r="D1176" s="10"/>
      <c r="E1176" s="38" t="s">
        <v>953</v>
      </c>
      <c r="F1176" s="38" t="s">
        <v>249</v>
      </c>
      <c r="G1176" s="12" t="s">
        <v>1006</v>
      </c>
      <c r="H1176" s="13">
        <v>80.079771476869979</v>
      </c>
      <c r="I1176" s="13">
        <v>6.8971524431750728</v>
      </c>
      <c r="J1176" s="13">
        <v>4065.2683099760684</v>
      </c>
      <c r="K1176" s="13">
        <v>6982.3965752469267</v>
      </c>
      <c r="L1176" s="13">
        <v>547.23361509028325</v>
      </c>
      <c r="M1176" s="13">
        <v>3528.817125885636</v>
      </c>
      <c r="N1176" s="13">
        <v>1822.9477581660808</v>
      </c>
      <c r="O1176" s="13">
        <v>229.04604391479305</v>
      </c>
      <c r="P1176" s="13">
        <v>45.011440694966858</v>
      </c>
      <c r="Q1176" s="13">
        <v>171.94163264710801</v>
      </c>
      <c r="R1176" s="13"/>
      <c r="S1176" s="13">
        <v>80.742959650768071</v>
      </c>
      <c r="T1176" s="13">
        <v>482.20647207002736</v>
      </c>
      <c r="U1176" s="13"/>
      <c r="V1176" s="13"/>
      <c r="W1176" s="13"/>
      <c r="X1176" s="13">
        <v>26.291924446409801</v>
      </c>
      <c r="Y1176" s="13">
        <v>3.6679510230919803</v>
      </c>
      <c r="Z1176" s="13">
        <v>450.55679363843024</v>
      </c>
      <c r="AA1176" s="13"/>
      <c r="AB1176" s="13"/>
      <c r="AC1176" s="14">
        <v>1547.6084048296827</v>
      </c>
      <c r="AD1176" s="14">
        <v>799.49272992836347</v>
      </c>
      <c r="AE1176" s="14">
        <v>864.02830475933672</v>
      </c>
      <c r="AF1176" s="14"/>
      <c r="AG1176" s="15">
        <v>0.66302915920085614</v>
      </c>
      <c r="AH1176" s="15">
        <v>0.69138506551054368</v>
      </c>
      <c r="AI1176" s="15"/>
      <c r="AJ1176" s="41">
        <f t="shared" si="36"/>
        <v>13417.84625847936</v>
      </c>
      <c r="AK1176" s="44">
        <f t="shared" si="37"/>
        <v>7.3180625526178575</v>
      </c>
      <c r="AL1176" s="10"/>
      <c r="AM1176" s="10"/>
    </row>
    <row r="1177" spans="1:39" s="16" customFormat="1" ht="19" customHeight="1">
      <c r="A1177" s="9" t="s">
        <v>1213</v>
      </c>
      <c r="B1177" s="10" t="s">
        <v>1005</v>
      </c>
      <c r="C1177" s="10"/>
      <c r="D1177" s="10"/>
      <c r="E1177" s="38" t="s">
        <v>953</v>
      </c>
      <c r="F1177" s="38" t="s">
        <v>249</v>
      </c>
      <c r="G1177" s="12" t="s">
        <v>1006</v>
      </c>
      <c r="H1177" s="13">
        <v>76.739208278112017</v>
      </c>
      <c r="I1177" s="13">
        <v>9.6734864853475262</v>
      </c>
      <c r="J1177" s="13">
        <v>4888.6819389885413</v>
      </c>
      <c r="K1177" s="13">
        <v>9669.5748504981329</v>
      </c>
      <c r="L1177" s="13">
        <v>721.85480470248376</v>
      </c>
      <c r="M1177" s="13">
        <v>3753.0848054625217</v>
      </c>
      <c r="N1177" s="13">
        <v>2432.057102237156</v>
      </c>
      <c r="O1177" s="13">
        <v>315.36305947242943</v>
      </c>
      <c r="P1177" s="13">
        <v>58.994958555344965</v>
      </c>
      <c r="Q1177" s="13">
        <v>233.0225717770318</v>
      </c>
      <c r="R1177" s="13"/>
      <c r="S1177" s="13">
        <v>104.06860129655134</v>
      </c>
      <c r="T1177" s="13">
        <v>643.19677896741246</v>
      </c>
      <c r="U1177" s="13"/>
      <c r="V1177" s="13"/>
      <c r="W1177" s="13"/>
      <c r="X1177" s="13">
        <v>34.556042259672239</v>
      </c>
      <c r="Y1177" s="13">
        <v>4.8444731485530594</v>
      </c>
      <c r="Z1177" s="13">
        <v>400.03686056354223</v>
      </c>
      <c r="AA1177" s="13"/>
      <c r="AB1177" s="13"/>
      <c r="AC1177" s="14">
        <v>2130.8314829218207</v>
      </c>
      <c r="AD1177" s="14">
        <v>1047.8678251393424</v>
      </c>
      <c r="AE1177" s="14">
        <v>1170.9676973720191</v>
      </c>
      <c r="AF1177" s="14"/>
      <c r="AG1177" s="15">
        <v>0.63472535300956046</v>
      </c>
      <c r="AH1177" s="15">
        <v>0.66337560354287506</v>
      </c>
      <c r="AI1177" s="15"/>
      <c r="AJ1177" s="41">
        <f t="shared" si="36"/>
        <v>17712.168696426314</v>
      </c>
      <c r="AK1177" s="44">
        <f t="shared" si="37"/>
        <v>5.8350491298910434</v>
      </c>
      <c r="AL1177" s="10"/>
      <c r="AM1177" s="10"/>
    </row>
    <row r="1178" spans="1:39" s="16" customFormat="1" ht="19" customHeight="1">
      <c r="A1178" s="9" t="s">
        <v>1214</v>
      </c>
      <c r="B1178" s="10" t="s">
        <v>1005</v>
      </c>
      <c r="C1178" s="10"/>
      <c r="D1178" s="10"/>
      <c r="E1178" s="38" t="s">
        <v>953</v>
      </c>
      <c r="F1178" s="38" t="s">
        <v>249</v>
      </c>
      <c r="G1178" s="12" t="s">
        <v>1006</v>
      </c>
      <c r="H1178" s="13">
        <v>63.071765420562713</v>
      </c>
      <c r="I1178" s="13">
        <v>15.551555669899995</v>
      </c>
      <c r="J1178" s="13">
        <v>3228.8201138399845</v>
      </c>
      <c r="K1178" s="13">
        <v>5616.0058202447344</v>
      </c>
      <c r="L1178" s="13">
        <v>518.2362493668395</v>
      </c>
      <c r="M1178" s="13">
        <v>3183.2685885586407</v>
      </c>
      <c r="N1178" s="13">
        <v>1794.2929853531991</v>
      </c>
      <c r="O1178" s="13">
        <v>241.62829543118343</v>
      </c>
      <c r="P1178" s="13">
        <v>39.898324129206507</v>
      </c>
      <c r="Q1178" s="13">
        <v>182.81268058191779</v>
      </c>
      <c r="R1178" s="13"/>
      <c r="S1178" s="13">
        <v>83.045518358725573</v>
      </c>
      <c r="T1178" s="13">
        <v>506.06522788877436</v>
      </c>
      <c r="U1178" s="13"/>
      <c r="V1178" s="13"/>
      <c r="W1178" s="13"/>
      <c r="X1178" s="13">
        <v>29.709522102362133</v>
      </c>
      <c r="Y1178" s="13">
        <v>3.9526578115418962</v>
      </c>
      <c r="Z1178" s="13">
        <v>555.18909295057063</v>
      </c>
      <c r="AA1178" s="13"/>
      <c r="AB1178" s="13"/>
      <c r="AC1178" s="14">
        <v>1632.6236177782664</v>
      </c>
      <c r="AD1178" s="14">
        <v>708.67360797880121</v>
      </c>
      <c r="AE1178" s="14">
        <v>918.65668634129543</v>
      </c>
      <c r="AF1178" s="14"/>
      <c r="AG1178" s="15">
        <v>0.55554351031872373</v>
      </c>
      <c r="AH1178" s="15">
        <v>0.57866418253063445</v>
      </c>
      <c r="AI1178" s="15"/>
      <c r="AJ1178" s="41">
        <f t="shared" si="36"/>
        <v>11157.355168804756</v>
      </c>
      <c r="AK1178" s="44">
        <f t="shared" si="37"/>
        <v>6.2902337744854426</v>
      </c>
      <c r="AL1178" s="10"/>
      <c r="AM1178" s="10"/>
    </row>
    <row r="1179" spans="1:39" s="16" customFormat="1" ht="19" customHeight="1">
      <c r="A1179" s="9" t="s">
        <v>1215</v>
      </c>
      <c r="B1179" s="10" t="s">
        <v>1005</v>
      </c>
      <c r="C1179" s="10"/>
      <c r="D1179" s="10"/>
      <c r="E1179" s="38" t="s">
        <v>953</v>
      </c>
      <c r="F1179" s="38" t="s">
        <v>249</v>
      </c>
      <c r="G1179" s="12" t="s">
        <v>1006</v>
      </c>
      <c r="H1179" s="13">
        <v>272.14109085264698</v>
      </c>
      <c r="I1179" s="13">
        <v>23.288066120196774</v>
      </c>
      <c r="J1179" s="13">
        <v>5142.2979391096651</v>
      </c>
      <c r="K1179" s="13">
        <v>9111.7829288346329</v>
      </c>
      <c r="L1179" s="13">
        <v>769.97184327227149</v>
      </c>
      <c r="M1179" s="13">
        <v>3731.2100510327464</v>
      </c>
      <c r="N1179" s="13">
        <v>2611.951605702171</v>
      </c>
      <c r="O1179" s="13">
        <v>332.97130478364858</v>
      </c>
      <c r="P1179" s="13">
        <v>64.754015099927855</v>
      </c>
      <c r="Q1179" s="13">
        <v>243.20184138019604</v>
      </c>
      <c r="R1179" s="13"/>
      <c r="S1179" s="13">
        <v>117.38798572713618</v>
      </c>
      <c r="T1179" s="13">
        <v>711.18484178968117</v>
      </c>
      <c r="U1179" s="13"/>
      <c r="V1179" s="13"/>
      <c r="W1179" s="13"/>
      <c r="X1179" s="13">
        <v>41.206206697473796</v>
      </c>
      <c r="Y1179" s="13">
        <v>5.9686734382269497</v>
      </c>
      <c r="Z1179" s="13">
        <v>471.68202035080679</v>
      </c>
      <c r="AA1179" s="13"/>
      <c r="AB1179" s="13"/>
      <c r="AC1179" s="14">
        <v>2249.8061134030308</v>
      </c>
      <c r="AD1179" s="14">
        <v>1150.1601261088431</v>
      </c>
      <c r="AE1179" s="14">
        <v>1222.1198059306332</v>
      </c>
      <c r="AF1179" s="14"/>
      <c r="AG1179" s="15">
        <v>0.66254877139174861</v>
      </c>
      <c r="AH1179" s="15">
        <v>0.69363159943622421</v>
      </c>
      <c r="AI1179" s="15"/>
      <c r="AJ1179" s="41">
        <f t="shared" si="36"/>
        <v>17636.004316918741</v>
      </c>
      <c r="AK1179" s="44">
        <f t="shared" si="37"/>
        <v>5.246470160476477</v>
      </c>
      <c r="AL1179" s="10"/>
      <c r="AM1179" s="10"/>
    </row>
    <row r="1180" spans="1:39" s="16" customFormat="1" ht="19" customHeight="1">
      <c r="A1180" s="9" t="s">
        <v>1216</v>
      </c>
      <c r="B1180" s="10" t="s">
        <v>1005</v>
      </c>
      <c r="C1180" s="10"/>
      <c r="D1180" s="10"/>
      <c r="E1180" s="38" t="s">
        <v>953</v>
      </c>
      <c r="F1180" s="38" t="s">
        <v>249</v>
      </c>
      <c r="G1180" s="12" t="s">
        <v>1006</v>
      </c>
      <c r="H1180" s="13">
        <v>262.41836120103972</v>
      </c>
      <c r="I1180" s="13">
        <v>22.129927927777587</v>
      </c>
      <c r="J1180" s="13">
        <v>5199.8315868255158</v>
      </c>
      <c r="K1180" s="13">
        <v>9202.8986304547743</v>
      </c>
      <c r="L1180" s="13">
        <v>779.78359278352343</v>
      </c>
      <c r="M1180" s="13">
        <v>3575.3710567755365</v>
      </c>
      <c r="N1180" s="13">
        <v>2558.2927838204341</v>
      </c>
      <c r="O1180" s="13">
        <v>324.82156292866426</v>
      </c>
      <c r="P1180" s="13">
        <v>62.167689981091833</v>
      </c>
      <c r="Q1180" s="13">
        <v>243.4809682451432</v>
      </c>
      <c r="R1180" s="13"/>
      <c r="S1180" s="13">
        <v>116.20839433585085</v>
      </c>
      <c r="T1180" s="13">
        <v>720.59103460432448</v>
      </c>
      <c r="U1180" s="13"/>
      <c r="V1180" s="13"/>
      <c r="W1180" s="13"/>
      <c r="X1180" s="13">
        <v>40.324821928798585</v>
      </c>
      <c r="Y1180" s="13">
        <v>5.465771782931939</v>
      </c>
      <c r="Z1180" s="13">
        <v>483.8577085338365</v>
      </c>
      <c r="AA1180" s="13"/>
      <c r="AB1180" s="13"/>
      <c r="AC1180" s="14">
        <v>2194.7402900585425</v>
      </c>
      <c r="AD1180" s="14">
        <v>1104.2218469110451</v>
      </c>
      <c r="AE1180" s="14">
        <v>1223.522453493182</v>
      </c>
      <c r="AF1180" s="14"/>
      <c r="AG1180" s="15">
        <v>0.64607195511466764</v>
      </c>
      <c r="AH1180" s="15">
        <v>0.67384311504486882</v>
      </c>
      <c r="AI1180" s="15"/>
      <c r="AJ1180" s="41">
        <f t="shared" si="36"/>
        <v>17740.806593884248</v>
      </c>
      <c r="AK1180" s="44">
        <f t="shared" si="37"/>
        <v>4.9617201506521207</v>
      </c>
      <c r="AL1180" s="10"/>
      <c r="AM1180" s="10"/>
    </row>
    <row r="1181" spans="1:39" s="16" customFormat="1" ht="19" customHeight="1">
      <c r="A1181" s="9" t="s">
        <v>1217</v>
      </c>
      <c r="B1181" s="10" t="s">
        <v>1005</v>
      </c>
      <c r="C1181" s="10"/>
      <c r="D1181" s="10"/>
      <c r="E1181" s="38" t="s">
        <v>953</v>
      </c>
      <c r="F1181" s="38" t="s">
        <v>249</v>
      </c>
      <c r="G1181" s="12" t="s">
        <v>1006</v>
      </c>
      <c r="H1181" s="13">
        <v>301.59804519794909</v>
      </c>
      <c r="I1181" s="13">
        <v>24.510821971961757</v>
      </c>
      <c r="J1181" s="13">
        <v>5821.2332704504643</v>
      </c>
      <c r="K1181" s="13">
        <v>10178.503037797425</v>
      </c>
      <c r="L1181" s="13">
        <v>829.55965857510728</v>
      </c>
      <c r="M1181" s="13">
        <v>3711.0863473248946</v>
      </c>
      <c r="N1181" s="13">
        <v>2701.5459796579726</v>
      </c>
      <c r="O1181" s="13">
        <v>342.00480946067574</v>
      </c>
      <c r="P1181" s="13">
        <v>63.996951681835085</v>
      </c>
      <c r="Q1181" s="13">
        <v>243.77173572809005</v>
      </c>
      <c r="R1181" s="13"/>
      <c r="S1181" s="13">
        <v>118.03812622550399</v>
      </c>
      <c r="T1181" s="13">
        <v>735.05217879622671</v>
      </c>
      <c r="U1181" s="13"/>
      <c r="V1181" s="13"/>
      <c r="W1181" s="13"/>
      <c r="X1181" s="13">
        <v>42.771464500185715</v>
      </c>
      <c r="Y1181" s="13">
        <v>5.7043949962750586</v>
      </c>
      <c r="Z1181" s="13">
        <v>489.77091264090387</v>
      </c>
      <c r="AA1181" s="13"/>
      <c r="AB1181" s="13"/>
      <c r="AC1181" s="14">
        <v>2310.8433071667282</v>
      </c>
      <c r="AD1181" s="14">
        <v>1136.7131737448506</v>
      </c>
      <c r="AE1181" s="14">
        <v>1224.983596623568</v>
      </c>
      <c r="AF1181" s="14"/>
      <c r="AG1181" s="15">
        <v>0.64296879042711585</v>
      </c>
      <c r="AH1181" s="15">
        <v>0.67561690472604996</v>
      </c>
      <c r="AI1181" s="15"/>
      <c r="AJ1181" s="41">
        <f t="shared" si="36"/>
        <v>19530.84194648097</v>
      </c>
      <c r="AK1181" s="44">
        <f t="shared" si="37"/>
        <v>5.0487386533598624</v>
      </c>
      <c r="AL1181" s="10"/>
      <c r="AM1181" s="10"/>
    </row>
    <row r="1182" spans="1:39" s="16" customFormat="1" ht="19" customHeight="1">
      <c r="A1182" s="9" t="s">
        <v>1218</v>
      </c>
      <c r="B1182" s="10" t="s">
        <v>1005</v>
      </c>
      <c r="C1182" s="10"/>
      <c r="D1182" s="10"/>
      <c r="E1182" s="38" t="s">
        <v>953</v>
      </c>
      <c r="F1182" s="38" t="s">
        <v>249</v>
      </c>
      <c r="G1182" s="12" t="s">
        <v>1006</v>
      </c>
      <c r="H1182" s="13">
        <v>278.59388399333812</v>
      </c>
      <c r="I1182" s="13">
        <v>24.44360902770093</v>
      </c>
      <c r="J1182" s="13">
        <v>4646.8553691683373</v>
      </c>
      <c r="K1182" s="13">
        <v>8067.137171695791</v>
      </c>
      <c r="L1182" s="13">
        <v>657.46147477342822</v>
      </c>
      <c r="M1182" s="13">
        <v>3953.5387958557699</v>
      </c>
      <c r="N1182" s="13">
        <v>2163.3934645255708</v>
      </c>
      <c r="O1182" s="13">
        <v>269.34544922223517</v>
      </c>
      <c r="P1182" s="13">
        <v>59.058816527422643</v>
      </c>
      <c r="Q1182" s="13">
        <v>195.797684555346</v>
      </c>
      <c r="R1182" s="13"/>
      <c r="S1182" s="13">
        <v>90.869699749730074</v>
      </c>
      <c r="T1182" s="13">
        <v>580.64414398066344</v>
      </c>
      <c r="U1182" s="13"/>
      <c r="V1182" s="13"/>
      <c r="W1182" s="13"/>
      <c r="X1182" s="13">
        <v>38.017562172113621</v>
      </c>
      <c r="Y1182" s="13">
        <v>5.5915116407812775</v>
      </c>
      <c r="Z1182" s="13">
        <v>404.0618223227919</v>
      </c>
      <c r="AA1182" s="13"/>
      <c r="AB1182" s="13"/>
      <c r="AC1182" s="14">
        <v>1819.9016839340215</v>
      </c>
      <c r="AD1182" s="14">
        <v>1049.0020697588393</v>
      </c>
      <c r="AE1182" s="14">
        <v>983.90796258967828</v>
      </c>
      <c r="AF1182" s="14"/>
      <c r="AG1182" s="15">
        <v>0.74826910668450208</v>
      </c>
      <c r="AH1182" s="15">
        <v>0.7839261360537626</v>
      </c>
      <c r="AI1182" s="15"/>
      <c r="AJ1182" s="41">
        <f t="shared" si="36"/>
        <v>15534.847480163127</v>
      </c>
      <c r="AK1182" s="44">
        <f t="shared" si="37"/>
        <v>6.8088843000325348</v>
      </c>
      <c r="AL1182" s="10"/>
      <c r="AM1182" s="10"/>
    </row>
    <row r="1183" spans="1:39" s="16" customFormat="1" ht="19" customHeight="1">
      <c r="A1183" s="9" t="s">
        <v>1219</v>
      </c>
      <c r="B1183" s="10" t="s">
        <v>1005</v>
      </c>
      <c r="C1183" s="10"/>
      <c r="D1183" s="10"/>
      <c r="E1183" s="38" t="s">
        <v>953</v>
      </c>
      <c r="F1183" s="38" t="s">
        <v>249</v>
      </c>
      <c r="G1183" s="12" t="s">
        <v>1006</v>
      </c>
      <c r="H1183" s="13">
        <v>289.4283908918859</v>
      </c>
      <c r="I1183" s="13">
        <v>23.955223595848967</v>
      </c>
      <c r="J1183" s="13">
        <v>5108.020684267869</v>
      </c>
      <c r="K1183" s="13">
        <v>8705.8370937661202</v>
      </c>
      <c r="L1183" s="13">
        <v>741.24346011599494</v>
      </c>
      <c r="M1183" s="13">
        <v>3899.9730974800459</v>
      </c>
      <c r="N1183" s="13">
        <v>2488.0140660121306</v>
      </c>
      <c r="O1183" s="13">
        <v>325.7163517825669</v>
      </c>
      <c r="P1183" s="13">
        <v>63.038016635576163</v>
      </c>
      <c r="Q1183" s="13">
        <v>228.64711180915162</v>
      </c>
      <c r="R1183" s="13"/>
      <c r="S1183" s="13">
        <v>107.43687683047872</v>
      </c>
      <c r="T1183" s="13">
        <v>649.50480666382248</v>
      </c>
      <c r="U1183" s="13"/>
      <c r="V1183" s="13"/>
      <c r="W1183" s="13"/>
      <c r="X1183" s="13">
        <v>37.363416147042841</v>
      </c>
      <c r="Y1183" s="13">
        <v>5.2340534772829654</v>
      </c>
      <c r="Z1183" s="13">
        <v>426.09916327920445</v>
      </c>
      <c r="AA1183" s="13"/>
      <c r="AB1183" s="13"/>
      <c r="AC1183" s="14">
        <v>2200.7861606930196</v>
      </c>
      <c r="AD1183" s="14">
        <v>1119.680579672756</v>
      </c>
      <c r="AE1183" s="14">
        <v>1148.9804613525207</v>
      </c>
      <c r="AF1183" s="14"/>
      <c r="AG1183" s="15">
        <v>0.66851258968543981</v>
      </c>
      <c r="AH1183" s="15">
        <v>0.70412359993559182</v>
      </c>
      <c r="AI1183" s="15"/>
      <c r="AJ1183" s="41">
        <f t="shared" si="36"/>
        <v>17043.115304162115</v>
      </c>
      <c r="AK1183" s="44">
        <f t="shared" si="37"/>
        <v>6.0045330803820134</v>
      </c>
      <c r="AL1183" s="10"/>
      <c r="AM1183" s="10"/>
    </row>
    <row r="1184" spans="1:39" s="16" customFormat="1" ht="19" customHeight="1">
      <c r="A1184" s="9" t="s">
        <v>1220</v>
      </c>
      <c r="B1184" s="10" t="s">
        <v>1005</v>
      </c>
      <c r="C1184" s="10"/>
      <c r="D1184" s="10"/>
      <c r="E1184" s="38" t="s">
        <v>953</v>
      </c>
      <c r="F1184" s="38" t="s">
        <v>249</v>
      </c>
      <c r="G1184" s="12" t="s">
        <v>1006</v>
      </c>
      <c r="H1184" s="13">
        <v>311.04205298989802</v>
      </c>
      <c r="I1184" s="13">
        <v>26.124659523492511</v>
      </c>
      <c r="J1184" s="13">
        <v>5477.7427898083179</v>
      </c>
      <c r="K1184" s="13">
        <v>9995.7016867179755</v>
      </c>
      <c r="L1184" s="13">
        <v>828.09775920595382</v>
      </c>
      <c r="M1184" s="13">
        <v>3860.53289060321</v>
      </c>
      <c r="N1184" s="13">
        <v>2772.3690057810977</v>
      </c>
      <c r="O1184" s="13">
        <v>354.05326462155364</v>
      </c>
      <c r="P1184" s="13">
        <v>65.121008212641854</v>
      </c>
      <c r="Q1184" s="13">
        <v>252.60015338306127</v>
      </c>
      <c r="R1184" s="13"/>
      <c r="S1184" s="13">
        <v>121.08162713045225</v>
      </c>
      <c r="T1184" s="13">
        <v>756.7283038085136</v>
      </c>
      <c r="U1184" s="13"/>
      <c r="V1184" s="13"/>
      <c r="W1184" s="13"/>
      <c r="X1184" s="13">
        <v>45.513252942439422</v>
      </c>
      <c r="Y1184" s="13">
        <v>5.9915156401918281</v>
      </c>
      <c r="Z1184" s="13">
        <v>437.20328367770122</v>
      </c>
      <c r="AA1184" s="13"/>
      <c r="AB1184" s="13"/>
      <c r="AC1184" s="14">
        <v>2392.2517879834704</v>
      </c>
      <c r="AD1184" s="14">
        <v>1156.6786538657523</v>
      </c>
      <c r="AE1184" s="14">
        <v>1269.3475044374939</v>
      </c>
      <c r="AF1184" s="14"/>
      <c r="AG1184" s="15">
        <v>0.63178876850884647</v>
      </c>
      <c r="AH1184" s="15">
        <v>0.66377212480857928</v>
      </c>
      <c r="AI1184" s="15"/>
      <c r="AJ1184" s="41">
        <f t="shared" si="36"/>
        <v>19073.911241513342</v>
      </c>
      <c r="AK1184" s="44">
        <f t="shared" si="37"/>
        <v>5.1016102756744504</v>
      </c>
      <c r="AL1184" s="10"/>
      <c r="AM1184" s="10"/>
    </row>
    <row r="1185" spans="1:39" s="16" customFormat="1" ht="19" customHeight="1">
      <c r="A1185" s="9" t="s">
        <v>1221</v>
      </c>
      <c r="B1185" s="10" t="s">
        <v>1222</v>
      </c>
      <c r="C1185" s="10"/>
      <c r="D1185" s="10"/>
      <c r="E1185" s="38" t="s">
        <v>953</v>
      </c>
      <c r="F1185" s="38" t="s">
        <v>249</v>
      </c>
      <c r="G1185" s="12" t="s">
        <v>1006</v>
      </c>
      <c r="H1185" s="13">
        <v>43.425236699989973</v>
      </c>
      <c r="I1185" s="13">
        <v>9.0428594415137411</v>
      </c>
      <c r="J1185" s="13">
        <v>3499.9089542845863</v>
      </c>
      <c r="K1185" s="13">
        <v>4185.470806998379</v>
      </c>
      <c r="L1185" s="13">
        <v>291.25764555795098</v>
      </c>
      <c r="M1185" s="13">
        <v>5159.8769544367151</v>
      </c>
      <c r="N1185" s="13">
        <v>890.0763853278728</v>
      </c>
      <c r="O1185" s="13">
        <v>114.92429791664721</v>
      </c>
      <c r="P1185" s="13">
        <v>29.189064300225674</v>
      </c>
      <c r="Q1185" s="13">
        <v>96.037954564204554</v>
      </c>
      <c r="R1185" s="13"/>
      <c r="S1185" s="13">
        <v>46.454138864971149</v>
      </c>
      <c r="T1185" s="13">
        <v>400.09058103054571</v>
      </c>
      <c r="U1185" s="13"/>
      <c r="V1185" s="13"/>
      <c r="W1185" s="13"/>
      <c r="X1185" s="13">
        <v>22.773419653840119</v>
      </c>
      <c r="Y1185" s="13">
        <v>3.4612185812580094</v>
      </c>
      <c r="Z1185" s="13">
        <v>344.30895550595642</v>
      </c>
      <c r="AA1185" s="13"/>
      <c r="AB1185" s="13"/>
      <c r="AC1185" s="14">
        <v>776.51552646383254</v>
      </c>
      <c r="AD1185" s="14">
        <v>518.45584902709902</v>
      </c>
      <c r="AE1185" s="14">
        <v>482.60278675479674</v>
      </c>
      <c r="AF1185" s="14"/>
      <c r="AG1185" s="15">
        <v>0.82352205282725643</v>
      </c>
      <c r="AH1185" s="15">
        <v>0.84691883951495828</v>
      </c>
      <c r="AI1185" s="15"/>
      <c r="AJ1185" s="41">
        <f t="shared" si="36"/>
        <v>8866.71379216879</v>
      </c>
      <c r="AK1185" s="44">
        <f t="shared" si="37"/>
        <v>12.896771878873034</v>
      </c>
      <c r="AL1185" s="10"/>
      <c r="AM1185" s="10"/>
    </row>
    <row r="1186" spans="1:39" s="16" customFormat="1" ht="19" customHeight="1">
      <c r="A1186" s="9" t="s">
        <v>1223</v>
      </c>
      <c r="B1186" s="10" t="s">
        <v>1222</v>
      </c>
      <c r="C1186" s="10"/>
      <c r="D1186" s="10"/>
      <c r="E1186" s="38" t="s">
        <v>953</v>
      </c>
      <c r="F1186" s="38" t="s">
        <v>249</v>
      </c>
      <c r="G1186" s="12" t="s">
        <v>1006</v>
      </c>
      <c r="H1186" s="13">
        <v>3.1500248259315291</v>
      </c>
      <c r="I1186" s="13">
        <v>1.8299892738985741</v>
      </c>
      <c r="J1186" s="13">
        <v>1529.6595699756247</v>
      </c>
      <c r="K1186" s="13">
        <v>1961.0178564665532</v>
      </c>
      <c r="L1186" s="13">
        <v>152.26755577716165</v>
      </c>
      <c r="M1186" s="13">
        <v>3411.7619086346226</v>
      </c>
      <c r="N1186" s="13">
        <v>482.50554644999602</v>
      </c>
      <c r="O1186" s="13">
        <v>65.174704778834936</v>
      </c>
      <c r="P1186" s="13">
        <v>13.798365808363048</v>
      </c>
      <c r="Q1186" s="13">
        <v>55.089975716100653</v>
      </c>
      <c r="R1186" s="13"/>
      <c r="S1186" s="13">
        <v>25.915777564221948</v>
      </c>
      <c r="T1186" s="13">
        <v>176.95171182357086</v>
      </c>
      <c r="U1186" s="13"/>
      <c r="V1186" s="13"/>
      <c r="W1186" s="13"/>
      <c r="X1186" s="13">
        <v>10.257420499514145</v>
      </c>
      <c r="Y1186" s="13">
        <v>1.1707426459582611</v>
      </c>
      <c r="Z1186" s="13">
        <v>395.79237907949954</v>
      </c>
      <c r="AA1186" s="13"/>
      <c r="AB1186" s="13"/>
      <c r="AC1186" s="14">
        <v>440.36962688401985</v>
      </c>
      <c r="AD1186" s="14">
        <v>245.0864264362886</v>
      </c>
      <c r="AE1186" s="14">
        <v>276.83404882462639</v>
      </c>
      <c r="AF1186" s="14"/>
      <c r="AG1186" s="15">
        <v>0.6834500009892629</v>
      </c>
      <c r="AH1186" s="15">
        <v>0.70194135323629314</v>
      </c>
      <c r="AI1186" s="15"/>
      <c r="AJ1186" s="41">
        <f t="shared" si="36"/>
        <v>4125.4505286693357</v>
      </c>
      <c r="AK1186" s="44">
        <f t="shared" si="37"/>
        <v>19.280751078781929</v>
      </c>
      <c r="AL1186" s="10"/>
      <c r="AM1186" s="10"/>
    </row>
    <row r="1187" spans="1:39" s="16" customFormat="1" ht="19" customHeight="1">
      <c r="A1187" s="9" t="s">
        <v>1224</v>
      </c>
      <c r="B1187" s="10" t="s">
        <v>1222</v>
      </c>
      <c r="C1187" s="10"/>
      <c r="D1187" s="10"/>
      <c r="E1187" s="38" t="s">
        <v>953</v>
      </c>
      <c r="F1187" s="38" t="s">
        <v>249</v>
      </c>
      <c r="G1187" s="12" t="s">
        <v>1006</v>
      </c>
      <c r="H1187" s="13">
        <v>65.524956138983072</v>
      </c>
      <c r="I1187" s="13">
        <v>10.148751630541495</v>
      </c>
      <c r="J1187" s="13">
        <v>3210.5564345977687</v>
      </c>
      <c r="K1187" s="13">
        <v>5789.54024004446</v>
      </c>
      <c r="L1187" s="13">
        <v>553.05517528369012</v>
      </c>
      <c r="M1187" s="13">
        <v>2043.6064174674755</v>
      </c>
      <c r="N1187" s="13">
        <v>1908.6195848081327</v>
      </c>
      <c r="O1187" s="13">
        <v>279.38039634038557</v>
      </c>
      <c r="P1187" s="13">
        <v>38.061435152928993</v>
      </c>
      <c r="Q1187" s="13">
        <v>208.52363188076797</v>
      </c>
      <c r="R1187" s="13"/>
      <c r="S1187" s="13">
        <v>103.10264812764309</v>
      </c>
      <c r="T1187" s="13">
        <v>611.95424035776637</v>
      </c>
      <c r="U1187" s="13"/>
      <c r="V1187" s="13"/>
      <c r="W1187" s="13"/>
      <c r="X1187" s="13">
        <v>32.35624432093676</v>
      </c>
      <c r="Y1187" s="13">
        <v>4.3453420386828467</v>
      </c>
      <c r="Z1187" s="13">
        <v>619.89798237539208</v>
      </c>
      <c r="AA1187" s="13"/>
      <c r="AB1187" s="13"/>
      <c r="AC1187" s="14">
        <v>1887.705380678281</v>
      </c>
      <c r="AD1187" s="14">
        <v>676.04680555824154</v>
      </c>
      <c r="AE1187" s="14">
        <v>1047.8574466370249</v>
      </c>
      <c r="AF1187" s="14"/>
      <c r="AG1187" s="15">
        <v>0.46059092945833108</v>
      </c>
      <c r="AH1187" s="15">
        <v>0.48068277102400664</v>
      </c>
      <c r="AI1187" s="15"/>
      <c r="AJ1187" s="41">
        <f t="shared" si="36"/>
        <v>11461.771434734053</v>
      </c>
      <c r="AK1187" s="44">
        <f t="shared" si="37"/>
        <v>3.3394758671379141</v>
      </c>
      <c r="AL1187" s="10"/>
      <c r="AM1187" s="10"/>
    </row>
    <row r="1188" spans="1:39" s="16" customFormat="1" ht="19" customHeight="1">
      <c r="A1188" s="9" t="s">
        <v>1225</v>
      </c>
      <c r="B1188" s="10" t="s">
        <v>1222</v>
      </c>
      <c r="C1188" s="10"/>
      <c r="D1188" s="10"/>
      <c r="E1188" s="38" t="s">
        <v>953</v>
      </c>
      <c r="F1188" s="38" t="s">
        <v>249</v>
      </c>
      <c r="G1188" s="12" t="s">
        <v>1006</v>
      </c>
      <c r="H1188" s="13">
        <v>77.616007922566268</v>
      </c>
      <c r="I1188" s="13">
        <v>11.871600617790488</v>
      </c>
      <c r="J1188" s="13">
        <v>3490.6941998399611</v>
      </c>
      <c r="K1188" s="13">
        <v>5985.1159011511945</v>
      </c>
      <c r="L1188" s="13">
        <v>538.28823572758085</v>
      </c>
      <c r="M1188" s="13">
        <v>3055.8239959895791</v>
      </c>
      <c r="N1188" s="13">
        <v>1884.728865293466</v>
      </c>
      <c r="O1188" s="13">
        <v>268.11822681207099</v>
      </c>
      <c r="P1188" s="13">
        <v>41.444468336482238</v>
      </c>
      <c r="Q1188" s="13">
        <v>206.23621812413379</v>
      </c>
      <c r="R1188" s="13"/>
      <c r="S1188" s="13">
        <v>100.02884413261884</v>
      </c>
      <c r="T1188" s="13">
        <v>622.88551733998713</v>
      </c>
      <c r="U1188" s="13"/>
      <c r="V1188" s="13"/>
      <c r="W1188" s="13"/>
      <c r="X1188" s="13">
        <v>32.595214281555528</v>
      </c>
      <c r="Y1188" s="13">
        <v>4.3721882386986097</v>
      </c>
      <c r="Z1188" s="13">
        <v>488.42329204794891</v>
      </c>
      <c r="AA1188" s="13"/>
      <c r="AB1188" s="13"/>
      <c r="AC1188" s="14">
        <v>1811.6096406221013</v>
      </c>
      <c r="AD1188" s="14">
        <v>736.13620491087465</v>
      </c>
      <c r="AE1188" s="14">
        <v>1036.3629051464009</v>
      </c>
      <c r="AF1188" s="14"/>
      <c r="AG1188" s="15">
        <v>0.5169545654536738</v>
      </c>
      <c r="AH1188" s="15">
        <v>0.53724197431753962</v>
      </c>
      <c r="AI1188" s="15"/>
      <c r="AJ1188" s="41">
        <f t="shared" si="36"/>
        <v>11898.827202012202</v>
      </c>
      <c r="AK1188" s="44">
        <f t="shared" si="37"/>
        <v>4.9059159523235962</v>
      </c>
      <c r="AL1188" s="10"/>
      <c r="AM1188" s="10"/>
    </row>
    <row r="1189" spans="1:39" s="16" customFormat="1" ht="19" customHeight="1">
      <c r="A1189" s="9" t="s">
        <v>1226</v>
      </c>
      <c r="B1189" s="10" t="s">
        <v>1222</v>
      </c>
      <c r="C1189" s="10"/>
      <c r="D1189" s="10"/>
      <c r="E1189" s="38" t="s">
        <v>953</v>
      </c>
      <c r="F1189" s="38" t="s">
        <v>249</v>
      </c>
      <c r="G1189" s="12" t="s">
        <v>1006</v>
      </c>
      <c r="H1189" s="13">
        <v>82.147878392380377</v>
      </c>
      <c r="I1189" s="13">
        <v>6.5358506848042142</v>
      </c>
      <c r="J1189" s="13">
        <v>4118.9273887358331</v>
      </c>
      <c r="K1189" s="13">
        <v>6835.9622036233086</v>
      </c>
      <c r="L1189" s="13">
        <v>559.81380062223661</v>
      </c>
      <c r="M1189" s="13">
        <v>4293.8933558963845</v>
      </c>
      <c r="N1189" s="13">
        <v>1901.8577751923433</v>
      </c>
      <c r="O1189" s="13">
        <v>251.01697223356939</v>
      </c>
      <c r="P1189" s="13">
        <v>58.67830418081801</v>
      </c>
      <c r="Q1189" s="13">
        <v>179.65876069040533</v>
      </c>
      <c r="R1189" s="13"/>
      <c r="S1189" s="13">
        <v>75.265906113221192</v>
      </c>
      <c r="T1189" s="13">
        <v>449.57602907654615</v>
      </c>
      <c r="U1189" s="13"/>
      <c r="V1189" s="13"/>
      <c r="W1189" s="13"/>
      <c r="X1189" s="13">
        <v>23.944405256245279</v>
      </c>
      <c r="Y1189" s="13">
        <v>3.5339251425130329</v>
      </c>
      <c r="Z1189" s="13">
        <v>270.71917990240524</v>
      </c>
      <c r="AA1189" s="13"/>
      <c r="AB1189" s="13"/>
      <c r="AC1189" s="14">
        <v>1696.0606231997933</v>
      </c>
      <c r="AD1189" s="14">
        <v>1042.2434135136414</v>
      </c>
      <c r="AE1189" s="14">
        <v>902.80784266535341</v>
      </c>
      <c r="AF1189" s="14"/>
      <c r="AG1189" s="15">
        <v>0.80207477000317151</v>
      </c>
      <c r="AH1189" s="15">
        <v>0.84226899102315611</v>
      </c>
      <c r="AI1189" s="15"/>
      <c r="AJ1189" s="41">
        <f t="shared" si="36"/>
        <v>13416.561168173721</v>
      </c>
      <c r="AK1189" s="44">
        <f t="shared" si="37"/>
        <v>9.5509837673424833</v>
      </c>
      <c r="AL1189" s="10"/>
      <c r="AM1189" s="10"/>
    </row>
    <row r="1190" spans="1:39" s="16" customFormat="1" ht="19" customHeight="1">
      <c r="A1190" s="9" t="s">
        <v>1227</v>
      </c>
      <c r="B1190" s="10" t="s">
        <v>1222</v>
      </c>
      <c r="C1190" s="10"/>
      <c r="D1190" s="10"/>
      <c r="E1190" s="38" t="s">
        <v>953</v>
      </c>
      <c r="F1190" s="38" t="s">
        <v>249</v>
      </c>
      <c r="G1190" s="12" t="s">
        <v>1006</v>
      </c>
      <c r="H1190" s="13">
        <v>30.552809518476646</v>
      </c>
      <c r="I1190" s="13">
        <v>4.6737491014208956</v>
      </c>
      <c r="J1190" s="13">
        <v>2352.3316797020307</v>
      </c>
      <c r="K1190" s="13">
        <v>3017.4451431289058</v>
      </c>
      <c r="L1190" s="13">
        <v>217.17341949722291</v>
      </c>
      <c r="M1190" s="13">
        <v>3402.510174004884</v>
      </c>
      <c r="N1190" s="13">
        <v>669.613332413173</v>
      </c>
      <c r="O1190" s="13">
        <v>82.683962776825098</v>
      </c>
      <c r="P1190" s="13">
        <v>20.423672715285264</v>
      </c>
      <c r="Q1190" s="13">
        <v>64.548726316223451</v>
      </c>
      <c r="R1190" s="13"/>
      <c r="S1190" s="13">
        <v>37.15482244813451</v>
      </c>
      <c r="T1190" s="13">
        <v>294.1142340555752</v>
      </c>
      <c r="U1190" s="13"/>
      <c r="V1190" s="13"/>
      <c r="W1190" s="13"/>
      <c r="X1190" s="13">
        <v>18.047469639985117</v>
      </c>
      <c r="Y1190" s="13">
        <v>2.7487724722634592</v>
      </c>
      <c r="Z1190" s="13">
        <v>466.13534371992466</v>
      </c>
      <c r="AA1190" s="13"/>
      <c r="AB1190" s="13"/>
      <c r="AC1190" s="14">
        <v>558.67542416773722</v>
      </c>
      <c r="AD1190" s="14">
        <v>362.7650571098626</v>
      </c>
      <c r="AE1190" s="14">
        <v>324.36545887549471</v>
      </c>
      <c r="AF1190" s="14"/>
      <c r="AG1190" s="15">
        <v>0.82162686705888865</v>
      </c>
      <c r="AH1190" s="15">
        <v>0.85217416446154015</v>
      </c>
      <c r="AI1190" s="15"/>
      <c r="AJ1190" s="41">
        <f t="shared" si="36"/>
        <v>6256.5635747413326</v>
      </c>
      <c r="AK1190" s="44">
        <f t="shared" si="37"/>
        <v>11.568668836891291</v>
      </c>
      <c r="AL1190" s="10"/>
      <c r="AM1190" s="10"/>
    </row>
    <row r="1191" spans="1:39" s="16" customFormat="1" ht="19" customHeight="1">
      <c r="A1191" s="9" t="s">
        <v>1228</v>
      </c>
      <c r="B1191" s="10" t="s">
        <v>1222</v>
      </c>
      <c r="C1191" s="10"/>
      <c r="D1191" s="10"/>
      <c r="E1191" s="38" t="s">
        <v>953</v>
      </c>
      <c r="F1191" s="38" t="s">
        <v>249</v>
      </c>
      <c r="G1191" s="12" t="s">
        <v>1006</v>
      </c>
      <c r="H1191" s="13">
        <v>81.280224719415713</v>
      </c>
      <c r="I1191" s="13">
        <v>14.716671657629739</v>
      </c>
      <c r="J1191" s="13">
        <v>4584.2305849916575</v>
      </c>
      <c r="K1191" s="13">
        <v>5168.6535414064665</v>
      </c>
      <c r="L1191" s="13">
        <v>338.30673638562183</v>
      </c>
      <c r="M1191" s="13">
        <v>6857.627191599976</v>
      </c>
      <c r="N1191" s="13">
        <v>954.06291411177745</v>
      </c>
      <c r="O1191" s="13">
        <v>105.88641395405524</v>
      </c>
      <c r="P1191" s="13">
        <v>38.552002000706743</v>
      </c>
      <c r="Q1191" s="13">
        <v>95.33971956601809</v>
      </c>
      <c r="R1191" s="13"/>
      <c r="S1191" s="13">
        <v>49.588141132034004</v>
      </c>
      <c r="T1191" s="13">
        <v>448.2948859720787</v>
      </c>
      <c r="U1191" s="13"/>
      <c r="V1191" s="13"/>
      <c r="W1191" s="13"/>
      <c r="X1191" s="13">
        <v>29.209515208252238</v>
      </c>
      <c r="Y1191" s="13">
        <v>4.1556278756758296</v>
      </c>
      <c r="Z1191" s="13">
        <v>326.61246781398376</v>
      </c>
      <c r="AA1191" s="13"/>
      <c r="AB1191" s="13"/>
      <c r="AC1191" s="14">
        <v>715.44874293280577</v>
      </c>
      <c r="AD1191" s="14">
        <v>684.76024868040406</v>
      </c>
      <c r="AE1191" s="14">
        <v>479.09406817094515</v>
      </c>
      <c r="AF1191" s="14"/>
      <c r="AG1191" s="15">
        <v>1.1464808834229883</v>
      </c>
      <c r="AH1191" s="15">
        <v>1.1696040989717507</v>
      </c>
      <c r="AI1191" s="15"/>
      <c r="AJ1191" s="41">
        <f t="shared" si="36"/>
        <v>11045.253776895523</v>
      </c>
      <c r="AK1191" s="44">
        <f t="shared" si="37"/>
        <v>15.297134556264137</v>
      </c>
      <c r="AL1191" s="10"/>
      <c r="AM1191" s="10"/>
    </row>
    <row r="1192" spans="1:39" s="16" customFormat="1" ht="19" customHeight="1">
      <c r="A1192" s="9" t="s">
        <v>1229</v>
      </c>
      <c r="B1192" s="10" t="s">
        <v>1222</v>
      </c>
      <c r="C1192" s="10"/>
      <c r="D1192" s="10"/>
      <c r="E1192" s="38" t="s">
        <v>953</v>
      </c>
      <c r="F1192" s="38" t="s">
        <v>249</v>
      </c>
      <c r="G1192" s="12" t="s">
        <v>1006</v>
      </c>
      <c r="H1192" s="13">
        <v>53.889839397665071</v>
      </c>
      <c r="I1192" s="13">
        <v>11.374571770108837</v>
      </c>
      <c r="J1192" s="13">
        <v>3815.3730221532833</v>
      </c>
      <c r="K1192" s="13">
        <v>6625.9438965558484</v>
      </c>
      <c r="L1192" s="13">
        <v>604.54088524794349</v>
      </c>
      <c r="M1192" s="13">
        <v>5110.0283486175731</v>
      </c>
      <c r="N1192" s="13">
        <v>2252.6967843770035</v>
      </c>
      <c r="O1192" s="13">
        <v>373.52008715264958</v>
      </c>
      <c r="P1192" s="13">
        <v>55.719790237505201</v>
      </c>
      <c r="Q1192" s="13">
        <v>299.3256298664221</v>
      </c>
      <c r="R1192" s="13"/>
      <c r="S1192" s="13">
        <v>139.93077854818881</v>
      </c>
      <c r="T1192" s="13">
        <v>711.49172402023987</v>
      </c>
      <c r="U1192" s="13"/>
      <c r="V1192" s="13"/>
      <c r="W1192" s="13"/>
      <c r="X1192" s="13">
        <v>36.681281052683964</v>
      </c>
      <c r="Y1192" s="13">
        <v>4.7489191344194355</v>
      </c>
      <c r="Z1192" s="13">
        <v>275.08540584354046</v>
      </c>
      <c r="AA1192" s="13"/>
      <c r="AB1192" s="13"/>
      <c r="AC1192" s="14">
        <v>2523.7843726530377</v>
      </c>
      <c r="AD1192" s="14">
        <v>989.69432038197522</v>
      </c>
      <c r="AE1192" s="14">
        <v>1504.1488938011159</v>
      </c>
      <c r="AF1192" s="14"/>
      <c r="AG1192" s="15">
        <v>0.49141545051128271</v>
      </c>
      <c r="AH1192" s="15">
        <v>0.50796003004197532</v>
      </c>
      <c r="AI1192" s="15"/>
      <c r="AJ1192" s="41">
        <f t="shared" si="36"/>
        <v>13298.554588334078</v>
      </c>
      <c r="AK1192" s="44">
        <f t="shared" si="37"/>
        <v>7.1821332224971988</v>
      </c>
      <c r="AL1192" s="10"/>
      <c r="AM1192" s="10"/>
    </row>
    <row r="1193" spans="1:39" s="16" customFormat="1" ht="19" customHeight="1">
      <c r="A1193" s="9" t="s">
        <v>1230</v>
      </c>
      <c r="B1193" s="10" t="s">
        <v>1222</v>
      </c>
      <c r="C1193" s="10"/>
      <c r="D1193" s="10"/>
      <c r="E1193" s="38" t="s">
        <v>953</v>
      </c>
      <c r="F1193" s="38" t="s">
        <v>249</v>
      </c>
      <c r="G1193" s="12" t="s">
        <v>1006</v>
      </c>
      <c r="H1193" s="13">
        <v>157.48275479280383</v>
      </c>
      <c r="I1193" s="13">
        <v>21.235009592288954</v>
      </c>
      <c r="J1193" s="13">
        <v>4444.5055386955846</v>
      </c>
      <c r="K1193" s="13">
        <v>7728.2244078769436</v>
      </c>
      <c r="L1193" s="13">
        <v>698.50698477705089</v>
      </c>
      <c r="M1193" s="13">
        <v>3169.1449389996055</v>
      </c>
      <c r="N1193" s="13">
        <v>2505.941793848227</v>
      </c>
      <c r="O1193" s="13">
        <v>368.13208476086044</v>
      </c>
      <c r="P1193" s="13">
        <v>51.936130357671345</v>
      </c>
      <c r="Q1193" s="13">
        <v>271.79123539602381</v>
      </c>
      <c r="R1193" s="13"/>
      <c r="S1193" s="13">
        <v>139.88238179793211</v>
      </c>
      <c r="T1193" s="13">
        <v>819.77570298637056</v>
      </c>
      <c r="U1193" s="13"/>
      <c r="V1193" s="13"/>
      <c r="W1193" s="13"/>
      <c r="X1193" s="13">
        <v>42.556185161907216</v>
      </c>
      <c r="Y1193" s="13">
        <v>5.5600074952869374</v>
      </c>
      <c r="Z1193" s="13">
        <v>540.68874273963343</v>
      </c>
      <c r="AA1193" s="13"/>
      <c r="AB1193" s="13"/>
      <c r="AC1193" s="14">
        <v>2487.3789510868951</v>
      </c>
      <c r="AD1193" s="14">
        <v>922.48899391956218</v>
      </c>
      <c r="AE1193" s="14">
        <v>1365.7851024925819</v>
      </c>
      <c r="AF1193" s="14"/>
      <c r="AG1193" s="15">
        <v>0.47882155085641726</v>
      </c>
      <c r="AH1193" s="15">
        <v>0.50049417842190225</v>
      </c>
      <c r="AI1193" s="15"/>
      <c r="AJ1193" s="41">
        <f t="shared" si="36"/>
        <v>15377.178725197806</v>
      </c>
      <c r="AK1193" s="44">
        <f t="shared" si="37"/>
        <v>3.865868343566039</v>
      </c>
      <c r="AL1193" s="10"/>
      <c r="AM1193" s="10"/>
    </row>
    <row r="1194" spans="1:39" s="16" customFormat="1" ht="19" customHeight="1">
      <c r="A1194" s="9" t="s">
        <v>1231</v>
      </c>
      <c r="B1194" s="10" t="s">
        <v>1222</v>
      </c>
      <c r="C1194" s="10"/>
      <c r="D1194" s="10"/>
      <c r="E1194" s="38" t="s">
        <v>953</v>
      </c>
      <c r="F1194" s="38" t="s">
        <v>249</v>
      </c>
      <c r="G1194" s="12" t="s">
        <v>1006</v>
      </c>
      <c r="H1194" s="13">
        <v>48.886215138645085</v>
      </c>
      <c r="I1194" s="13">
        <v>8.167219961224685</v>
      </c>
      <c r="J1194" s="13">
        <v>3500.6595336935675</v>
      </c>
      <c r="K1194" s="13">
        <v>4959.5335041095359</v>
      </c>
      <c r="L1194" s="13">
        <v>397.60256248582004</v>
      </c>
      <c r="M1194" s="13">
        <v>3777.2390673368036</v>
      </c>
      <c r="N1194" s="13">
        <v>1345.1846976244672</v>
      </c>
      <c r="O1194" s="13">
        <v>188.05568775097825</v>
      </c>
      <c r="P1194" s="13">
        <v>34.895654650719855</v>
      </c>
      <c r="Q1194" s="13">
        <v>153.57071841638822</v>
      </c>
      <c r="R1194" s="13"/>
      <c r="S1194" s="13">
        <v>75.644317114187075</v>
      </c>
      <c r="T1194" s="13">
        <v>495.19486313928161</v>
      </c>
      <c r="U1194" s="13"/>
      <c r="V1194" s="13"/>
      <c r="W1194" s="13"/>
      <c r="X1194" s="13">
        <v>28.774366608786654</v>
      </c>
      <c r="Y1194" s="13">
        <v>3.7961991443355605</v>
      </c>
      <c r="Z1194" s="13">
        <v>450.37608551686588</v>
      </c>
      <c r="AA1194" s="13"/>
      <c r="AB1194" s="13"/>
      <c r="AC1194" s="14">
        <v>1270.6465388579611</v>
      </c>
      <c r="AD1194" s="14">
        <v>619.81624601633848</v>
      </c>
      <c r="AE1194" s="14">
        <v>771.71215284617188</v>
      </c>
      <c r="AF1194" s="14"/>
      <c r="AG1194" s="15">
        <v>0.60696120474231408</v>
      </c>
      <c r="AH1194" s="15">
        <v>0.62592587725096493</v>
      </c>
      <c r="AI1194" s="15"/>
      <c r="AJ1194" s="41">
        <f t="shared" si="36"/>
        <v>10202.980297913389</v>
      </c>
      <c r="AK1194" s="44">
        <f t="shared" si="37"/>
        <v>7.6277832192988511</v>
      </c>
      <c r="AL1194" s="10"/>
      <c r="AM1194" s="10"/>
    </row>
    <row r="1195" spans="1:39" s="16" customFormat="1" ht="19" customHeight="1">
      <c r="A1195" s="9" t="s">
        <v>1232</v>
      </c>
      <c r="B1195" s="10" t="s">
        <v>1222</v>
      </c>
      <c r="C1195" s="10"/>
      <c r="D1195" s="10"/>
      <c r="E1195" s="38" t="s">
        <v>953</v>
      </c>
      <c r="F1195" s="38" t="s">
        <v>249</v>
      </c>
      <c r="G1195" s="12" t="s">
        <v>1006</v>
      </c>
      <c r="H1195" s="13">
        <v>19.484340053502748</v>
      </c>
      <c r="I1195" s="13">
        <v>3.6567081347126762</v>
      </c>
      <c r="J1195" s="13">
        <v>3210.9704762371357</v>
      </c>
      <c r="K1195" s="13">
        <v>3901.7347947660764</v>
      </c>
      <c r="L1195" s="13">
        <v>252.27006003681572</v>
      </c>
      <c r="M1195" s="13">
        <v>6207.5318519763841</v>
      </c>
      <c r="N1195" s="13">
        <v>739.47432822090627</v>
      </c>
      <c r="O1195" s="13">
        <v>84.655348664630694</v>
      </c>
      <c r="P1195" s="13">
        <v>28.183783951242777</v>
      </c>
      <c r="Q1195" s="13">
        <v>74.053100884780335</v>
      </c>
      <c r="R1195" s="13"/>
      <c r="S1195" s="13">
        <v>42.251439925642138</v>
      </c>
      <c r="T1195" s="13">
        <v>337.45300728342079</v>
      </c>
      <c r="U1195" s="13"/>
      <c r="V1195" s="13"/>
      <c r="W1195" s="13"/>
      <c r="X1195" s="13">
        <v>20.767022790163121</v>
      </c>
      <c r="Y1195" s="13">
        <v>2.8148567236970647</v>
      </c>
      <c r="Z1195" s="13">
        <v>319.47184790301952</v>
      </c>
      <c r="AA1195" s="13"/>
      <c r="AB1195" s="13"/>
      <c r="AC1195" s="14">
        <v>571.99559908534252</v>
      </c>
      <c r="AD1195" s="14">
        <v>500.60007018193215</v>
      </c>
      <c r="AE1195" s="14">
        <v>372.12613509939865</v>
      </c>
      <c r="AF1195" s="14"/>
      <c r="AG1195" s="15">
        <v>1.0604566170997123</v>
      </c>
      <c r="AH1195" s="15">
        <v>1.0850493129109982</v>
      </c>
      <c r="AI1195" s="15"/>
      <c r="AJ1195" s="41">
        <f t="shared" si="36"/>
        <v>8104.4496592609348</v>
      </c>
      <c r="AK1195" s="44">
        <f t="shared" si="37"/>
        <v>18.395248280489579</v>
      </c>
      <c r="AL1195" s="10"/>
      <c r="AM1195" s="10"/>
    </row>
    <row r="1196" spans="1:39" s="16" customFormat="1" ht="19" customHeight="1">
      <c r="A1196" s="9" t="s">
        <v>1233</v>
      </c>
      <c r="B1196" s="10" t="s">
        <v>1222</v>
      </c>
      <c r="C1196" s="10"/>
      <c r="D1196" s="10"/>
      <c r="E1196" s="38" t="s">
        <v>953</v>
      </c>
      <c r="F1196" s="38" t="s">
        <v>249</v>
      </c>
      <c r="G1196" s="12" t="s">
        <v>1006</v>
      </c>
      <c r="H1196" s="13">
        <v>66.770768709735037</v>
      </c>
      <c r="I1196" s="13">
        <v>10.496080513962983</v>
      </c>
      <c r="J1196" s="13">
        <v>3478.8740527838477</v>
      </c>
      <c r="K1196" s="13">
        <v>5468.4386710677227</v>
      </c>
      <c r="L1196" s="13">
        <v>481.31030436608683</v>
      </c>
      <c r="M1196" s="13">
        <v>3232.4372719600274</v>
      </c>
      <c r="N1196" s="13">
        <v>1697.5691877069248</v>
      </c>
      <c r="O1196" s="13">
        <v>238.724308949212</v>
      </c>
      <c r="P1196" s="13">
        <v>39.506800970267065</v>
      </c>
      <c r="Q1196" s="13">
        <v>181.36391389606939</v>
      </c>
      <c r="R1196" s="13"/>
      <c r="S1196" s="13">
        <v>92.498052272781351</v>
      </c>
      <c r="T1196" s="13">
        <v>574.69459940270565</v>
      </c>
      <c r="U1196" s="13"/>
      <c r="V1196" s="13"/>
      <c r="W1196" s="13"/>
      <c r="X1196" s="13">
        <v>32.584247132106384</v>
      </c>
      <c r="Y1196" s="13">
        <v>4.25550367918762</v>
      </c>
      <c r="Z1196" s="13">
        <v>512.44657336676073</v>
      </c>
      <c r="AA1196" s="13"/>
      <c r="AB1196" s="13"/>
      <c r="AC1196" s="14">
        <v>1613.0020874946758</v>
      </c>
      <c r="AD1196" s="14">
        <v>701.71937780225699</v>
      </c>
      <c r="AE1196" s="14">
        <v>911.37645173904207</v>
      </c>
      <c r="AF1196" s="14"/>
      <c r="AG1196" s="15">
        <v>0.55595416210063797</v>
      </c>
      <c r="AH1196" s="15">
        <v>0.57875812819703409</v>
      </c>
      <c r="AI1196" s="15"/>
      <c r="AJ1196" s="41">
        <f t="shared" si="36"/>
        <v>11126.192215924581</v>
      </c>
      <c r="AK1196" s="44">
        <f t="shared" si="37"/>
        <v>5.6246174495455143</v>
      </c>
      <c r="AL1196" s="10"/>
      <c r="AM1196" s="10"/>
    </row>
    <row r="1197" spans="1:39" s="16" customFormat="1" ht="19" customHeight="1">
      <c r="A1197" s="9" t="s">
        <v>1234</v>
      </c>
      <c r="B1197" s="10" t="s">
        <v>1005</v>
      </c>
      <c r="C1197" s="10"/>
      <c r="D1197" s="10"/>
      <c r="E1197" s="38" t="s">
        <v>953</v>
      </c>
      <c r="F1197" s="38" t="s">
        <v>249</v>
      </c>
      <c r="G1197" s="12" t="s">
        <v>1006</v>
      </c>
      <c r="H1197" s="13">
        <v>75.792779476965222</v>
      </c>
      <c r="I1197" s="13">
        <v>9.1661124815371675</v>
      </c>
      <c r="J1197" s="13">
        <v>5848.8574162915575</v>
      </c>
      <c r="K1197" s="13">
        <v>9630.4325558022683</v>
      </c>
      <c r="L1197" s="13">
        <v>888.05535618435022</v>
      </c>
      <c r="M1197" s="13">
        <v>2112.3093486552998</v>
      </c>
      <c r="N1197" s="13">
        <v>2951.2962646296824</v>
      </c>
      <c r="O1197" s="13">
        <v>411.35237291354201</v>
      </c>
      <c r="P1197" s="13">
        <v>56.622601220184656</v>
      </c>
      <c r="Q1197" s="13">
        <v>287.97382715423703</v>
      </c>
      <c r="R1197" s="13"/>
      <c r="S1197" s="13">
        <v>117.24349002577893</v>
      </c>
      <c r="T1197" s="13">
        <v>607.65501072830955</v>
      </c>
      <c r="U1197" s="13"/>
      <c r="V1197" s="13"/>
      <c r="W1197" s="13"/>
      <c r="X1197" s="13">
        <v>28.113263352545861</v>
      </c>
      <c r="Y1197" s="13">
        <v>3.5598005194773332</v>
      </c>
      <c r="Z1197" s="13">
        <v>498.14859896007812</v>
      </c>
      <c r="AA1197" s="13"/>
      <c r="AB1197" s="13"/>
      <c r="AC1197" s="14">
        <v>2779.4079250915001</v>
      </c>
      <c r="AD1197" s="14">
        <v>1005.7300394348963</v>
      </c>
      <c r="AE1197" s="14">
        <v>1447.1046590665176</v>
      </c>
      <c r="AF1197" s="14"/>
      <c r="AG1197" s="15">
        <v>0.47591484440605414</v>
      </c>
      <c r="AH1197" s="15">
        <v>0.50148194928038325</v>
      </c>
      <c r="AI1197" s="15"/>
      <c r="AJ1197" s="41">
        <f t="shared" si="36"/>
        <v>19318.641592907858</v>
      </c>
      <c r="AK1197" s="44">
        <f t="shared" si="37"/>
        <v>3.4761654415119119</v>
      </c>
      <c r="AL1197" s="10"/>
      <c r="AM1197" s="10"/>
    </row>
    <row r="1198" spans="1:39" s="16" customFormat="1" ht="19" customHeight="1">
      <c r="A1198" s="9" t="s">
        <v>1235</v>
      </c>
      <c r="B1198" s="10" t="s">
        <v>1005</v>
      </c>
      <c r="C1198" s="10"/>
      <c r="D1198" s="10"/>
      <c r="E1198" s="38" t="s">
        <v>953</v>
      </c>
      <c r="F1198" s="38" t="s">
        <v>249</v>
      </c>
      <c r="G1198" s="12" t="s">
        <v>1006</v>
      </c>
      <c r="H1198" s="13">
        <v>81.481428011384224</v>
      </c>
      <c r="I1198" s="13">
        <v>9.9937023654563486</v>
      </c>
      <c r="J1198" s="13">
        <v>4898.417523270019</v>
      </c>
      <c r="K1198" s="13">
        <v>9874.6233582633758</v>
      </c>
      <c r="L1198" s="13">
        <v>1083.5122738590348</v>
      </c>
      <c r="M1198" s="13">
        <v>2796.6864291366987</v>
      </c>
      <c r="N1198" s="13">
        <v>4078.9069320998196</v>
      </c>
      <c r="O1198" s="13">
        <v>630.67142679550216</v>
      </c>
      <c r="P1198" s="13">
        <v>98.241719623504594</v>
      </c>
      <c r="Q1198" s="13">
        <v>402.66085413432467</v>
      </c>
      <c r="R1198" s="13"/>
      <c r="S1198" s="13">
        <v>164.636313117057</v>
      </c>
      <c r="T1198" s="13">
        <v>784.31253022790804</v>
      </c>
      <c r="U1198" s="13"/>
      <c r="V1198" s="13"/>
      <c r="W1198" s="13"/>
      <c r="X1198" s="13">
        <v>31.617319866076208</v>
      </c>
      <c r="Y1198" s="13">
        <v>3.3444682065939673</v>
      </c>
      <c r="Z1198" s="13">
        <v>454.28320550408523</v>
      </c>
      <c r="AA1198" s="13"/>
      <c r="AB1198" s="13"/>
      <c r="AC1198" s="14">
        <v>4261.2934242939336</v>
      </c>
      <c r="AD1198" s="14">
        <v>1744.9683769716626</v>
      </c>
      <c r="AE1198" s="14">
        <v>2023.4213775594203</v>
      </c>
      <c r="AF1198" s="14"/>
      <c r="AG1198" s="15">
        <v>0.55530550931510014</v>
      </c>
      <c r="AH1198" s="15">
        <v>0.59425613491424489</v>
      </c>
      <c r="AI1198" s="15"/>
      <c r="AJ1198" s="41">
        <f t="shared" si="36"/>
        <v>19935.460087492247</v>
      </c>
      <c r="AK1198" s="44">
        <f t="shared" si="37"/>
        <v>3.5657806312542637</v>
      </c>
      <c r="AL1198" s="10"/>
      <c r="AM1198" s="10"/>
    </row>
    <row r="1199" spans="1:39" s="16" customFormat="1" ht="19" customHeight="1">
      <c r="A1199" s="9" t="s">
        <v>1236</v>
      </c>
      <c r="B1199" s="10" t="s">
        <v>1005</v>
      </c>
      <c r="C1199" s="10"/>
      <c r="D1199" s="10"/>
      <c r="E1199" s="38" t="s">
        <v>953</v>
      </c>
      <c r="F1199" s="38" t="s">
        <v>249</v>
      </c>
      <c r="G1199" s="12" t="s">
        <v>1006</v>
      </c>
      <c r="H1199" s="13">
        <v>92.431624423758919</v>
      </c>
      <c r="I1199" s="13">
        <v>11.861715795680659</v>
      </c>
      <c r="J1199" s="13">
        <v>5303.4869172374429</v>
      </c>
      <c r="K1199" s="13">
        <v>10396.273081964026</v>
      </c>
      <c r="L1199" s="13">
        <v>1154.7832281598776</v>
      </c>
      <c r="M1199" s="13">
        <v>2572.511748226033</v>
      </c>
      <c r="N1199" s="13">
        <v>4298.2215250316613</v>
      </c>
      <c r="O1199" s="13">
        <v>656.32413271471319</v>
      </c>
      <c r="P1199" s="13">
        <v>98.272116108930462</v>
      </c>
      <c r="Q1199" s="13">
        <v>426.2518840790629</v>
      </c>
      <c r="R1199" s="13"/>
      <c r="S1199" s="13">
        <v>170.1119858406928</v>
      </c>
      <c r="T1199" s="13">
        <v>778.30044973906013</v>
      </c>
      <c r="U1199" s="13"/>
      <c r="V1199" s="13"/>
      <c r="W1199" s="13"/>
      <c r="X1199" s="13">
        <v>32.511021823971994</v>
      </c>
      <c r="Y1199" s="13">
        <v>3.9592884670034629</v>
      </c>
      <c r="Z1199" s="13">
        <v>555.28366351542195</v>
      </c>
      <c r="AA1199" s="13"/>
      <c r="AB1199" s="13"/>
      <c r="AC1199" s="14">
        <v>4434.6225183426568</v>
      </c>
      <c r="AD1199" s="14">
        <v>1745.5082790218555</v>
      </c>
      <c r="AE1199" s="14">
        <v>2141.9692667289592</v>
      </c>
      <c r="AF1199" s="14"/>
      <c r="AG1199" s="15">
        <v>0.53082457785627868</v>
      </c>
      <c r="AH1199" s="15">
        <v>0.56635268847483156</v>
      </c>
      <c r="AI1199" s="15"/>
      <c r="AJ1199" s="41">
        <f t="shared" si="36"/>
        <v>21152.76475239301</v>
      </c>
      <c r="AK1199" s="44">
        <f t="shared" si="37"/>
        <v>3.3052939248442113</v>
      </c>
      <c r="AL1199" s="10"/>
      <c r="AM1199" s="10"/>
    </row>
    <row r="1200" spans="1:39" s="16" customFormat="1" ht="19" customHeight="1">
      <c r="A1200" s="9" t="s">
        <v>1237</v>
      </c>
      <c r="B1200" s="10" t="s">
        <v>1005</v>
      </c>
      <c r="C1200" s="10"/>
      <c r="D1200" s="10"/>
      <c r="E1200" s="38" t="s">
        <v>953</v>
      </c>
      <c r="F1200" s="38" t="s">
        <v>249</v>
      </c>
      <c r="G1200" s="12" t="s">
        <v>1006</v>
      </c>
      <c r="H1200" s="13">
        <v>45.030908448060885</v>
      </c>
      <c r="I1200" s="13">
        <v>6.017503932507787</v>
      </c>
      <c r="J1200" s="13">
        <v>4763.4340403069264</v>
      </c>
      <c r="K1200" s="13">
        <v>9376.0133497775842</v>
      </c>
      <c r="L1200" s="13">
        <v>873.34933618592879</v>
      </c>
      <c r="M1200" s="13">
        <v>2300.0906827876152</v>
      </c>
      <c r="N1200" s="13">
        <v>3206.9708163896375</v>
      </c>
      <c r="O1200" s="13">
        <v>455.99590029096271</v>
      </c>
      <c r="P1200" s="13">
        <v>64.631027844284574</v>
      </c>
      <c r="Q1200" s="13">
        <v>296.70673418746617</v>
      </c>
      <c r="R1200" s="13"/>
      <c r="S1200" s="13">
        <v>124.62421736096498</v>
      </c>
      <c r="T1200" s="13">
        <v>592.80847922695068</v>
      </c>
      <c r="U1200" s="13"/>
      <c r="V1200" s="13"/>
      <c r="W1200" s="13"/>
      <c r="X1200" s="13">
        <v>24.599027081939582</v>
      </c>
      <c r="Y1200" s="13">
        <v>2.7119610694209237</v>
      </c>
      <c r="Z1200" s="13">
        <v>537.78876553461919</v>
      </c>
      <c r="AA1200" s="13"/>
      <c r="AB1200" s="13"/>
      <c r="AC1200" s="14">
        <v>3081.0533803443427</v>
      </c>
      <c r="AD1200" s="14">
        <v>1147.975627784806</v>
      </c>
      <c r="AE1200" s="14">
        <v>1490.9886140073677</v>
      </c>
      <c r="AF1200" s="14"/>
      <c r="AG1200" s="15">
        <v>0.50217195257743141</v>
      </c>
      <c r="AH1200" s="15">
        <v>0.53560656675773044</v>
      </c>
      <c r="AI1200" s="15"/>
      <c r="AJ1200" s="41">
        <f t="shared" si="36"/>
        <v>18219.767542660076</v>
      </c>
      <c r="AK1200" s="44">
        <f t="shared" si="37"/>
        <v>3.8799895132860422</v>
      </c>
      <c r="AL1200" s="10"/>
      <c r="AM1200" s="10"/>
    </row>
    <row r="1201" spans="1:39" s="16" customFormat="1" ht="19" customHeight="1">
      <c r="A1201" s="9" t="s">
        <v>1238</v>
      </c>
      <c r="B1201" s="10" t="s">
        <v>1005</v>
      </c>
      <c r="C1201" s="10"/>
      <c r="D1201" s="10"/>
      <c r="E1201" s="38" t="s">
        <v>953</v>
      </c>
      <c r="F1201" s="38" t="s">
        <v>249</v>
      </c>
      <c r="G1201" s="12" t="s">
        <v>1006</v>
      </c>
      <c r="H1201" s="13">
        <v>72.582794660316509</v>
      </c>
      <c r="I1201" s="13">
        <v>8.4436160238840205</v>
      </c>
      <c r="J1201" s="13">
        <v>5463.2226357349946</v>
      </c>
      <c r="K1201" s="13">
        <v>9735.5143148017851</v>
      </c>
      <c r="L1201" s="13">
        <v>877.69819745229609</v>
      </c>
      <c r="M1201" s="13">
        <v>2362.5906130182138</v>
      </c>
      <c r="N1201" s="13">
        <v>3044.8246134342717</v>
      </c>
      <c r="O1201" s="13">
        <v>403.8409527083154</v>
      </c>
      <c r="P1201" s="13">
        <v>61.50584905535549</v>
      </c>
      <c r="Q1201" s="13">
        <v>285.74110077816459</v>
      </c>
      <c r="R1201" s="13"/>
      <c r="S1201" s="13">
        <v>115.88531519035</v>
      </c>
      <c r="T1201" s="13">
        <v>593.52575976027299</v>
      </c>
      <c r="U1201" s="13"/>
      <c r="V1201" s="13"/>
      <c r="W1201" s="13"/>
      <c r="X1201" s="13">
        <v>27.43867926185446</v>
      </c>
      <c r="Y1201" s="13">
        <v>3.1245363924200786</v>
      </c>
      <c r="Z1201" s="13">
        <v>514.78868746546561</v>
      </c>
      <c r="AA1201" s="13"/>
      <c r="AB1201" s="13"/>
      <c r="AC1201" s="14">
        <v>2728.6550858669962</v>
      </c>
      <c r="AD1201" s="14">
        <v>1092.4662354414829</v>
      </c>
      <c r="AE1201" s="14">
        <v>1435.8849285334904</v>
      </c>
      <c r="AF1201" s="14"/>
      <c r="AG1201" s="15">
        <v>0.52465157336169843</v>
      </c>
      <c r="AH1201" s="15">
        <v>0.55191714260959046</v>
      </c>
      <c r="AI1201" s="15"/>
      <c r="AJ1201" s="41">
        <f t="shared" si="36"/>
        <v>19121.259761423345</v>
      </c>
      <c r="AK1201" s="44">
        <f t="shared" si="37"/>
        <v>3.9806033254099571</v>
      </c>
      <c r="AL1201" s="10"/>
      <c r="AM1201" s="10"/>
    </row>
    <row r="1202" spans="1:39" s="16" customFormat="1" ht="19" customHeight="1">
      <c r="A1202" s="9" t="s">
        <v>1239</v>
      </c>
      <c r="B1202" s="10" t="s">
        <v>1005</v>
      </c>
      <c r="C1202" s="10"/>
      <c r="D1202" s="10"/>
      <c r="E1202" s="38" t="s">
        <v>953</v>
      </c>
      <c r="F1202" s="38" t="s">
        <v>249</v>
      </c>
      <c r="G1202" s="12" t="s">
        <v>1006</v>
      </c>
      <c r="H1202" s="13">
        <v>95.901024680366845</v>
      </c>
      <c r="I1202" s="13">
        <v>11.455199657319087</v>
      </c>
      <c r="J1202" s="13">
        <v>5188.2692643607852</v>
      </c>
      <c r="K1202" s="13">
        <v>11450.764695147443</v>
      </c>
      <c r="L1202" s="13">
        <v>1169.1848224169751</v>
      </c>
      <c r="M1202" s="13">
        <v>2945.3000661521687</v>
      </c>
      <c r="N1202" s="13">
        <v>4448.4744024163674</v>
      </c>
      <c r="O1202" s="13">
        <v>644.08762784229452</v>
      </c>
      <c r="P1202" s="13">
        <v>100.55756827852292</v>
      </c>
      <c r="Q1202" s="13">
        <v>419.69106817930106</v>
      </c>
      <c r="R1202" s="13"/>
      <c r="S1202" s="13">
        <v>173.85566228977967</v>
      </c>
      <c r="T1202" s="13">
        <v>817.48891545657705</v>
      </c>
      <c r="U1202" s="13"/>
      <c r="V1202" s="13"/>
      <c r="W1202" s="13"/>
      <c r="X1202" s="13">
        <v>32.143180119164235</v>
      </c>
      <c r="Y1202" s="13">
        <v>4.0070969155534186</v>
      </c>
      <c r="Z1202" s="13">
        <v>526.82236626715394</v>
      </c>
      <c r="AA1202" s="13"/>
      <c r="AB1202" s="13"/>
      <c r="AC1202" s="14">
        <v>4351.9434313668553</v>
      </c>
      <c r="AD1202" s="14">
        <v>1786.1024561016507</v>
      </c>
      <c r="AE1202" s="14">
        <v>2109.0003426095527</v>
      </c>
      <c r="AF1202" s="14"/>
      <c r="AG1202" s="15">
        <v>0.55289212182770264</v>
      </c>
      <c r="AH1202" s="15">
        <v>0.58955784369176356</v>
      </c>
      <c r="AI1202" s="15"/>
      <c r="AJ1202" s="41">
        <f t="shared" si="36"/>
        <v>22256.69318434157</v>
      </c>
      <c r="AK1202" s="44">
        <f t="shared" si="37"/>
        <v>3.6028623880571939</v>
      </c>
      <c r="AL1202" s="10"/>
      <c r="AM1202" s="10"/>
    </row>
    <row r="1203" spans="1:39" s="16" customFormat="1" ht="19" customHeight="1">
      <c r="A1203" s="9" t="s">
        <v>1240</v>
      </c>
      <c r="B1203" s="10" t="s">
        <v>1005</v>
      </c>
      <c r="C1203" s="10"/>
      <c r="D1203" s="10"/>
      <c r="E1203" s="38" t="s">
        <v>953</v>
      </c>
      <c r="F1203" s="38" t="s">
        <v>249</v>
      </c>
      <c r="G1203" s="12" t="s">
        <v>1006</v>
      </c>
      <c r="H1203" s="13">
        <v>76.292524419098072</v>
      </c>
      <c r="I1203" s="13">
        <v>8.4971751364742349</v>
      </c>
      <c r="J1203" s="13">
        <v>6031.4237223269583</v>
      </c>
      <c r="K1203" s="13">
        <v>9937.973328884882</v>
      </c>
      <c r="L1203" s="13">
        <v>814.12977552792677</v>
      </c>
      <c r="M1203" s="13">
        <v>2571.2757559218644</v>
      </c>
      <c r="N1203" s="13">
        <v>2607.7916916722124</v>
      </c>
      <c r="O1203" s="13">
        <v>319.54656929083876</v>
      </c>
      <c r="P1203" s="13">
        <v>47.894156722125807</v>
      </c>
      <c r="Q1203" s="13">
        <v>224.11608957976392</v>
      </c>
      <c r="R1203" s="13"/>
      <c r="S1203" s="13">
        <v>98.523771029072265</v>
      </c>
      <c r="T1203" s="13">
        <v>564.59737167820879</v>
      </c>
      <c r="U1203" s="13"/>
      <c r="V1203" s="13"/>
      <c r="W1203" s="13"/>
      <c r="X1203" s="13">
        <v>26.856006475381495</v>
      </c>
      <c r="Y1203" s="13">
        <v>3.4719458706580411</v>
      </c>
      <c r="Z1203" s="13">
        <v>456.72888129343539</v>
      </c>
      <c r="AA1203" s="13"/>
      <c r="AB1203" s="13"/>
      <c r="AC1203" s="14">
        <v>2159.0984411543159</v>
      </c>
      <c r="AD1203" s="14">
        <v>850.6955012810979</v>
      </c>
      <c r="AE1203" s="14">
        <v>1126.2115054259493</v>
      </c>
      <c r="AF1203" s="14"/>
      <c r="AG1203" s="15">
        <v>0.51787838293102373</v>
      </c>
      <c r="AH1203" s="15">
        <v>0.54554167690106459</v>
      </c>
      <c r="AI1203" s="15"/>
      <c r="AJ1203" s="41">
        <f t="shared" si="36"/>
        <v>19391.318518411979</v>
      </c>
      <c r="AK1203" s="44">
        <f t="shared" si="37"/>
        <v>4.5541759223550873</v>
      </c>
      <c r="AL1203" s="10"/>
      <c r="AM1203" s="10"/>
    </row>
    <row r="1204" spans="1:39" s="16" customFormat="1" ht="19" customHeight="1">
      <c r="A1204" s="9" t="s">
        <v>1241</v>
      </c>
      <c r="B1204" s="10" t="s">
        <v>1005</v>
      </c>
      <c r="C1204" s="10"/>
      <c r="D1204" s="10"/>
      <c r="E1204" s="38" t="s">
        <v>953</v>
      </c>
      <c r="F1204" s="38" t="s">
        <v>249</v>
      </c>
      <c r="G1204" s="12" t="s">
        <v>1006</v>
      </c>
      <c r="H1204" s="13">
        <v>85.219083873072677</v>
      </c>
      <c r="I1204" s="13">
        <v>10.018503909573207</v>
      </c>
      <c r="J1204" s="13">
        <v>5308.1130748870764</v>
      </c>
      <c r="K1204" s="13">
        <v>11023.166766143209</v>
      </c>
      <c r="L1204" s="13">
        <v>1140.1450456491589</v>
      </c>
      <c r="M1204" s="13">
        <v>2791.6014982253132</v>
      </c>
      <c r="N1204" s="13">
        <v>4295.3374116605037</v>
      </c>
      <c r="O1204" s="13">
        <v>624.69398400492514</v>
      </c>
      <c r="P1204" s="13">
        <v>98.649494445573296</v>
      </c>
      <c r="Q1204" s="13">
        <v>413.8691422607057</v>
      </c>
      <c r="R1204" s="13"/>
      <c r="S1204" s="13">
        <v>161.88382952932488</v>
      </c>
      <c r="T1204" s="13">
        <v>761.86485012393814</v>
      </c>
      <c r="U1204" s="13"/>
      <c r="V1204" s="13"/>
      <c r="W1204" s="13"/>
      <c r="X1204" s="13">
        <v>31.511751418206558</v>
      </c>
      <c r="Y1204" s="13">
        <v>3.6876333668408789</v>
      </c>
      <c r="Z1204" s="13">
        <v>520.49634564338999</v>
      </c>
      <c r="AA1204" s="13"/>
      <c r="AB1204" s="13"/>
      <c r="AC1204" s="14">
        <v>4220.9052973305752</v>
      </c>
      <c r="AD1204" s="14">
        <v>1752.2112690155116</v>
      </c>
      <c r="AE1204" s="14">
        <v>2079.744433470883</v>
      </c>
      <c r="AF1204" s="14"/>
      <c r="AG1204" s="15">
        <v>0.55620018375235913</v>
      </c>
      <c r="AH1204" s="15">
        <v>0.59139640435095941</v>
      </c>
      <c r="AI1204" s="15"/>
      <c r="AJ1204" s="41">
        <f t="shared" si="36"/>
        <v>21766.762298339949</v>
      </c>
      <c r="AK1204" s="44">
        <f t="shared" si="37"/>
        <v>3.6641689110229758</v>
      </c>
      <c r="AL1204" s="10"/>
      <c r="AM1204" s="10"/>
    </row>
    <row r="1205" spans="1:39" s="16" customFormat="1" ht="19" customHeight="1">
      <c r="A1205" s="9" t="s">
        <v>1242</v>
      </c>
      <c r="B1205" s="10" t="s">
        <v>1005</v>
      </c>
      <c r="C1205" s="10"/>
      <c r="D1205" s="10"/>
      <c r="E1205" s="38" t="s">
        <v>953</v>
      </c>
      <c r="F1205" s="38" t="s">
        <v>249</v>
      </c>
      <c r="G1205" s="12" t="s">
        <v>1006</v>
      </c>
      <c r="H1205" s="13">
        <v>46.885049512304668</v>
      </c>
      <c r="I1205" s="13">
        <v>5.9081121641707384</v>
      </c>
      <c r="J1205" s="13">
        <v>5610.9376612500428</v>
      </c>
      <c r="K1205" s="13">
        <v>8554.1814272308202</v>
      </c>
      <c r="L1205" s="13">
        <v>671.29055591366023</v>
      </c>
      <c r="M1205" s="13">
        <v>2241.5128127374219</v>
      </c>
      <c r="N1205" s="13">
        <v>2094.4195372190516</v>
      </c>
      <c r="O1205" s="13">
        <v>247.15196819651891</v>
      </c>
      <c r="P1205" s="13">
        <v>36.477134851281505</v>
      </c>
      <c r="Q1205" s="13">
        <v>172.73682407210049</v>
      </c>
      <c r="R1205" s="13"/>
      <c r="S1205" s="13">
        <v>77.446517121800269</v>
      </c>
      <c r="T1205" s="13">
        <v>447.88621534205771</v>
      </c>
      <c r="U1205" s="13"/>
      <c r="V1205" s="13"/>
      <c r="W1205" s="13"/>
      <c r="X1205" s="13">
        <v>22.900973507462279</v>
      </c>
      <c r="Y1205" s="13">
        <v>2.6598580290018781</v>
      </c>
      <c r="Z1205" s="13">
        <v>444.71033139078094</v>
      </c>
      <c r="AA1205" s="13"/>
      <c r="AB1205" s="13"/>
      <c r="AC1205" s="14">
        <v>1669.9457310575604</v>
      </c>
      <c r="AD1205" s="14">
        <v>647.90648048457388</v>
      </c>
      <c r="AE1205" s="14">
        <v>868.02424156834411</v>
      </c>
      <c r="AF1205" s="14"/>
      <c r="AG1205" s="15">
        <v>0.51057064305155586</v>
      </c>
      <c r="AH1205" s="15">
        <v>0.53813992998483762</v>
      </c>
      <c r="AI1205" s="15"/>
      <c r="AJ1205" s="41">
        <f t="shared" si="36"/>
        <v>16930.829181613575</v>
      </c>
      <c r="AK1205" s="44">
        <f t="shared" si="37"/>
        <v>5.0046479126970755</v>
      </c>
      <c r="AL1205" s="10"/>
      <c r="AM1205" s="10"/>
    </row>
    <row r="1206" spans="1:39" s="16" customFormat="1" ht="19" customHeight="1">
      <c r="A1206" s="9" t="s">
        <v>1243</v>
      </c>
      <c r="B1206" s="10" t="s">
        <v>1005</v>
      </c>
      <c r="C1206" s="10"/>
      <c r="D1206" s="10"/>
      <c r="E1206" s="38" t="s">
        <v>953</v>
      </c>
      <c r="F1206" s="38" t="s">
        <v>249</v>
      </c>
      <c r="G1206" s="12" t="s">
        <v>1006</v>
      </c>
      <c r="H1206" s="13">
        <v>51.815912715172466</v>
      </c>
      <c r="I1206" s="13">
        <v>5.455833118181193</v>
      </c>
      <c r="J1206" s="13">
        <v>5210.5216046669839</v>
      </c>
      <c r="K1206" s="13">
        <v>8426.5464713203201</v>
      </c>
      <c r="L1206" s="13">
        <v>713.21353977885656</v>
      </c>
      <c r="M1206" s="13">
        <v>2273.8556560885449</v>
      </c>
      <c r="N1206" s="13">
        <v>2340.1133811360069</v>
      </c>
      <c r="O1206" s="13">
        <v>293.69973772507495</v>
      </c>
      <c r="P1206" s="13">
        <v>40.513438771349584</v>
      </c>
      <c r="Q1206" s="13">
        <v>205.91559338890286</v>
      </c>
      <c r="R1206" s="13"/>
      <c r="S1206" s="13">
        <v>90.137652770805275</v>
      </c>
      <c r="T1206" s="13">
        <v>476.35794058398426</v>
      </c>
      <c r="U1206" s="13"/>
      <c r="V1206" s="13"/>
      <c r="W1206" s="13"/>
      <c r="X1206" s="13">
        <v>23.653458025712432</v>
      </c>
      <c r="Y1206" s="13">
        <v>2.7087729178359314</v>
      </c>
      <c r="Z1206" s="13">
        <v>454.45855260330461</v>
      </c>
      <c r="AA1206" s="13"/>
      <c r="AB1206" s="13"/>
      <c r="AC1206" s="14">
        <v>1984.4576873315875</v>
      </c>
      <c r="AD1206" s="14">
        <v>719.59926769715071</v>
      </c>
      <c r="AE1206" s="14">
        <v>1034.7517255723762</v>
      </c>
      <c r="AF1206" s="14"/>
      <c r="AG1206" s="15">
        <v>0.47668059368231708</v>
      </c>
      <c r="AH1206" s="15">
        <v>0.50217109537860893</v>
      </c>
      <c r="AI1206" s="15"/>
      <c r="AJ1206" s="41">
        <f t="shared" si="36"/>
        <v>16690.394996902167</v>
      </c>
      <c r="AK1206" s="44">
        <f t="shared" si="37"/>
        <v>4.7734181848652382</v>
      </c>
      <c r="AL1206" s="10"/>
      <c r="AM1206" s="10"/>
    </row>
    <row r="1207" spans="1:39" s="16" customFormat="1" ht="19" customHeight="1">
      <c r="A1207" s="9" t="s">
        <v>1244</v>
      </c>
      <c r="B1207" s="10" t="s">
        <v>1005</v>
      </c>
      <c r="C1207" s="10"/>
      <c r="D1207" s="10"/>
      <c r="E1207" s="38" t="s">
        <v>953</v>
      </c>
      <c r="F1207" s="38" t="s">
        <v>249</v>
      </c>
      <c r="G1207" s="12" t="s">
        <v>1006</v>
      </c>
      <c r="H1207" s="13">
        <v>105.59399723970026</v>
      </c>
      <c r="I1207" s="13">
        <v>11.857509049147676</v>
      </c>
      <c r="J1207" s="13">
        <v>7913.9104959457345</v>
      </c>
      <c r="K1207" s="13">
        <v>13236.358857101513</v>
      </c>
      <c r="L1207" s="13">
        <v>1050.2590592393128</v>
      </c>
      <c r="M1207" s="13">
        <v>2531.5364916464309</v>
      </c>
      <c r="N1207" s="13">
        <v>3227.9493324906343</v>
      </c>
      <c r="O1207" s="13">
        <v>387.63408653428422</v>
      </c>
      <c r="P1207" s="13">
        <v>61.720019813328115</v>
      </c>
      <c r="Q1207" s="13">
        <v>274.96629206459414</v>
      </c>
      <c r="R1207" s="13"/>
      <c r="S1207" s="13">
        <v>121.91081305232136</v>
      </c>
      <c r="T1207" s="13">
        <v>697.53242610002337</v>
      </c>
      <c r="U1207" s="13"/>
      <c r="V1207" s="13"/>
      <c r="W1207" s="13"/>
      <c r="X1207" s="13">
        <v>35.52683893700339</v>
      </c>
      <c r="Y1207" s="13">
        <v>4.5352630449506419</v>
      </c>
      <c r="Z1207" s="13">
        <v>510.13687362678854</v>
      </c>
      <c r="AA1207" s="13"/>
      <c r="AB1207" s="13"/>
      <c r="AC1207" s="14">
        <v>2619.1492333397582</v>
      </c>
      <c r="AD1207" s="14">
        <v>1096.2703341621336</v>
      </c>
      <c r="AE1207" s="14">
        <v>1381.7401611286136</v>
      </c>
      <c r="AF1207" s="14"/>
      <c r="AG1207" s="15">
        <v>0.54801331707786605</v>
      </c>
      <c r="AH1207" s="15">
        <v>0.57626779488076696</v>
      </c>
      <c r="AI1207" s="15"/>
      <c r="AJ1207" s="41">
        <f t="shared" si="36"/>
        <v>25428.477744777192</v>
      </c>
      <c r="AK1207" s="44">
        <f t="shared" si="37"/>
        <v>3.6292742773271716</v>
      </c>
      <c r="AL1207" s="10"/>
      <c r="AM1207" s="10"/>
    </row>
    <row r="1208" spans="1:39" s="16" customFormat="1" ht="19" customHeight="1">
      <c r="A1208" s="9" t="s">
        <v>1245</v>
      </c>
      <c r="B1208" s="10" t="s">
        <v>1005</v>
      </c>
      <c r="C1208" s="10"/>
      <c r="D1208" s="10"/>
      <c r="E1208" s="38" t="s">
        <v>953</v>
      </c>
      <c r="F1208" s="38" t="s">
        <v>249</v>
      </c>
      <c r="G1208" s="12" t="s">
        <v>1006</v>
      </c>
      <c r="H1208" s="13">
        <v>69.745853131894762</v>
      </c>
      <c r="I1208" s="13">
        <v>7.6213132346879302</v>
      </c>
      <c r="J1208" s="13">
        <v>4923.0459847175753</v>
      </c>
      <c r="K1208" s="13">
        <v>9405.1444736010017</v>
      </c>
      <c r="L1208" s="13">
        <v>955.08789445256878</v>
      </c>
      <c r="M1208" s="13">
        <v>2344.625216262094</v>
      </c>
      <c r="N1208" s="13">
        <v>3432.6523449974993</v>
      </c>
      <c r="O1208" s="13">
        <v>488.45484066696434</v>
      </c>
      <c r="P1208" s="13">
        <v>72.554988200173071</v>
      </c>
      <c r="Q1208" s="13">
        <v>339.6459249817907</v>
      </c>
      <c r="R1208" s="13"/>
      <c r="S1208" s="13">
        <v>133.44051479997066</v>
      </c>
      <c r="T1208" s="13">
        <v>638.81136506873315</v>
      </c>
      <c r="U1208" s="13"/>
      <c r="V1208" s="13"/>
      <c r="W1208" s="13"/>
      <c r="X1208" s="13">
        <v>26.749628789835374</v>
      </c>
      <c r="Y1208" s="13">
        <v>3.1714167718012058</v>
      </c>
      <c r="Z1208" s="13">
        <v>492.35524639805516</v>
      </c>
      <c r="AA1208" s="13"/>
      <c r="AB1208" s="13"/>
      <c r="AC1208" s="14">
        <v>3300.3705450470566</v>
      </c>
      <c r="AD1208" s="14">
        <v>1288.7209271789179</v>
      </c>
      <c r="AE1208" s="14">
        <v>1706.7634421195512</v>
      </c>
      <c r="AF1208" s="14"/>
      <c r="AG1208" s="15">
        <v>0.51475392129786712</v>
      </c>
      <c r="AH1208" s="15">
        <v>0.54298879008059098</v>
      </c>
      <c r="AI1208" s="15"/>
      <c r="AJ1208" s="41">
        <f t="shared" si="36"/>
        <v>18715.930697768643</v>
      </c>
      <c r="AK1208" s="44">
        <f t="shared" si="37"/>
        <v>3.6702935239886085</v>
      </c>
      <c r="AL1208" s="10"/>
      <c r="AM1208" s="10"/>
    </row>
    <row r="1209" spans="1:39" s="16" customFormat="1" ht="19" customHeight="1">
      <c r="A1209" s="9" t="s">
        <v>1246</v>
      </c>
      <c r="B1209" s="10" t="s">
        <v>1005</v>
      </c>
      <c r="C1209" s="10"/>
      <c r="D1209" s="10"/>
      <c r="E1209" s="38" t="s">
        <v>953</v>
      </c>
      <c r="F1209" s="38" t="s">
        <v>249</v>
      </c>
      <c r="G1209" s="12" t="s">
        <v>1006</v>
      </c>
      <c r="H1209" s="13">
        <v>57.077402449405255</v>
      </c>
      <c r="I1209" s="13">
        <v>6.6451835893413094</v>
      </c>
      <c r="J1209" s="13">
        <v>5659.4496191357521</v>
      </c>
      <c r="K1209" s="13">
        <v>9132.3693771933158</v>
      </c>
      <c r="L1209" s="13">
        <v>758.82751220084572</v>
      </c>
      <c r="M1209" s="13">
        <v>2336.2042372418969</v>
      </c>
      <c r="N1209" s="13">
        <v>2366.7773268498863</v>
      </c>
      <c r="O1209" s="13">
        <v>290.3776604748993</v>
      </c>
      <c r="P1209" s="13">
        <v>44.19325810175993</v>
      </c>
      <c r="Q1209" s="13">
        <v>201.69521489863442</v>
      </c>
      <c r="R1209" s="13"/>
      <c r="S1209" s="13">
        <v>86.382832278283914</v>
      </c>
      <c r="T1209" s="13">
        <v>498.12598396785819</v>
      </c>
      <c r="U1209" s="13"/>
      <c r="V1209" s="13"/>
      <c r="W1209" s="13"/>
      <c r="X1209" s="13">
        <v>24.817180737242584</v>
      </c>
      <c r="Y1209" s="13">
        <v>2.9135002965716579</v>
      </c>
      <c r="Z1209" s="13">
        <v>496.94420494373969</v>
      </c>
      <c r="AA1209" s="13"/>
      <c r="AB1209" s="13"/>
      <c r="AC1209" s="14">
        <v>1962.0112194249953</v>
      </c>
      <c r="AD1209" s="14">
        <v>784.96017942735227</v>
      </c>
      <c r="AE1209" s="14">
        <v>1013.5437934604744</v>
      </c>
      <c r="AF1209" s="14"/>
      <c r="AG1209" s="15">
        <v>0.52760589270111113</v>
      </c>
      <c r="AH1209" s="15">
        <v>0.55664155328037135</v>
      </c>
      <c r="AI1209" s="15"/>
      <c r="AJ1209" s="41">
        <f t="shared" si="36"/>
        <v>17917.423835379799</v>
      </c>
      <c r="AK1209" s="44">
        <f t="shared" si="37"/>
        <v>4.6899866949977085</v>
      </c>
      <c r="AL1209" s="10"/>
      <c r="AM1209" s="10"/>
    </row>
    <row r="1210" spans="1:39" s="16" customFormat="1" ht="19" customHeight="1">
      <c r="A1210" s="9" t="s">
        <v>1247</v>
      </c>
      <c r="B1210" s="10" t="s">
        <v>1005</v>
      </c>
      <c r="C1210" s="10"/>
      <c r="D1210" s="10"/>
      <c r="E1210" s="38" t="s">
        <v>953</v>
      </c>
      <c r="F1210" s="38" t="s">
        <v>249</v>
      </c>
      <c r="G1210" s="12" t="s">
        <v>1006</v>
      </c>
      <c r="H1210" s="13">
        <v>75.773740413137162</v>
      </c>
      <c r="I1210" s="13">
        <v>8.4965922560602252</v>
      </c>
      <c r="J1210" s="13">
        <v>4950.340933524074</v>
      </c>
      <c r="K1210" s="13">
        <v>9811.1543449735527</v>
      </c>
      <c r="L1210" s="13">
        <v>988.4200261447578</v>
      </c>
      <c r="M1210" s="13">
        <v>2424.1771970657642</v>
      </c>
      <c r="N1210" s="13">
        <v>3710.6716342018294</v>
      </c>
      <c r="O1210" s="13">
        <v>524.7227573279032</v>
      </c>
      <c r="P1210" s="13">
        <v>79.454423787018044</v>
      </c>
      <c r="Q1210" s="13">
        <v>337.86974425649828</v>
      </c>
      <c r="R1210" s="13"/>
      <c r="S1210" s="13">
        <v>140.05116764224152</v>
      </c>
      <c r="T1210" s="13">
        <v>650.13143601934541</v>
      </c>
      <c r="U1210" s="13"/>
      <c r="V1210" s="13"/>
      <c r="W1210" s="13"/>
      <c r="X1210" s="13">
        <v>27.961073375753692</v>
      </c>
      <c r="Y1210" s="13">
        <v>3.357453613259334</v>
      </c>
      <c r="Z1210" s="13">
        <v>551.79798439885485</v>
      </c>
      <c r="AA1210" s="13"/>
      <c r="AB1210" s="13"/>
      <c r="AC1210" s="14">
        <v>3545.424035999346</v>
      </c>
      <c r="AD1210" s="14">
        <v>1411.2686285438374</v>
      </c>
      <c r="AE1210" s="14">
        <v>1697.8379108366746</v>
      </c>
      <c r="AF1210" s="14"/>
      <c r="AG1210" s="15">
        <v>0.53831704112950118</v>
      </c>
      <c r="AH1210" s="15">
        <v>0.57521139640014163</v>
      </c>
      <c r="AI1210" s="15"/>
      <c r="AJ1210" s="41">
        <f t="shared" si="36"/>
        <v>19460.586938844215</v>
      </c>
      <c r="AK1210" s="44">
        <f t="shared" si="37"/>
        <v>3.7287493924438229</v>
      </c>
      <c r="AL1210" s="10"/>
      <c r="AM1210" s="10"/>
    </row>
    <row r="1211" spans="1:39" s="16" customFormat="1" ht="19" customHeight="1">
      <c r="A1211" s="9" t="s">
        <v>1248</v>
      </c>
      <c r="B1211" s="10" t="s">
        <v>1005</v>
      </c>
      <c r="C1211" s="10"/>
      <c r="D1211" s="10"/>
      <c r="E1211" s="38" t="s">
        <v>953</v>
      </c>
      <c r="F1211" s="38" t="s">
        <v>249</v>
      </c>
      <c r="G1211" s="12" t="s">
        <v>1006</v>
      </c>
      <c r="H1211" s="13">
        <v>51.385671272465515</v>
      </c>
      <c r="I1211" s="13">
        <v>7.092958294409069</v>
      </c>
      <c r="J1211" s="13">
        <v>3204.3724411401872</v>
      </c>
      <c r="K1211" s="13">
        <v>7242.8768460716892</v>
      </c>
      <c r="L1211" s="13">
        <v>793.77772528291439</v>
      </c>
      <c r="M1211" s="13">
        <v>2981.1099149118909</v>
      </c>
      <c r="N1211" s="13">
        <v>3109.9913370528734</v>
      </c>
      <c r="O1211" s="13">
        <v>480.79161577885833</v>
      </c>
      <c r="P1211" s="13">
        <v>74.648552482420257</v>
      </c>
      <c r="Q1211" s="13">
        <v>311.72707278571625</v>
      </c>
      <c r="R1211" s="13"/>
      <c r="S1211" s="13">
        <v>141.06680100967284</v>
      </c>
      <c r="T1211" s="13">
        <v>688.75219113848982</v>
      </c>
      <c r="U1211" s="13"/>
      <c r="V1211" s="13"/>
      <c r="W1211" s="13"/>
      <c r="X1211" s="13">
        <v>26.84903155672686</v>
      </c>
      <c r="Y1211" s="13">
        <v>3.3026755826861161</v>
      </c>
      <c r="Z1211" s="13">
        <v>309.68703773097002</v>
      </c>
      <c r="AA1211" s="13"/>
      <c r="AB1211" s="13"/>
      <c r="AC1211" s="14">
        <v>3248.5919985057999</v>
      </c>
      <c r="AD1211" s="14">
        <v>1325.9067936486724</v>
      </c>
      <c r="AE1211" s="14">
        <v>1566.4677024407852</v>
      </c>
      <c r="AF1211" s="14"/>
      <c r="AG1211" s="15">
        <v>0.55073327268943906</v>
      </c>
      <c r="AH1211" s="15">
        <v>0.58776630858321421</v>
      </c>
      <c r="AI1211" s="15"/>
      <c r="AJ1211" s="41">
        <f t="shared" si="36"/>
        <v>14351.018349547665</v>
      </c>
      <c r="AK1211" s="44">
        <f t="shared" si="37"/>
        <v>4.3282764879254936</v>
      </c>
      <c r="AL1211" s="10"/>
      <c r="AM1211" s="10"/>
    </row>
    <row r="1212" spans="1:39" s="16" customFormat="1" ht="19" customHeight="1">
      <c r="A1212" s="9" t="s">
        <v>1249</v>
      </c>
      <c r="B1212" s="10" t="s">
        <v>1005</v>
      </c>
      <c r="C1212" s="10"/>
      <c r="D1212" s="10"/>
      <c r="E1212" s="38" t="s">
        <v>953</v>
      </c>
      <c r="F1212" s="38" t="s">
        <v>249</v>
      </c>
      <c r="G1212" s="12" t="s">
        <v>1006</v>
      </c>
      <c r="H1212" s="13">
        <v>103.11082667557901</v>
      </c>
      <c r="I1212" s="13">
        <v>11.092675178425775</v>
      </c>
      <c r="J1212" s="13">
        <v>7339.2706982693826</v>
      </c>
      <c r="K1212" s="13">
        <v>12922.173525009741</v>
      </c>
      <c r="L1212" s="13">
        <v>1064.9308746892418</v>
      </c>
      <c r="M1212" s="13">
        <v>2588.3761324927959</v>
      </c>
      <c r="N1212" s="13">
        <v>3507.0794706665702</v>
      </c>
      <c r="O1212" s="13">
        <v>443.74295916631291</v>
      </c>
      <c r="P1212" s="13">
        <v>68.248046982576682</v>
      </c>
      <c r="Q1212" s="13">
        <v>298.48698870675793</v>
      </c>
      <c r="R1212" s="13"/>
      <c r="S1212" s="13">
        <v>130.01615837262017</v>
      </c>
      <c r="T1212" s="13">
        <v>708.62310609483643</v>
      </c>
      <c r="U1212" s="13"/>
      <c r="V1212" s="13"/>
      <c r="W1212" s="13"/>
      <c r="X1212" s="13">
        <v>32.697627294732534</v>
      </c>
      <c r="Y1212" s="13">
        <v>4.0851649701260273</v>
      </c>
      <c r="Z1212" s="13">
        <v>516.73948497648303</v>
      </c>
      <c r="AA1212" s="13"/>
      <c r="AB1212" s="13"/>
      <c r="AC1212" s="14">
        <v>2998.2632376102224</v>
      </c>
      <c r="AD1212" s="14">
        <v>1212.2210831718771</v>
      </c>
      <c r="AE1212" s="14">
        <v>1499.9346166168739</v>
      </c>
      <c r="AF1212" s="14"/>
      <c r="AG1212" s="15">
        <v>0.53898077517097887</v>
      </c>
      <c r="AH1212" s="15">
        <v>0.57162444017355252</v>
      </c>
      <c r="AI1212" s="15"/>
      <c r="AJ1212" s="41">
        <f t="shared" si="36"/>
        <v>24833.454568634934</v>
      </c>
      <c r="AK1212" s="44">
        <f t="shared" si="37"/>
        <v>3.652683789493012</v>
      </c>
      <c r="AL1212" s="10"/>
      <c r="AM1212" s="10"/>
    </row>
    <row r="1213" spans="1:39" s="16" customFormat="1" ht="19" customHeight="1">
      <c r="A1213" s="9" t="s">
        <v>1250</v>
      </c>
      <c r="B1213" s="10" t="s">
        <v>1187</v>
      </c>
      <c r="C1213" s="10"/>
      <c r="D1213" s="10"/>
      <c r="E1213" s="11" t="s">
        <v>1341</v>
      </c>
      <c r="F1213" s="11" t="s">
        <v>249</v>
      </c>
      <c r="G1213" s="12" t="s">
        <v>1006</v>
      </c>
      <c r="H1213" s="13">
        <v>16.003867932761839</v>
      </c>
      <c r="I1213" s="13">
        <v>6.5571194748708557</v>
      </c>
      <c r="J1213" s="13">
        <v>998.6825615094067</v>
      </c>
      <c r="K1213" s="13">
        <v>2160.8243207254704</v>
      </c>
      <c r="L1213" s="13">
        <v>244.33968954272362</v>
      </c>
      <c r="M1213" s="13">
        <v>727.26184957072655</v>
      </c>
      <c r="N1213" s="13">
        <v>944.98045752659471</v>
      </c>
      <c r="O1213" s="13">
        <v>144.95292959553856</v>
      </c>
      <c r="P1213" s="13">
        <v>20.071813673260472</v>
      </c>
      <c r="Q1213" s="13">
        <v>107.66143191069087</v>
      </c>
      <c r="R1213" s="13"/>
      <c r="S1213" s="13">
        <v>54.624622625554373</v>
      </c>
      <c r="T1213" s="13">
        <v>286.72498589278234</v>
      </c>
      <c r="U1213" s="13"/>
      <c r="V1213" s="13"/>
      <c r="W1213" s="13"/>
      <c r="X1213" s="13">
        <v>19.704235029046487</v>
      </c>
      <c r="Y1213" s="13">
        <v>2.7032763167522709</v>
      </c>
      <c r="Z1213" s="13">
        <v>422.92571043324403</v>
      </c>
      <c r="AA1213" s="13"/>
      <c r="AB1213" s="13"/>
      <c r="AC1213" s="14">
        <v>979.41168645634173</v>
      </c>
      <c r="AD1213" s="14">
        <v>356.5153405552482</v>
      </c>
      <c r="AE1213" s="14">
        <v>541.01222065673801</v>
      </c>
      <c r="AF1213" s="14"/>
      <c r="AG1213" s="15">
        <v>0.46896834348281902</v>
      </c>
      <c r="AH1213" s="15">
        <v>0.48976984632819237</v>
      </c>
      <c r="AI1213" s="15"/>
      <c r="AJ1213" s="41">
        <f t="shared" si="36"/>
        <v>4348.8270293041951</v>
      </c>
      <c r="AK1213" s="44">
        <f t="shared" si="37"/>
        <v>2.536443928338628</v>
      </c>
      <c r="AL1213" s="10"/>
      <c r="AM1213" s="10"/>
    </row>
    <row r="1214" spans="1:39" s="16" customFormat="1" ht="19" customHeight="1">
      <c r="A1214" s="9" t="s">
        <v>1251</v>
      </c>
      <c r="B1214" s="10" t="s">
        <v>1187</v>
      </c>
      <c r="C1214" s="10"/>
      <c r="D1214" s="10"/>
      <c r="E1214" s="11" t="s">
        <v>1341</v>
      </c>
      <c r="F1214" s="11" t="s">
        <v>249</v>
      </c>
      <c r="G1214" s="12" t="s">
        <v>1006</v>
      </c>
      <c r="H1214" s="13">
        <v>32.280865666036739</v>
      </c>
      <c r="I1214" s="13">
        <v>7.6152885210663532</v>
      </c>
      <c r="J1214" s="13">
        <v>847.1704243293417</v>
      </c>
      <c r="K1214" s="13">
        <v>1798.8063917136983</v>
      </c>
      <c r="L1214" s="13">
        <v>239.04934361686364</v>
      </c>
      <c r="M1214" s="13">
        <v>767.80721631376025</v>
      </c>
      <c r="N1214" s="13">
        <v>1140.7078483610153</v>
      </c>
      <c r="O1214" s="13">
        <v>211.8206707939585</v>
      </c>
      <c r="P1214" s="13">
        <v>16.507553386266398</v>
      </c>
      <c r="Q1214" s="13">
        <v>164.36221467779492</v>
      </c>
      <c r="R1214" s="13"/>
      <c r="S1214" s="13">
        <v>85.064645173122798</v>
      </c>
      <c r="T1214" s="13">
        <v>400.81321300108334</v>
      </c>
      <c r="U1214" s="13"/>
      <c r="V1214" s="13"/>
      <c r="W1214" s="13"/>
      <c r="X1214" s="13">
        <v>21.720133387770851</v>
      </c>
      <c r="Y1214" s="13">
        <v>3.1794509040101691</v>
      </c>
      <c r="Z1214" s="13">
        <v>394.4669678511957</v>
      </c>
      <c r="AA1214" s="13"/>
      <c r="AB1214" s="13"/>
      <c r="AC1214" s="14">
        <v>1431.2207486078278</v>
      </c>
      <c r="AD1214" s="14">
        <v>293.20698732267141</v>
      </c>
      <c r="AE1214" s="14">
        <v>825.94077727535137</v>
      </c>
      <c r="AF1214" s="14"/>
      <c r="AG1214" s="15">
        <v>0.25980151084486147</v>
      </c>
      <c r="AH1214" s="15">
        <v>0.26967864026263549</v>
      </c>
      <c r="AI1214" s="15"/>
      <c r="AJ1214" s="41">
        <f t="shared" si="36"/>
        <v>4025.7340080209187</v>
      </c>
      <c r="AK1214" s="44">
        <f t="shared" si="37"/>
        <v>1.9156235159135959</v>
      </c>
      <c r="AL1214" s="10"/>
      <c r="AM1214" s="10"/>
    </row>
    <row r="1215" spans="1:39" s="16" customFormat="1" ht="19" customHeight="1">
      <c r="A1215" s="9" t="s">
        <v>1252</v>
      </c>
      <c r="B1215" s="10" t="s">
        <v>1187</v>
      </c>
      <c r="C1215" s="10"/>
      <c r="D1215" s="10"/>
      <c r="E1215" s="11" t="s">
        <v>1341</v>
      </c>
      <c r="F1215" s="11" t="s">
        <v>249</v>
      </c>
      <c r="G1215" s="12" t="s">
        <v>1006</v>
      </c>
      <c r="H1215" s="13">
        <v>71.489621463799807</v>
      </c>
      <c r="I1215" s="13">
        <v>12.679187213414158</v>
      </c>
      <c r="J1215" s="13">
        <v>1216.8772176055522</v>
      </c>
      <c r="K1215" s="13">
        <v>2510.7840011229737</v>
      </c>
      <c r="L1215" s="13">
        <v>350.04893298631151</v>
      </c>
      <c r="M1215" s="13">
        <v>812.02343737486547</v>
      </c>
      <c r="N1215" s="13">
        <v>1646.9102399109295</v>
      </c>
      <c r="O1215" s="13">
        <v>333.05990895505477</v>
      </c>
      <c r="P1215" s="13">
        <v>25.602142714636674</v>
      </c>
      <c r="Q1215" s="13">
        <v>244.8220797336532</v>
      </c>
      <c r="R1215" s="13"/>
      <c r="S1215" s="13">
        <v>130.68577789955478</v>
      </c>
      <c r="T1215" s="13">
        <v>604.13917933552193</v>
      </c>
      <c r="U1215" s="13"/>
      <c r="V1215" s="13"/>
      <c r="W1215" s="13"/>
      <c r="X1215" s="13">
        <v>32.247940169898719</v>
      </c>
      <c r="Y1215" s="13">
        <v>3.9639698642719541</v>
      </c>
      <c r="Z1215" s="13">
        <v>350.45281667746752</v>
      </c>
      <c r="AA1215" s="13"/>
      <c r="AB1215" s="13"/>
      <c r="AC1215" s="14">
        <v>2250.4047902368566</v>
      </c>
      <c r="AD1215" s="14">
        <v>454.74498605038502</v>
      </c>
      <c r="AE1215" s="14">
        <v>1230.2617072042874</v>
      </c>
      <c r="AF1215" s="14"/>
      <c r="AG1215" s="15">
        <v>0.26129764881794709</v>
      </c>
      <c r="AH1215" s="15">
        <v>0.27329950446764051</v>
      </c>
      <c r="AI1215" s="15"/>
      <c r="AJ1215" s="41">
        <f t="shared" si="36"/>
        <v>5724.6203916257673</v>
      </c>
      <c r="AK1215" s="44">
        <f t="shared" si="37"/>
        <v>1.3440999444333182</v>
      </c>
      <c r="AL1215" s="10"/>
      <c r="AM1215" s="10"/>
    </row>
    <row r="1216" spans="1:39" s="16" customFormat="1" ht="19" customHeight="1">
      <c r="A1216" s="9" t="s">
        <v>1253</v>
      </c>
      <c r="B1216" s="10" t="s">
        <v>1254</v>
      </c>
      <c r="C1216" s="10"/>
      <c r="D1216" s="10"/>
      <c r="E1216" s="11" t="s">
        <v>1341</v>
      </c>
      <c r="F1216" s="11" t="s">
        <v>249</v>
      </c>
      <c r="G1216" s="12" t="s">
        <v>1006</v>
      </c>
      <c r="H1216" s="13">
        <v>15.907083019984062</v>
      </c>
      <c r="I1216" s="13">
        <v>9.2919621243534998</v>
      </c>
      <c r="J1216" s="13">
        <v>1253.2966989665381</v>
      </c>
      <c r="K1216" s="13">
        <v>2965.574885696763</v>
      </c>
      <c r="L1216" s="13">
        <v>366.26847658940198</v>
      </c>
      <c r="M1216" s="13">
        <v>368.44930430769432</v>
      </c>
      <c r="N1216" s="13">
        <v>1504.0235422962944</v>
      </c>
      <c r="O1216" s="13">
        <v>306.78656052792695</v>
      </c>
      <c r="P1216" s="13">
        <v>17.058117601481374</v>
      </c>
      <c r="Q1216" s="13">
        <v>296.36687562924527</v>
      </c>
      <c r="R1216" s="13"/>
      <c r="S1216" s="13">
        <v>222.42389997700624</v>
      </c>
      <c r="T1216" s="13">
        <v>1147.8827195953911</v>
      </c>
      <c r="U1216" s="13"/>
      <c r="V1216" s="13"/>
      <c r="W1216" s="13"/>
      <c r="X1216" s="13">
        <v>73.403842295850311</v>
      </c>
      <c r="Y1216" s="13">
        <v>10.205174033183621</v>
      </c>
      <c r="Z1216" s="13">
        <v>1163.8282346220476</v>
      </c>
      <c r="AA1216" s="13"/>
      <c r="AB1216" s="13"/>
      <c r="AC1216" s="14">
        <v>2072.8821657292365</v>
      </c>
      <c r="AD1216" s="14">
        <v>302.98610304585037</v>
      </c>
      <c r="AE1216" s="14">
        <v>1489.2807820565088</v>
      </c>
      <c r="AF1216" s="14"/>
      <c r="AG1216" s="15">
        <v>0.17011355599787359</v>
      </c>
      <c r="AH1216" s="15">
        <v>0.17244361126091387</v>
      </c>
      <c r="AI1216" s="15"/>
      <c r="AJ1216" s="41">
        <f t="shared" si="36"/>
        <v>6089.1636035489973</v>
      </c>
      <c r="AK1216" s="44">
        <f t="shared" si="37"/>
        <v>0.32098166303746289</v>
      </c>
      <c r="AL1216" s="10"/>
      <c r="AM1216" s="10"/>
    </row>
    <row r="1217" spans="1:39" s="16" customFormat="1" ht="19" customHeight="1">
      <c r="A1217" s="9" t="s">
        <v>1255</v>
      </c>
      <c r="B1217" s="10" t="s">
        <v>1254</v>
      </c>
      <c r="C1217" s="10"/>
      <c r="D1217" s="10"/>
      <c r="E1217" s="11" t="s">
        <v>1341</v>
      </c>
      <c r="F1217" s="11" t="s">
        <v>249</v>
      </c>
      <c r="G1217" s="12" t="s">
        <v>1006</v>
      </c>
      <c r="H1217" s="13">
        <v>16.590452558671085</v>
      </c>
      <c r="I1217" s="13">
        <v>8.7111047016278853</v>
      </c>
      <c r="J1217" s="13">
        <v>1383.0751260554007</v>
      </c>
      <c r="K1217" s="13">
        <v>3246.4644458283219</v>
      </c>
      <c r="L1217" s="13">
        <v>400.25824999995683</v>
      </c>
      <c r="M1217" s="13">
        <v>390.64489031753601</v>
      </c>
      <c r="N1217" s="13">
        <v>1647.4090042757412</v>
      </c>
      <c r="O1217" s="13">
        <v>338.85256940524124</v>
      </c>
      <c r="P1217" s="13">
        <v>16.021995824798481</v>
      </c>
      <c r="Q1217" s="13">
        <v>321.61509526326148</v>
      </c>
      <c r="R1217" s="13"/>
      <c r="S1217" s="13">
        <v>231.24881976526783</v>
      </c>
      <c r="T1217" s="13">
        <v>1210.3155171169572</v>
      </c>
      <c r="U1217" s="13"/>
      <c r="V1217" s="13"/>
      <c r="W1217" s="13"/>
      <c r="X1217" s="13">
        <v>77.445646584477856</v>
      </c>
      <c r="Y1217" s="13">
        <v>10.26305730061671</v>
      </c>
      <c r="Z1217" s="13">
        <v>1127.3289729577598</v>
      </c>
      <c r="AA1217" s="13"/>
      <c r="AB1217" s="13"/>
      <c r="AC1217" s="14">
        <v>2289.5443878732517</v>
      </c>
      <c r="AD1217" s="14">
        <v>284.58251909055917</v>
      </c>
      <c r="AE1217" s="14">
        <v>1616.1562576043289</v>
      </c>
      <c r="AF1217" s="14"/>
      <c r="AG1217" s="15">
        <v>0.14572674401970764</v>
      </c>
      <c r="AH1217" s="15">
        <v>0.14794217915437846</v>
      </c>
      <c r="AI1217" s="15"/>
      <c r="AJ1217" s="41">
        <f t="shared" si="36"/>
        <v>6677.2068261594213</v>
      </c>
      <c r="AK1217" s="44">
        <f t="shared" si="37"/>
        <v>0.3227628538119342</v>
      </c>
      <c r="AL1217" s="10"/>
      <c r="AM1217" s="10"/>
    </row>
    <row r="1218" spans="1:39" s="16" customFormat="1" ht="19" customHeight="1">
      <c r="A1218" s="9" t="s">
        <v>1256</v>
      </c>
      <c r="B1218" s="10" t="s">
        <v>1254</v>
      </c>
      <c r="C1218" s="10"/>
      <c r="D1218" s="10"/>
      <c r="E1218" s="11" t="s">
        <v>1341</v>
      </c>
      <c r="F1218" s="11" t="s">
        <v>249</v>
      </c>
      <c r="G1218" s="12" t="s">
        <v>1006</v>
      </c>
      <c r="H1218" s="13">
        <v>18.435721000885241</v>
      </c>
      <c r="I1218" s="13">
        <v>10.370843945900448</v>
      </c>
      <c r="J1218" s="13">
        <v>1364.9945835616832</v>
      </c>
      <c r="K1218" s="13">
        <v>3341.7829705577192</v>
      </c>
      <c r="L1218" s="13">
        <v>403.38934743920282</v>
      </c>
      <c r="M1218" s="13">
        <v>393.75252770367428</v>
      </c>
      <c r="N1218" s="13">
        <v>1669.5711470058516</v>
      </c>
      <c r="O1218" s="13">
        <v>335.27620190027301</v>
      </c>
      <c r="P1218" s="13">
        <v>18.046172369384433</v>
      </c>
      <c r="Q1218" s="13">
        <v>314.10090208972451</v>
      </c>
      <c r="R1218" s="13"/>
      <c r="S1218" s="13">
        <v>252.53901353018966</v>
      </c>
      <c r="T1218" s="13">
        <v>1296.2939962334799</v>
      </c>
      <c r="U1218" s="13"/>
      <c r="V1218" s="13"/>
      <c r="W1218" s="13"/>
      <c r="X1218" s="13">
        <v>83.091200087789105</v>
      </c>
      <c r="Y1218" s="13">
        <v>10.679734766420507</v>
      </c>
      <c r="Z1218" s="13">
        <v>1082.4004342632566</v>
      </c>
      <c r="AA1218" s="13"/>
      <c r="AB1218" s="13"/>
      <c r="AC1218" s="14">
        <v>2265.3797425694124</v>
      </c>
      <c r="AD1218" s="14">
        <v>320.53592130345356</v>
      </c>
      <c r="AE1218" s="14">
        <v>1578.3964929131885</v>
      </c>
      <c r="AF1218" s="14"/>
      <c r="AG1218" s="15">
        <v>0.16678178003419028</v>
      </c>
      <c r="AH1218" s="15">
        <v>0.16951110167920133</v>
      </c>
      <c r="AI1218" s="15"/>
      <c r="AJ1218" s="41">
        <f t="shared" si="36"/>
        <v>6779.7380485644562</v>
      </c>
      <c r="AK1218" s="44">
        <f t="shared" si="37"/>
        <v>0.3037524889012555</v>
      </c>
      <c r="AL1218" s="10"/>
      <c r="AM1218" s="10"/>
    </row>
    <row r="1219" spans="1:39" s="16" customFormat="1" ht="19" customHeight="1">
      <c r="A1219" s="9" t="s">
        <v>1257</v>
      </c>
      <c r="B1219" s="10" t="s">
        <v>1254</v>
      </c>
      <c r="C1219" s="10"/>
      <c r="D1219" s="10"/>
      <c r="E1219" s="11" t="s">
        <v>1341</v>
      </c>
      <c r="F1219" s="11" t="s">
        <v>249</v>
      </c>
      <c r="G1219" s="12" t="s">
        <v>1006</v>
      </c>
      <c r="H1219" s="13">
        <v>18.27054664941457</v>
      </c>
      <c r="I1219" s="13">
        <v>9.0476426016892226</v>
      </c>
      <c r="J1219" s="13">
        <v>1394.1751247200077</v>
      </c>
      <c r="K1219" s="13">
        <v>3148.4715566052732</v>
      </c>
      <c r="L1219" s="13">
        <v>393.47412356148823</v>
      </c>
      <c r="M1219" s="13">
        <v>377.15945076591373</v>
      </c>
      <c r="N1219" s="13">
        <v>1662.0864711319118</v>
      </c>
      <c r="O1219" s="13">
        <v>342.38092204560104</v>
      </c>
      <c r="P1219" s="13">
        <v>17.788585993057932</v>
      </c>
      <c r="Q1219" s="13">
        <v>329.35054934949397</v>
      </c>
      <c r="R1219" s="13"/>
      <c r="S1219" s="13">
        <v>237.00172727190667</v>
      </c>
      <c r="T1219" s="13">
        <v>1303.288506492501</v>
      </c>
      <c r="U1219" s="13"/>
      <c r="V1219" s="13"/>
      <c r="W1219" s="13"/>
      <c r="X1219" s="13">
        <v>84.046554408036528</v>
      </c>
      <c r="Y1219" s="13">
        <v>11.342969686090196</v>
      </c>
      <c r="Z1219" s="13">
        <v>1308.4610979318356</v>
      </c>
      <c r="AA1219" s="13"/>
      <c r="AB1219" s="13"/>
      <c r="AC1219" s="14">
        <v>2313.3846084162233</v>
      </c>
      <c r="AD1219" s="14">
        <v>315.96067483229012</v>
      </c>
      <c r="AE1219" s="14">
        <v>1655.0278861783615</v>
      </c>
      <c r="AF1219" s="14"/>
      <c r="AG1219" s="15">
        <v>0.15923781878152202</v>
      </c>
      <c r="AH1219" s="15">
        <v>0.16147543157593167</v>
      </c>
      <c r="AI1219" s="15"/>
      <c r="AJ1219" s="41">
        <f t="shared" si="36"/>
        <v>6598.2072760186811</v>
      </c>
      <c r="AK1219" s="44">
        <f t="shared" si="37"/>
        <v>0.28939060606078004</v>
      </c>
      <c r="AL1219" s="10"/>
      <c r="AM1219" s="10"/>
    </row>
    <row r="1220" spans="1:39" s="16" customFormat="1" ht="19" customHeight="1">
      <c r="A1220" s="9" t="s">
        <v>1258</v>
      </c>
      <c r="B1220" s="10" t="s">
        <v>1254</v>
      </c>
      <c r="C1220" s="10"/>
      <c r="D1220" s="10"/>
      <c r="E1220" s="11" t="s">
        <v>1341</v>
      </c>
      <c r="F1220" s="11" t="s">
        <v>249</v>
      </c>
      <c r="G1220" s="12" t="s">
        <v>1006</v>
      </c>
      <c r="H1220" s="13">
        <v>19.758938615862572</v>
      </c>
      <c r="I1220" s="13">
        <v>10.78846680583279</v>
      </c>
      <c r="J1220" s="13">
        <v>1113.4381705152289</v>
      </c>
      <c r="K1220" s="13">
        <v>2572.2217913695317</v>
      </c>
      <c r="L1220" s="13">
        <v>333.86307921345599</v>
      </c>
      <c r="M1220" s="13">
        <v>406.91298346590281</v>
      </c>
      <c r="N1220" s="13">
        <v>1399.9029419813176</v>
      </c>
      <c r="O1220" s="13">
        <v>299.53172410386128</v>
      </c>
      <c r="P1220" s="13">
        <v>17.72897497952366</v>
      </c>
      <c r="Q1220" s="13">
        <v>306.95274643217266</v>
      </c>
      <c r="R1220" s="13"/>
      <c r="S1220" s="13">
        <v>238.51939938091485</v>
      </c>
      <c r="T1220" s="13">
        <v>1273.5849837135718</v>
      </c>
      <c r="U1220" s="13"/>
      <c r="V1220" s="13"/>
      <c r="W1220" s="13"/>
      <c r="X1220" s="13">
        <v>83.338424306520224</v>
      </c>
      <c r="Y1220" s="13">
        <v>10.889946246883822</v>
      </c>
      <c r="Z1220" s="13">
        <v>1057.5488573987293</v>
      </c>
      <c r="AA1220" s="13"/>
      <c r="AB1220" s="13"/>
      <c r="AC1220" s="14">
        <v>2023.8630007017655</v>
      </c>
      <c r="AD1220" s="14">
        <v>314.90186464518047</v>
      </c>
      <c r="AE1220" s="14">
        <v>1542.4761127244856</v>
      </c>
      <c r="AF1220" s="14"/>
      <c r="AG1220" s="15">
        <v>0.17659670302224745</v>
      </c>
      <c r="AH1220" s="15">
        <v>0.17822780284317238</v>
      </c>
      <c r="AI1220" s="15"/>
      <c r="AJ1220" s="41">
        <f t="shared" si="36"/>
        <v>5419.4259830795336</v>
      </c>
      <c r="AK1220" s="44">
        <f t="shared" si="37"/>
        <v>0.3195020266958622</v>
      </c>
      <c r="AL1220" s="10"/>
      <c r="AM1220" s="10"/>
    </row>
    <row r="1221" spans="1:39" s="16" customFormat="1" ht="19" customHeight="1">
      <c r="A1221" s="9" t="s">
        <v>1259</v>
      </c>
      <c r="B1221" s="10" t="s">
        <v>1254</v>
      </c>
      <c r="C1221" s="10"/>
      <c r="D1221" s="10"/>
      <c r="E1221" s="11" t="s">
        <v>1341</v>
      </c>
      <c r="F1221" s="11" t="s">
        <v>249</v>
      </c>
      <c r="G1221" s="12" t="s">
        <v>1006</v>
      </c>
      <c r="H1221" s="13">
        <v>16.251437784929262</v>
      </c>
      <c r="I1221" s="13">
        <v>9.6734040787358335</v>
      </c>
      <c r="J1221" s="13">
        <v>1166.7158336998466</v>
      </c>
      <c r="K1221" s="13">
        <v>2751.4957486352109</v>
      </c>
      <c r="L1221" s="13">
        <v>339.07877286750869</v>
      </c>
      <c r="M1221" s="13">
        <v>378.20464202695479</v>
      </c>
      <c r="N1221" s="13">
        <v>1417.3011439105703</v>
      </c>
      <c r="O1221" s="13">
        <v>294.56258040184008</v>
      </c>
      <c r="P1221" s="13">
        <v>15.576565939200263</v>
      </c>
      <c r="Q1221" s="13">
        <v>276.35589096147186</v>
      </c>
      <c r="R1221" s="13"/>
      <c r="S1221" s="13">
        <v>211.51478425916886</v>
      </c>
      <c r="T1221" s="13">
        <v>1143.8942915519556</v>
      </c>
      <c r="U1221" s="13"/>
      <c r="V1221" s="13"/>
      <c r="W1221" s="13"/>
      <c r="X1221" s="13">
        <v>68.094696372456966</v>
      </c>
      <c r="Y1221" s="13">
        <v>9.6423674236721855</v>
      </c>
      <c r="Z1221" s="13">
        <v>970.95347822935298</v>
      </c>
      <c r="AA1221" s="13"/>
      <c r="AB1221" s="13"/>
      <c r="AC1221" s="14">
        <v>1990.2877054178384</v>
      </c>
      <c r="AD1221" s="14">
        <v>276.67079820959617</v>
      </c>
      <c r="AE1221" s="14">
        <v>1388.72307015815</v>
      </c>
      <c r="AF1221" s="14"/>
      <c r="AG1221" s="15">
        <v>0.163758458664539</v>
      </c>
      <c r="AH1221" s="15">
        <v>0.16641695366162598</v>
      </c>
      <c r="AI1221" s="15"/>
      <c r="AJ1221" s="41">
        <f t="shared" si="36"/>
        <v>5674.5914991131367</v>
      </c>
      <c r="AK1221" s="44">
        <f t="shared" si="37"/>
        <v>0.33062901425430952</v>
      </c>
      <c r="AL1221" s="10"/>
      <c r="AM1221" s="10"/>
    </row>
    <row r="1222" spans="1:39" s="16" customFormat="1" ht="19" customHeight="1">
      <c r="A1222" s="9" t="s">
        <v>1260</v>
      </c>
      <c r="B1222" s="10" t="s">
        <v>1254</v>
      </c>
      <c r="C1222" s="10"/>
      <c r="D1222" s="10"/>
      <c r="E1222" s="11" t="s">
        <v>1341</v>
      </c>
      <c r="F1222" s="11" t="s">
        <v>249</v>
      </c>
      <c r="G1222" s="12" t="s">
        <v>1006</v>
      </c>
      <c r="H1222" s="13">
        <v>25.066656756642843</v>
      </c>
      <c r="I1222" s="13">
        <v>16.152936007811306</v>
      </c>
      <c r="J1222" s="13">
        <v>1230.6163650607289</v>
      </c>
      <c r="K1222" s="13">
        <v>2973.4081268918353</v>
      </c>
      <c r="L1222" s="13">
        <v>352.33499664497435</v>
      </c>
      <c r="M1222" s="13">
        <v>381.37516526321053</v>
      </c>
      <c r="N1222" s="13">
        <v>1508.736273569466</v>
      </c>
      <c r="O1222" s="13">
        <v>310.94920332628544</v>
      </c>
      <c r="P1222" s="13">
        <v>17.078169419138053</v>
      </c>
      <c r="Q1222" s="13">
        <v>304.59906398386551</v>
      </c>
      <c r="R1222" s="13"/>
      <c r="S1222" s="13">
        <v>225.91078809215082</v>
      </c>
      <c r="T1222" s="13">
        <v>1187.0775828331641</v>
      </c>
      <c r="U1222" s="13"/>
      <c r="V1222" s="13"/>
      <c r="W1222" s="13"/>
      <c r="X1222" s="13">
        <v>74.996741544430279</v>
      </c>
      <c r="Y1222" s="13">
        <v>10.133822868460314</v>
      </c>
      <c r="Z1222" s="13">
        <v>945.59755265105184</v>
      </c>
      <c r="AA1222" s="13"/>
      <c r="AB1222" s="13"/>
      <c r="AC1222" s="14">
        <v>2101.0081305830099</v>
      </c>
      <c r="AD1222" s="14">
        <v>303.34226321737219</v>
      </c>
      <c r="AE1222" s="14">
        <v>1530.6485627329923</v>
      </c>
      <c r="AF1222" s="14"/>
      <c r="AG1222" s="15">
        <v>0.16705448165057457</v>
      </c>
      <c r="AH1222" s="15">
        <v>0.16915362612488999</v>
      </c>
      <c r="AI1222" s="15"/>
      <c r="AJ1222" s="41">
        <f t="shared" ref="AJ1222:AJ1285" si="38">J1222+K1222+L1222+N1222</f>
        <v>6065.0957621670041</v>
      </c>
      <c r="AK1222" s="44">
        <f t="shared" ref="AK1222:AK1285" si="39">M1222/T1222</f>
        <v>0.32127231680425922</v>
      </c>
      <c r="AL1222" s="10"/>
      <c r="AM1222" s="10"/>
    </row>
    <row r="1223" spans="1:39" s="16" customFormat="1" ht="19" customHeight="1">
      <c r="A1223" s="9" t="s">
        <v>1261</v>
      </c>
      <c r="B1223" s="10" t="s">
        <v>1254</v>
      </c>
      <c r="C1223" s="10"/>
      <c r="D1223" s="10"/>
      <c r="E1223" s="11" t="s">
        <v>1341</v>
      </c>
      <c r="F1223" s="11" t="s">
        <v>249</v>
      </c>
      <c r="G1223" s="12" t="s">
        <v>1006</v>
      </c>
      <c r="H1223" s="13">
        <v>28.422658511826022</v>
      </c>
      <c r="I1223" s="13">
        <v>13.611548407224284</v>
      </c>
      <c r="J1223" s="13">
        <v>1459.1398067921452</v>
      </c>
      <c r="K1223" s="13">
        <v>3388.8590903573372</v>
      </c>
      <c r="L1223" s="13">
        <v>409.46311800520448</v>
      </c>
      <c r="M1223" s="13">
        <v>382.69533980895216</v>
      </c>
      <c r="N1223" s="13">
        <v>1697.3758259038873</v>
      </c>
      <c r="O1223" s="13">
        <v>348.87413036197319</v>
      </c>
      <c r="P1223" s="13">
        <v>16.48146135268092</v>
      </c>
      <c r="Q1223" s="13">
        <v>338.84314852992827</v>
      </c>
      <c r="R1223" s="13"/>
      <c r="S1223" s="13">
        <v>250.84520336783461</v>
      </c>
      <c r="T1223" s="13">
        <v>1289.9369103932227</v>
      </c>
      <c r="U1223" s="13"/>
      <c r="V1223" s="13"/>
      <c r="W1223" s="13"/>
      <c r="X1223" s="13">
        <v>83.540667994289279</v>
      </c>
      <c r="Y1223" s="13">
        <v>10.701422758698401</v>
      </c>
      <c r="Z1223" s="13">
        <v>1322.969154194999</v>
      </c>
      <c r="AA1223" s="13"/>
      <c r="AB1223" s="13"/>
      <c r="AC1223" s="14">
        <v>2357.2576375808999</v>
      </c>
      <c r="AD1223" s="14">
        <v>292.74354090019398</v>
      </c>
      <c r="AE1223" s="14">
        <v>1702.7293895976295</v>
      </c>
      <c r="AF1223" s="14"/>
      <c r="AG1223" s="15">
        <v>0.14420910162544773</v>
      </c>
      <c r="AH1223" s="15">
        <v>0.14612044283690612</v>
      </c>
      <c r="AI1223" s="15"/>
      <c r="AJ1223" s="41">
        <f t="shared" si="38"/>
        <v>6954.8378410585738</v>
      </c>
      <c r="AK1223" s="44">
        <f t="shared" si="39"/>
        <v>0.29667756362773728</v>
      </c>
      <c r="AL1223" s="10"/>
      <c r="AM1223" s="10"/>
    </row>
    <row r="1224" spans="1:39" s="16" customFormat="1" ht="19" customHeight="1">
      <c r="A1224" s="9" t="s">
        <v>1262</v>
      </c>
      <c r="B1224" s="10" t="s">
        <v>1254</v>
      </c>
      <c r="C1224" s="10"/>
      <c r="D1224" s="10"/>
      <c r="E1224" s="11" t="s">
        <v>1341</v>
      </c>
      <c r="F1224" s="11" t="s">
        <v>249</v>
      </c>
      <c r="G1224" s="12" t="s">
        <v>1006</v>
      </c>
      <c r="H1224" s="13">
        <v>27.783980641866112</v>
      </c>
      <c r="I1224" s="13">
        <v>13.99887495505031</v>
      </c>
      <c r="J1224" s="13">
        <v>1215.8101160731203</v>
      </c>
      <c r="K1224" s="13">
        <v>2965.6615003472089</v>
      </c>
      <c r="L1224" s="13">
        <v>338.12479379888538</v>
      </c>
      <c r="M1224" s="13">
        <v>364.7292287782339</v>
      </c>
      <c r="N1224" s="13">
        <v>1335.7877208066379</v>
      </c>
      <c r="O1224" s="13">
        <v>257.19074347093908</v>
      </c>
      <c r="P1224" s="13">
        <v>17.315878669095298</v>
      </c>
      <c r="Q1224" s="13">
        <v>242.23041746393139</v>
      </c>
      <c r="R1224" s="13"/>
      <c r="S1224" s="13">
        <v>177.91231853098222</v>
      </c>
      <c r="T1224" s="13">
        <v>878.72653776703612</v>
      </c>
      <c r="U1224" s="13"/>
      <c r="V1224" s="13"/>
      <c r="W1224" s="13"/>
      <c r="X1224" s="13">
        <v>60.789036546651239</v>
      </c>
      <c r="Y1224" s="13">
        <v>8.3778234180648887</v>
      </c>
      <c r="Z1224" s="13">
        <v>1115.472179401479</v>
      </c>
      <c r="AA1224" s="13"/>
      <c r="AB1224" s="13"/>
      <c r="AC1224" s="14">
        <v>1737.7752937225614</v>
      </c>
      <c r="AD1224" s="14">
        <v>307.5644523817993</v>
      </c>
      <c r="AE1224" s="14">
        <v>1217.2382787132231</v>
      </c>
      <c r="AF1224" s="14"/>
      <c r="AG1224" s="15">
        <v>0.20816449389657279</v>
      </c>
      <c r="AH1224" s="15">
        <v>0.21147134591449865</v>
      </c>
      <c r="AI1224" s="15"/>
      <c r="AJ1224" s="41">
        <f t="shared" si="38"/>
        <v>5855.3841310258522</v>
      </c>
      <c r="AK1224" s="44">
        <f t="shared" si="39"/>
        <v>0.41506568096265828</v>
      </c>
      <c r="AL1224" s="10"/>
      <c r="AM1224" s="10"/>
    </row>
    <row r="1225" spans="1:39" s="16" customFormat="1" ht="19" customHeight="1">
      <c r="A1225" s="9" t="s">
        <v>1263</v>
      </c>
      <c r="B1225" s="10" t="s">
        <v>1254</v>
      </c>
      <c r="C1225" s="10"/>
      <c r="D1225" s="10"/>
      <c r="E1225" s="11" t="s">
        <v>1341</v>
      </c>
      <c r="F1225" s="11" t="s">
        <v>249</v>
      </c>
      <c r="G1225" s="12" t="s">
        <v>1006</v>
      </c>
      <c r="H1225" s="13">
        <v>20.338517638496427</v>
      </c>
      <c r="I1225" s="13">
        <v>10.15346319966279</v>
      </c>
      <c r="J1225" s="13">
        <v>1307.4406244580507</v>
      </c>
      <c r="K1225" s="13">
        <v>3102.5406025507209</v>
      </c>
      <c r="L1225" s="13">
        <v>385.83907546747196</v>
      </c>
      <c r="M1225" s="13">
        <v>365.16170577889613</v>
      </c>
      <c r="N1225" s="13">
        <v>1521.4210470647542</v>
      </c>
      <c r="O1225" s="13">
        <v>315.12721607048485</v>
      </c>
      <c r="P1225" s="13">
        <v>14.876937928966987</v>
      </c>
      <c r="Q1225" s="13">
        <v>299.75704922161418</v>
      </c>
      <c r="R1225" s="13"/>
      <c r="S1225" s="13">
        <v>224.32008853646613</v>
      </c>
      <c r="T1225" s="13">
        <v>1161.8648530503067</v>
      </c>
      <c r="U1225" s="13"/>
      <c r="V1225" s="13"/>
      <c r="W1225" s="13"/>
      <c r="X1225" s="13">
        <v>75.480456226652862</v>
      </c>
      <c r="Y1225" s="13">
        <v>10.046099716747644</v>
      </c>
      <c r="Z1225" s="13">
        <v>1096.7064430983619</v>
      </c>
      <c r="AA1225" s="13"/>
      <c r="AB1225" s="13"/>
      <c r="AC1225" s="14">
        <v>2129.2379464221949</v>
      </c>
      <c r="AD1225" s="14">
        <v>264.24401294790385</v>
      </c>
      <c r="AE1225" s="14">
        <v>1506.3168302593676</v>
      </c>
      <c r="AF1225" s="14"/>
      <c r="AG1225" s="15">
        <v>0.14536654193344253</v>
      </c>
      <c r="AH1225" s="15">
        <v>0.14754853208268304</v>
      </c>
      <c r="AI1225" s="15"/>
      <c r="AJ1225" s="41">
        <f t="shared" si="38"/>
        <v>6317.2413495409974</v>
      </c>
      <c r="AK1225" s="44">
        <f t="shared" si="39"/>
        <v>0.31428931241031804</v>
      </c>
      <c r="AL1225" s="10"/>
      <c r="AM1225" s="10"/>
    </row>
    <row r="1226" spans="1:39" s="16" customFormat="1" ht="19" customHeight="1">
      <c r="A1226" s="9" t="s">
        <v>1264</v>
      </c>
      <c r="B1226" s="10" t="s">
        <v>1254</v>
      </c>
      <c r="C1226" s="10"/>
      <c r="D1226" s="10"/>
      <c r="E1226" s="11" t="s">
        <v>1341</v>
      </c>
      <c r="F1226" s="11" t="s">
        <v>249</v>
      </c>
      <c r="G1226" s="12" t="s">
        <v>1006</v>
      </c>
      <c r="H1226" s="13">
        <v>25.477172607767983</v>
      </c>
      <c r="I1226" s="13">
        <v>12.961194214520095</v>
      </c>
      <c r="J1226" s="13">
        <v>1409.4462686597103</v>
      </c>
      <c r="K1226" s="13">
        <v>3240.0827434058401</v>
      </c>
      <c r="L1226" s="13">
        <v>402.62099994571224</v>
      </c>
      <c r="M1226" s="13">
        <v>372.95111569560999</v>
      </c>
      <c r="N1226" s="13">
        <v>1673.2868645058797</v>
      </c>
      <c r="O1226" s="13">
        <v>342.83401724913335</v>
      </c>
      <c r="P1226" s="13">
        <v>15.858825112756287</v>
      </c>
      <c r="Q1226" s="13">
        <v>333.63439976768063</v>
      </c>
      <c r="R1226" s="13"/>
      <c r="S1226" s="13">
        <v>251.92542524954894</v>
      </c>
      <c r="T1226" s="13">
        <v>1296.267503468823</v>
      </c>
      <c r="U1226" s="13"/>
      <c r="V1226" s="13"/>
      <c r="W1226" s="13"/>
      <c r="X1226" s="13">
        <v>86.406205164855578</v>
      </c>
      <c r="Y1226" s="13">
        <v>11.545749342611202</v>
      </c>
      <c r="Z1226" s="13">
        <v>1062.2078465830186</v>
      </c>
      <c r="AA1226" s="13"/>
      <c r="AB1226" s="13"/>
      <c r="AC1226" s="14">
        <v>2316.4460624941444</v>
      </c>
      <c r="AD1226" s="14">
        <v>281.68428264220762</v>
      </c>
      <c r="AE1226" s="14">
        <v>1676.5547727019127</v>
      </c>
      <c r="AF1226" s="14"/>
      <c r="AG1226" s="15">
        <v>0.1410890176427308</v>
      </c>
      <c r="AH1226" s="15">
        <v>0.1429363361322514</v>
      </c>
      <c r="AI1226" s="15"/>
      <c r="AJ1226" s="41">
        <f t="shared" si="38"/>
        <v>6725.4368765171421</v>
      </c>
      <c r="AK1226" s="44">
        <f t="shared" si="39"/>
        <v>0.28771153693013951</v>
      </c>
      <c r="AL1226" s="10"/>
      <c r="AM1226" s="10"/>
    </row>
    <row r="1227" spans="1:39" s="16" customFormat="1" ht="19" customHeight="1">
      <c r="A1227" s="9" t="s">
        <v>1265</v>
      </c>
      <c r="B1227" s="10" t="s">
        <v>1254</v>
      </c>
      <c r="C1227" s="10"/>
      <c r="D1227" s="10"/>
      <c r="E1227" s="11" t="s">
        <v>1341</v>
      </c>
      <c r="F1227" s="11" t="s">
        <v>249</v>
      </c>
      <c r="G1227" s="12" t="s">
        <v>1006</v>
      </c>
      <c r="H1227" s="13">
        <v>31.396765831423938</v>
      </c>
      <c r="I1227" s="13">
        <v>14.472426606102893</v>
      </c>
      <c r="J1227" s="13">
        <v>1269.3730382393321</v>
      </c>
      <c r="K1227" s="13">
        <v>2948.7386596755327</v>
      </c>
      <c r="L1227" s="13">
        <v>364.3369678021636</v>
      </c>
      <c r="M1227" s="13">
        <v>383.36643092271129</v>
      </c>
      <c r="N1227" s="13">
        <v>1536.6393911287753</v>
      </c>
      <c r="O1227" s="13">
        <v>310.00590882996983</v>
      </c>
      <c r="P1227" s="13">
        <v>17.570142224797451</v>
      </c>
      <c r="Q1227" s="13">
        <v>298.93101901052091</v>
      </c>
      <c r="R1227" s="13"/>
      <c r="S1227" s="13">
        <v>215.65684243054827</v>
      </c>
      <c r="T1227" s="13">
        <v>1069.8194187021163</v>
      </c>
      <c r="U1227" s="13"/>
      <c r="V1227" s="13"/>
      <c r="W1227" s="13"/>
      <c r="X1227" s="13">
        <v>69.648555734286631</v>
      </c>
      <c r="Y1227" s="13">
        <v>9.0253477457383369</v>
      </c>
      <c r="Z1227" s="13">
        <v>1508.8609131242399</v>
      </c>
      <c r="AA1227" s="13"/>
      <c r="AB1227" s="13"/>
      <c r="AC1227" s="14">
        <v>2094.6345191214177</v>
      </c>
      <c r="AD1227" s="14">
        <v>312.08067894844498</v>
      </c>
      <c r="AE1227" s="14">
        <v>1502.1659246759843</v>
      </c>
      <c r="AF1227" s="14"/>
      <c r="AG1227" s="15">
        <v>0.17353238458731887</v>
      </c>
      <c r="AH1227" s="15">
        <v>0.17593563016093153</v>
      </c>
      <c r="AI1227" s="15"/>
      <c r="AJ1227" s="41">
        <f t="shared" si="38"/>
        <v>6119.0880568458033</v>
      </c>
      <c r="AK1227" s="44">
        <f t="shared" si="39"/>
        <v>0.35834686136825206</v>
      </c>
      <c r="AL1227" s="10"/>
      <c r="AM1227" s="10"/>
    </row>
    <row r="1228" spans="1:39" s="16" customFormat="1" ht="19" customHeight="1">
      <c r="A1228" s="9" t="s">
        <v>1266</v>
      </c>
      <c r="B1228" s="10" t="s">
        <v>1254</v>
      </c>
      <c r="C1228" s="10"/>
      <c r="D1228" s="10"/>
      <c r="E1228" s="11" t="s">
        <v>1341</v>
      </c>
      <c r="F1228" s="11" t="s">
        <v>249</v>
      </c>
      <c r="G1228" s="12" t="s">
        <v>1006</v>
      </c>
      <c r="H1228" s="13">
        <v>16.286535718150368</v>
      </c>
      <c r="I1228" s="13">
        <v>9.8795890025773137</v>
      </c>
      <c r="J1228" s="13">
        <v>1363.8985037274908</v>
      </c>
      <c r="K1228" s="13">
        <v>3249.1043938862363</v>
      </c>
      <c r="L1228" s="13">
        <v>397.09682335627718</v>
      </c>
      <c r="M1228" s="13">
        <v>363.12405830242659</v>
      </c>
      <c r="N1228" s="13">
        <v>1635.4899848189502</v>
      </c>
      <c r="O1228" s="13">
        <v>335.05535171284544</v>
      </c>
      <c r="P1228" s="13">
        <v>15.163083286398422</v>
      </c>
      <c r="Q1228" s="13">
        <v>328.89771655337489</v>
      </c>
      <c r="R1228" s="13"/>
      <c r="S1228" s="13">
        <v>249.2341950586065</v>
      </c>
      <c r="T1228" s="13">
        <v>1296.4086044030339</v>
      </c>
      <c r="U1228" s="13"/>
      <c r="V1228" s="13"/>
      <c r="W1228" s="13"/>
      <c r="X1228" s="13">
        <v>81.29214441952665</v>
      </c>
      <c r="Y1228" s="13">
        <v>10.582562659635128</v>
      </c>
      <c r="Z1228" s="13">
        <v>1031.3191566867672</v>
      </c>
      <c r="AA1228" s="13"/>
      <c r="AB1228" s="13"/>
      <c r="AC1228" s="14">
        <v>2263.8875115732799</v>
      </c>
      <c r="AD1228" s="14">
        <v>269.32652373709453</v>
      </c>
      <c r="AE1228" s="14">
        <v>1652.7523444893209</v>
      </c>
      <c r="AF1228" s="14"/>
      <c r="AG1228" s="15">
        <v>0.1375293790774261</v>
      </c>
      <c r="AH1228" s="15">
        <v>0.13923480558835033</v>
      </c>
      <c r="AI1228" s="15"/>
      <c r="AJ1228" s="41">
        <f t="shared" si="38"/>
        <v>6645.5897057889542</v>
      </c>
      <c r="AK1228" s="44">
        <f t="shared" si="39"/>
        <v>0.28010000633221405</v>
      </c>
      <c r="AL1228" s="10"/>
      <c r="AM1228" s="10"/>
    </row>
    <row r="1229" spans="1:39" s="16" customFormat="1" ht="19" customHeight="1">
      <c r="A1229" s="9" t="s">
        <v>1267</v>
      </c>
      <c r="B1229" s="10" t="s">
        <v>1254</v>
      </c>
      <c r="C1229" s="10"/>
      <c r="D1229" s="10"/>
      <c r="E1229" s="11" t="s">
        <v>1341</v>
      </c>
      <c r="F1229" s="11" t="s">
        <v>249</v>
      </c>
      <c r="G1229" s="12" t="s">
        <v>1006</v>
      </c>
      <c r="H1229" s="13">
        <v>33.217736078224299</v>
      </c>
      <c r="I1229" s="13">
        <v>19.448899529436687</v>
      </c>
      <c r="J1229" s="13">
        <v>1221.0602327722056</v>
      </c>
      <c r="K1229" s="13">
        <v>2791.0126971625828</v>
      </c>
      <c r="L1229" s="13">
        <v>331.52117870557987</v>
      </c>
      <c r="M1229" s="13">
        <v>382.49854289203188</v>
      </c>
      <c r="N1229" s="13">
        <v>1363.2481689972535</v>
      </c>
      <c r="O1229" s="13">
        <v>267.90435937824657</v>
      </c>
      <c r="P1229" s="13">
        <v>16.469814955544528</v>
      </c>
      <c r="Q1229" s="13">
        <v>257.7217611728878</v>
      </c>
      <c r="R1229" s="13"/>
      <c r="S1229" s="13">
        <v>178.04379475120885</v>
      </c>
      <c r="T1229" s="13">
        <v>917.18508112677341</v>
      </c>
      <c r="U1229" s="13"/>
      <c r="V1229" s="13"/>
      <c r="W1229" s="13"/>
      <c r="X1229" s="13">
        <v>60.867298527081473</v>
      </c>
      <c r="Y1229" s="13">
        <v>8.3508010474154926</v>
      </c>
      <c r="Z1229" s="13">
        <v>1345.9383153471695</v>
      </c>
      <c r="AA1229" s="13"/>
      <c r="AB1229" s="13"/>
      <c r="AC1229" s="14">
        <v>1810.164590393558</v>
      </c>
      <c r="AD1229" s="14">
        <v>292.5366777183753</v>
      </c>
      <c r="AE1229" s="14">
        <v>1295.0842269994362</v>
      </c>
      <c r="AF1229" s="14"/>
      <c r="AG1229" s="15">
        <v>0.18841432356713619</v>
      </c>
      <c r="AH1229" s="15">
        <v>0.19106110504672424</v>
      </c>
      <c r="AI1229" s="15"/>
      <c r="AJ1229" s="41">
        <f t="shared" si="38"/>
        <v>5706.8422776376219</v>
      </c>
      <c r="AK1229" s="44">
        <f t="shared" si="39"/>
        <v>0.41703528629371905</v>
      </c>
      <c r="AL1229" s="10"/>
      <c r="AM1229" s="10"/>
    </row>
    <row r="1230" spans="1:39" s="16" customFormat="1" ht="19" customHeight="1">
      <c r="A1230" s="9" t="s">
        <v>1268</v>
      </c>
      <c r="B1230" s="10" t="s">
        <v>1254</v>
      </c>
      <c r="C1230" s="10"/>
      <c r="D1230" s="10"/>
      <c r="E1230" s="11" t="s">
        <v>1341</v>
      </c>
      <c r="F1230" s="11" t="s">
        <v>249</v>
      </c>
      <c r="G1230" s="12" t="s">
        <v>1006</v>
      </c>
      <c r="H1230" s="13">
        <v>22.192987158749574</v>
      </c>
      <c r="I1230" s="13">
        <v>10.842603262983515</v>
      </c>
      <c r="J1230" s="13">
        <v>1326.2246262785918</v>
      </c>
      <c r="K1230" s="13">
        <v>3167.3965913472916</v>
      </c>
      <c r="L1230" s="13">
        <v>365.96311349776835</v>
      </c>
      <c r="M1230" s="13">
        <v>371.92950758127751</v>
      </c>
      <c r="N1230" s="13">
        <v>1516.8544598965225</v>
      </c>
      <c r="O1230" s="13">
        <v>311.73136307366633</v>
      </c>
      <c r="P1230" s="13">
        <v>18.254911973107106</v>
      </c>
      <c r="Q1230" s="13">
        <v>313.90844031165886</v>
      </c>
      <c r="R1230" s="13"/>
      <c r="S1230" s="13">
        <v>228.91272207277612</v>
      </c>
      <c r="T1230" s="13">
        <v>1222.3078601797124</v>
      </c>
      <c r="U1230" s="13"/>
      <c r="V1230" s="13"/>
      <c r="W1230" s="13"/>
      <c r="X1230" s="13">
        <v>77.045450605477001</v>
      </c>
      <c r="Y1230" s="13">
        <v>10.163229361007247</v>
      </c>
      <c r="Z1230" s="13">
        <v>1126.5188074298464</v>
      </c>
      <c r="AA1230" s="13"/>
      <c r="AB1230" s="13"/>
      <c r="AC1230" s="14">
        <v>2106.292993740989</v>
      </c>
      <c r="AD1230" s="14">
        <v>324.24355192019726</v>
      </c>
      <c r="AE1230" s="14">
        <v>1577.4293482997932</v>
      </c>
      <c r="AF1230" s="14"/>
      <c r="AG1230" s="15">
        <v>0.17604125491204439</v>
      </c>
      <c r="AH1230" s="15">
        <v>0.17788404572844629</v>
      </c>
      <c r="AI1230" s="15"/>
      <c r="AJ1230" s="41">
        <f t="shared" si="38"/>
        <v>6376.438791020174</v>
      </c>
      <c r="AK1230" s="44">
        <f t="shared" si="39"/>
        <v>0.30428464030869751</v>
      </c>
      <c r="AL1230" s="10"/>
      <c r="AM1230" s="10"/>
    </row>
    <row r="1231" spans="1:39" s="16" customFormat="1" ht="19" customHeight="1">
      <c r="A1231" s="9" t="s">
        <v>1269</v>
      </c>
      <c r="B1231" s="10" t="s">
        <v>1254</v>
      </c>
      <c r="C1231" s="10"/>
      <c r="D1231" s="10"/>
      <c r="E1231" s="11" t="s">
        <v>1341</v>
      </c>
      <c r="F1231" s="11" t="s">
        <v>249</v>
      </c>
      <c r="G1231" s="12" t="s">
        <v>1006</v>
      </c>
      <c r="H1231" s="13">
        <v>28.312372682476248</v>
      </c>
      <c r="I1231" s="13">
        <v>12.672190419784473</v>
      </c>
      <c r="J1231" s="13">
        <v>1357.8924758833407</v>
      </c>
      <c r="K1231" s="13">
        <v>3074.6695759879144</v>
      </c>
      <c r="L1231" s="13">
        <v>380.51034341315375</v>
      </c>
      <c r="M1231" s="13">
        <v>379.5135302061766</v>
      </c>
      <c r="N1231" s="13">
        <v>1597.4065727883312</v>
      </c>
      <c r="O1231" s="13">
        <v>330.54386061792752</v>
      </c>
      <c r="P1231" s="13">
        <v>18.990625977000434</v>
      </c>
      <c r="Q1231" s="13">
        <v>321.33766922480822</v>
      </c>
      <c r="R1231" s="13"/>
      <c r="S1231" s="13">
        <v>238.47692481885775</v>
      </c>
      <c r="T1231" s="13">
        <v>1232.1962159355944</v>
      </c>
      <c r="U1231" s="13"/>
      <c r="V1231" s="13"/>
      <c r="W1231" s="13"/>
      <c r="X1231" s="13">
        <v>84.864621714174334</v>
      </c>
      <c r="Y1231" s="13">
        <v>9.9560697533796176</v>
      </c>
      <c r="Z1231" s="13">
        <v>1280.3354415292417</v>
      </c>
      <c r="AA1231" s="13"/>
      <c r="AB1231" s="13"/>
      <c r="AC1231" s="14">
        <v>2233.4044636346457</v>
      </c>
      <c r="AD1231" s="14">
        <v>337.31129621670402</v>
      </c>
      <c r="AE1231" s="14">
        <v>1614.7621569085838</v>
      </c>
      <c r="AF1231" s="14"/>
      <c r="AG1231" s="15">
        <v>0.17531013050005992</v>
      </c>
      <c r="AH1231" s="15">
        <v>0.17762042881187332</v>
      </c>
      <c r="AI1231" s="15"/>
      <c r="AJ1231" s="41">
        <f t="shared" si="38"/>
        <v>6410.478968072739</v>
      </c>
      <c r="AK1231" s="44">
        <f t="shared" si="39"/>
        <v>0.30799764298741633</v>
      </c>
      <c r="AL1231" s="10"/>
      <c r="AM1231" s="10"/>
    </row>
    <row r="1232" spans="1:39" s="16" customFormat="1" ht="19" customHeight="1">
      <c r="A1232" s="9" t="s">
        <v>1270</v>
      </c>
      <c r="B1232" s="10" t="s">
        <v>1254</v>
      </c>
      <c r="C1232" s="10"/>
      <c r="D1232" s="10"/>
      <c r="E1232" s="11" t="s">
        <v>1341</v>
      </c>
      <c r="F1232" s="11" t="s">
        <v>249</v>
      </c>
      <c r="G1232" s="12" t="s">
        <v>1006</v>
      </c>
      <c r="H1232" s="13">
        <v>22.700695819304524</v>
      </c>
      <c r="I1232" s="13">
        <v>12.157220528453303</v>
      </c>
      <c r="J1232" s="13">
        <v>1288.495874604838</v>
      </c>
      <c r="K1232" s="13">
        <v>2933.9744942372145</v>
      </c>
      <c r="L1232" s="13">
        <v>360.25054554605856</v>
      </c>
      <c r="M1232" s="13">
        <v>394.19094788552138</v>
      </c>
      <c r="N1232" s="13">
        <v>1513.716679112586</v>
      </c>
      <c r="O1232" s="13">
        <v>306.99933428908821</v>
      </c>
      <c r="P1232" s="13">
        <v>17.815327756192236</v>
      </c>
      <c r="Q1232" s="13">
        <v>304.36529952286782</v>
      </c>
      <c r="R1232" s="13"/>
      <c r="S1232" s="13">
        <v>226.29133308416669</v>
      </c>
      <c r="T1232" s="13">
        <v>1213.5195006548113</v>
      </c>
      <c r="U1232" s="13"/>
      <c r="V1232" s="13"/>
      <c r="W1232" s="13"/>
      <c r="X1232" s="13">
        <v>77.142393796348571</v>
      </c>
      <c r="Y1232" s="13">
        <v>10.378094606256973</v>
      </c>
      <c r="Z1232" s="13">
        <v>1177.6851114728745</v>
      </c>
      <c r="AA1232" s="13"/>
      <c r="AB1232" s="13"/>
      <c r="AC1232" s="14">
        <v>2074.3198262776232</v>
      </c>
      <c r="AD1232" s="14">
        <v>316.43566174408949</v>
      </c>
      <c r="AE1232" s="14">
        <v>1529.4738669490844</v>
      </c>
      <c r="AF1232" s="14"/>
      <c r="AG1232" s="15">
        <v>0.17561252872983657</v>
      </c>
      <c r="AH1232" s="15">
        <v>0.17765463070408169</v>
      </c>
      <c r="AI1232" s="15"/>
      <c r="AJ1232" s="41">
        <f t="shared" si="38"/>
        <v>6096.4375935006974</v>
      </c>
      <c r="AK1232" s="44">
        <f t="shared" si="39"/>
        <v>0.32483280876229609</v>
      </c>
      <c r="AL1232" s="10"/>
      <c r="AM1232" s="10"/>
    </row>
    <row r="1233" spans="1:39" s="16" customFormat="1" ht="19" customHeight="1">
      <c r="A1233" s="9" t="s">
        <v>1271</v>
      </c>
      <c r="B1233" s="10" t="s">
        <v>1254</v>
      </c>
      <c r="C1233" s="10"/>
      <c r="D1233" s="10"/>
      <c r="E1233" s="11" t="s">
        <v>1341</v>
      </c>
      <c r="F1233" s="11" t="s">
        <v>249</v>
      </c>
      <c r="G1233" s="12" t="s">
        <v>1006</v>
      </c>
      <c r="H1233" s="13">
        <v>36.308514647790361</v>
      </c>
      <c r="I1233" s="13">
        <v>18.617252890114212</v>
      </c>
      <c r="J1233" s="13">
        <v>1434.9911059372646</v>
      </c>
      <c r="K1233" s="13">
        <v>3359.5732322525637</v>
      </c>
      <c r="L1233" s="13">
        <v>399.44439275054856</v>
      </c>
      <c r="M1233" s="13">
        <v>359.04368142763076</v>
      </c>
      <c r="N1233" s="13">
        <v>1650.3788762234572</v>
      </c>
      <c r="O1233" s="13">
        <v>329.02626832064925</v>
      </c>
      <c r="P1233" s="13">
        <v>15.488653464626996</v>
      </c>
      <c r="Q1233" s="13">
        <v>325.40075713149338</v>
      </c>
      <c r="R1233" s="13"/>
      <c r="S1233" s="13">
        <v>234.47102336537478</v>
      </c>
      <c r="T1233" s="13">
        <v>1242.4057382084495</v>
      </c>
      <c r="U1233" s="13"/>
      <c r="V1233" s="13"/>
      <c r="W1233" s="13"/>
      <c r="X1233" s="13">
        <v>80.474639626279</v>
      </c>
      <c r="Y1233" s="13">
        <v>10.751945120426605</v>
      </c>
      <c r="Z1233" s="13">
        <v>1090.0509536249933</v>
      </c>
      <c r="AA1233" s="13"/>
      <c r="AB1233" s="13"/>
      <c r="AC1233" s="14">
        <v>2223.1504616260086</v>
      </c>
      <c r="AD1233" s="14">
        <v>275.10929777312606</v>
      </c>
      <c r="AE1233" s="14">
        <v>1635.1796840778561</v>
      </c>
      <c r="AF1233" s="14"/>
      <c r="AG1233" s="15">
        <v>0.14260536936138141</v>
      </c>
      <c r="AH1233" s="15">
        <v>0.14429061973591123</v>
      </c>
      <c r="AI1233" s="15"/>
      <c r="AJ1233" s="41">
        <f t="shared" si="38"/>
        <v>6844.3876071638342</v>
      </c>
      <c r="AK1233" s="44">
        <f t="shared" si="39"/>
        <v>0.28899068185677584</v>
      </c>
      <c r="AL1233" s="10"/>
      <c r="AM1233" s="10"/>
    </row>
    <row r="1234" spans="1:39" s="16" customFormat="1" ht="19" customHeight="1">
      <c r="A1234" s="9" t="s">
        <v>1272</v>
      </c>
      <c r="B1234" s="10" t="s">
        <v>1254</v>
      </c>
      <c r="C1234" s="10"/>
      <c r="D1234" s="10"/>
      <c r="E1234" s="11" t="s">
        <v>1341</v>
      </c>
      <c r="F1234" s="11" t="s">
        <v>249</v>
      </c>
      <c r="G1234" s="12" t="s">
        <v>1006</v>
      </c>
      <c r="H1234" s="13">
        <v>18.46093040249567</v>
      </c>
      <c r="I1234" s="13">
        <v>10.18928172873068</v>
      </c>
      <c r="J1234" s="13">
        <v>1401.3846824492828</v>
      </c>
      <c r="K1234" s="13">
        <v>3279.849956842359</v>
      </c>
      <c r="L1234" s="13">
        <v>393.82705564928642</v>
      </c>
      <c r="M1234" s="13">
        <v>362.20468020599588</v>
      </c>
      <c r="N1234" s="13">
        <v>1651.6722018438663</v>
      </c>
      <c r="O1234" s="13">
        <v>334.61200449566792</v>
      </c>
      <c r="P1234" s="13">
        <v>14.747630744042942</v>
      </c>
      <c r="Q1234" s="13">
        <v>321.08312466210873</v>
      </c>
      <c r="R1234" s="13"/>
      <c r="S1234" s="13">
        <v>245.71521046222117</v>
      </c>
      <c r="T1234" s="13">
        <v>1368.3820086084061</v>
      </c>
      <c r="U1234" s="13"/>
      <c r="V1234" s="13"/>
      <c r="W1234" s="13"/>
      <c r="X1234" s="13">
        <v>85.6547951873589</v>
      </c>
      <c r="Y1234" s="13">
        <v>11.424913854646009</v>
      </c>
      <c r="Z1234" s="13">
        <v>1099.9201887150912</v>
      </c>
      <c r="AA1234" s="13"/>
      <c r="AB1234" s="13"/>
      <c r="AC1234" s="14">
        <v>2260.8919222680265</v>
      </c>
      <c r="AD1234" s="14">
        <v>261.94726010733467</v>
      </c>
      <c r="AE1234" s="14">
        <v>1613.4830385030589</v>
      </c>
      <c r="AF1234" s="14"/>
      <c r="AG1234" s="15">
        <v>0.13522039697221327</v>
      </c>
      <c r="AH1234" s="15">
        <v>0.13714871944421292</v>
      </c>
      <c r="AI1234" s="15"/>
      <c r="AJ1234" s="41">
        <f t="shared" si="38"/>
        <v>6726.7338967847936</v>
      </c>
      <c r="AK1234" s="44">
        <f t="shared" si="39"/>
        <v>0.26469558787486885</v>
      </c>
      <c r="AL1234" s="10"/>
      <c r="AM1234" s="10"/>
    </row>
    <row r="1235" spans="1:39" s="16" customFormat="1" ht="19" customHeight="1">
      <c r="A1235" s="9" t="s">
        <v>1273</v>
      </c>
      <c r="B1235" s="10" t="s">
        <v>1254</v>
      </c>
      <c r="C1235" s="10"/>
      <c r="D1235" s="10"/>
      <c r="E1235" s="11" t="s">
        <v>1341</v>
      </c>
      <c r="F1235" s="11" t="s">
        <v>249</v>
      </c>
      <c r="G1235" s="12" t="s">
        <v>1006</v>
      </c>
      <c r="H1235" s="13">
        <v>16.620139013983518</v>
      </c>
      <c r="I1235" s="13">
        <v>9.4195760222182301</v>
      </c>
      <c r="J1235" s="13">
        <v>1337.6970339554985</v>
      </c>
      <c r="K1235" s="13">
        <v>3108.6119010805646</v>
      </c>
      <c r="L1235" s="13">
        <v>378.50217772028549</v>
      </c>
      <c r="M1235" s="13">
        <v>361.36049059102453</v>
      </c>
      <c r="N1235" s="13">
        <v>1585.8042783625208</v>
      </c>
      <c r="O1235" s="13">
        <v>320.45721491985915</v>
      </c>
      <c r="P1235" s="13">
        <v>15.623552719119335</v>
      </c>
      <c r="Q1235" s="13">
        <v>307.87319466268428</v>
      </c>
      <c r="R1235" s="13"/>
      <c r="S1235" s="13">
        <v>234.8629174953854</v>
      </c>
      <c r="T1235" s="13">
        <v>1253.6950946171835</v>
      </c>
      <c r="U1235" s="13"/>
      <c r="V1235" s="13"/>
      <c r="W1235" s="13"/>
      <c r="X1235" s="13">
        <v>77.828853660083396</v>
      </c>
      <c r="Y1235" s="13">
        <v>10.260004844238749</v>
      </c>
      <c r="Z1235" s="13">
        <v>1015.6810207939127</v>
      </c>
      <c r="AA1235" s="13"/>
      <c r="AB1235" s="13"/>
      <c r="AC1235" s="14">
        <v>2165.2514521612106</v>
      </c>
      <c r="AD1235" s="14">
        <v>277.50537689377148</v>
      </c>
      <c r="AE1235" s="14">
        <v>1547.1014807170063</v>
      </c>
      <c r="AF1235" s="14"/>
      <c r="AG1235" s="15">
        <v>0.1495037685862585</v>
      </c>
      <c r="AH1235" s="15">
        <v>0.15162046777865509</v>
      </c>
      <c r="AI1235" s="15"/>
      <c r="AJ1235" s="41">
        <f t="shared" si="38"/>
        <v>6410.6153911188694</v>
      </c>
      <c r="AK1235" s="44">
        <f t="shared" si="39"/>
        <v>0.28823634402220116</v>
      </c>
      <c r="AL1235" s="10"/>
      <c r="AM1235" s="10"/>
    </row>
    <row r="1236" spans="1:39" s="16" customFormat="1" ht="19" customHeight="1">
      <c r="A1236" s="9" t="s">
        <v>1274</v>
      </c>
      <c r="B1236" s="10" t="s">
        <v>1254</v>
      </c>
      <c r="C1236" s="10"/>
      <c r="D1236" s="10"/>
      <c r="E1236" s="11" t="s">
        <v>1341</v>
      </c>
      <c r="F1236" s="11" t="s">
        <v>249</v>
      </c>
      <c r="G1236" s="12" t="s">
        <v>1006</v>
      </c>
      <c r="H1236" s="13"/>
      <c r="I1236" s="13"/>
      <c r="J1236" s="13">
        <v>509.21594657623194</v>
      </c>
      <c r="K1236" s="13">
        <v>1292.8711599885978</v>
      </c>
      <c r="L1236" s="13">
        <v>170.21853117679171</v>
      </c>
      <c r="M1236" s="13">
        <v>304.44774833718208</v>
      </c>
      <c r="N1236" s="13">
        <v>760.26087836634474</v>
      </c>
      <c r="O1236" s="13">
        <v>187.35688711218751</v>
      </c>
      <c r="P1236" s="13">
        <v>10.773225936445915</v>
      </c>
      <c r="Q1236" s="13">
        <v>204.46014627505988</v>
      </c>
      <c r="R1236" s="13"/>
      <c r="S1236" s="13">
        <v>165.03625695757114</v>
      </c>
      <c r="T1236" s="13">
        <v>895.1971953789091</v>
      </c>
      <c r="U1236" s="13"/>
      <c r="V1236" s="13"/>
      <c r="W1236" s="13"/>
      <c r="X1236" s="13">
        <v>63.191838080570967</v>
      </c>
      <c r="Y1236" s="13">
        <v>8.5667314142636073</v>
      </c>
      <c r="Z1236" s="13">
        <v>560.24536239257975</v>
      </c>
      <c r="AA1236" s="13"/>
      <c r="AB1236" s="13"/>
      <c r="AC1236" s="14">
        <v>1265.924912920186</v>
      </c>
      <c r="AD1236" s="14">
        <v>191.35392427079779</v>
      </c>
      <c r="AE1236" s="14">
        <v>1027.4379209802003</v>
      </c>
      <c r="AF1236" s="14"/>
      <c r="AG1236" s="15">
        <v>0.16687627569629426</v>
      </c>
      <c r="AH1236" s="15">
        <v>0.1677859550932784</v>
      </c>
      <c r="AI1236" s="15"/>
      <c r="AJ1236" s="41">
        <f t="shared" si="38"/>
        <v>2732.566516107966</v>
      </c>
      <c r="AK1236" s="44">
        <f t="shared" si="39"/>
        <v>0.34009014986728014</v>
      </c>
      <c r="AL1236" s="10"/>
      <c r="AM1236" s="10"/>
    </row>
    <row r="1237" spans="1:39" s="16" customFormat="1" ht="19" customHeight="1">
      <c r="A1237" s="9" t="s">
        <v>1275</v>
      </c>
      <c r="B1237" s="10" t="s">
        <v>1254</v>
      </c>
      <c r="C1237" s="10"/>
      <c r="D1237" s="10"/>
      <c r="E1237" s="11" t="s">
        <v>1341</v>
      </c>
      <c r="F1237" s="11" t="s">
        <v>249</v>
      </c>
      <c r="G1237" s="12" t="s">
        <v>1006</v>
      </c>
      <c r="H1237" s="13">
        <v>50.249830474478436</v>
      </c>
      <c r="I1237" s="13">
        <v>21.342507465682157</v>
      </c>
      <c r="J1237" s="13">
        <v>1537.620281862351</v>
      </c>
      <c r="K1237" s="13">
        <v>3726.6636096243269</v>
      </c>
      <c r="L1237" s="13">
        <v>434.34518859935366</v>
      </c>
      <c r="M1237" s="13">
        <v>355.79696394190722</v>
      </c>
      <c r="N1237" s="13">
        <v>1791.756857972566</v>
      </c>
      <c r="O1237" s="13">
        <v>359.68958437773216</v>
      </c>
      <c r="P1237" s="13">
        <v>18.640241899195608</v>
      </c>
      <c r="Q1237" s="13">
        <v>347.25170989375215</v>
      </c>
      <c r="R1237" s="13"/>
      <c r="S1237" s="13">
        <v>257.87372141314285</v>
      </c>
      <c r="T1237" s="13">
        <v>1377.2636195328437</v>
      </c>
      <c r="U1237" s="13"/>
      <c r="V1237" s="13"/>
      <c r="W1237" s="13"/>
      <c r="X1237" s="13">
        <v>91.219090528291218</v>
      </c>
      <c r="Y1237" s="13">
        <v>11.963854739777522</v>
      </c>
      <c r="Z1237" s="13">
        <v>1117.2785811487117</v>
      </c>
      <c r="AA1237" s="13"/>
      <c r="AB1237" s="13"/>
      <c r="AC1237" s="14">
        <v>2430.3350295792716</v>
      </c>
      <c r="AD1237" s="14">
        <v>331.08777796084564</v>
      </c>
      <c r="AE1237" s="14">
        <v>1744.9834668027745</v>
      </c>
      <c r="AF1237" s="14"/>
      <c r="AG1237" s="15">
        <v>0.15859282507321845</v>
      </c>
      <c r="AH1237" s="15">
        <v>0.16077348194752739</v>
      </c>
      <c r="AI1237" s="15"/>
      <c r="AJ1237" s="41">
        <f t="shared" si="38"/>
        <v>7490.3859380585973</v>
      </c>
      <c r="AK1237" s="44">
        <f t="shared" si="39"/>
        <v>0.25833613761074337</v>
      </c>
      <c r="AL1237" s="10"/>
      <c r="AM1237" s="10"/>
    </row>
    <row r="1238" spans="1:39" s="16" customFormat="1" ht="19" customHeight="1">
      <c r="A1238" s="9" t="s">
        <v>1276</v>
      </c>
      <c r="B1238" s="10" t="s">
        <v>1254</v>
      </c>
      <c r="C1238" s="10"/>
      <c r="D1238" s="10"/>
      <c r="E1238" s="11" t="s">
        <v>1341</v>
      </c>
      <c r="F1238" s="11" t="s">
        <v>249</v>
      </c>
      <c r="G1238" s="12" t="s">
        <v>1006</v>
      </c>
      <c r="H1238" s="13">
        <v>23.126972104775284</v>
      </c>
      <c r="I1238" s="13">
        <v>11.659635944392058</v>
      </c>
      <c r="J1238" s="13">
        <v>1303.7482051266454</v>
      </c>
      <c r="K1238" s="13">
        <v>3124.2430704870085</v>
      </c>
      <c r="L1238" s="13">
        <v>371.58448084033085</v>
      </c>
      <c r="M1238" s="13">
        <v>362.62479366336424</v>
      </c>
      <c r="N1238" s="13">
        <v>1496.5881844222026</v>
      </c>
      <c r="O1238" s="13">
        <v>293.77890774401749</v>
      </c>
      <c r="P1238" s="13">
        <v>14.875296550021433</v>
      </c>
      <c r="Q1238" s="13">
        <v>280.57240055287195</v>
      </c>
      <c r="R1238" s="13"/>
      <c r="S1238" s="13">
        <v>198.14451116243256</v>
      </c>
      <c r="T1238" s="13">
        <v>1020.8606262415492</v>
      </c>
      <c r="U1238" s="13"/>
      <c r="V1238" s="13"/>
      <c r="W1238" s="13"/>
      <c r="X1238" s="13">
        <v>64.786757291507541</v>
      </c>
      <c r="Y1238" s="13">
        <v>8.9028503955905549</v>
      </c>
      <c r="Z1238" s="13">
        <v>1106.9224565844404</v>
      </c>
      <c r="AA1238" s="13"/>
      <c r="AB1238" s="13"/>
      <c r="AC1238" s="14">
        <v>1984.9926198920102</v>
      </c>
      <c r="AD1238" s="14">
        <v>264.21485879256545</v>
      </c>
      <c r="AE1238" s="14">
        <v>1409.9115605671957</v>
      </c>
      <c r="AF1238" s="14"/>
      <c r="AG1238" s="15">
        <v>0.15565379448018876</v>
      </c>
      <c r="AH1238" s="15">
        <v>0.15793626149840728</v>
      </c>
      <c r="AI1238" s="15"/>
      <c r="AJ1238" s="41">
        <f t="shared" si="38"/>
        <v>6296.1639408761876</v>
      </c>
      <c r="AK1238" s="44">
        <f t="shared" si="39"/>
        <v>0.35521479067952849</v>
      </c>
      <c r="AL1238" s="10"/>
      <c r="AM1238" s="10"/>
    </row>
    <row r="1239" spans="1:39" s="16" customFormat="1" ht="19" customHeight="1">
      <c r="A1239" s="9" t="s">
        <v>1277</v>
      </c>
      <c r="B1239" s="10" t="s">
        <v>1254</v>
      </c>
      <c r="C1239" s="10"/>
      <c r="D1239" s="10"/>
      <c r="E1239" s="11" t="s">
        <v>1341</v>
      </c>
      <c r="F1239" s="11" t="s">
        <v>249</v>
      </c>
      <c r="G1239" s="12" t="s">
        <v>1006</v>
      </c>
      <c r="H1239" s="13">
        <v>10.358930322215583</v>
      </c>
      <c r="I1239" s="13">
        <v>4.7539161478380656</v>
      </c>
      <c r="J1239" s="13">
        <v>1101.181888003706</v>
      </c>
      <c r="K1239" s="13">
        <v>2731.6966663018816</v>
      </c>
      <c r="L1239" s="13">
        <v>330.82513301269381</v>
      </c>
      <c r="M1239" s="13">
        <v>362.1166632646038</v>
      </c>
      <c r="N1239" s="13">
        <v>1310.875048596808</v>
      </c>
      <c r="O1239" s="13">
        <v>270.72257628849457</v>
      </c>
      <c r="P1239" s="13">
        <v>14.190306009977576</v>
      </c>
      <c r="Q1239" s="13">
        <v>268.02924794999342</v>
      </c>
      <c r="R1239" s="13"/>
      <c r="S1239" s="13">
        <v>205.20030095520488</v>
      </c>
      <c r="T1239" s="13">
        <v>1096.5453241994762</v>
      </c>
      <c r="U1239" s="13"/>
      <c r="V1239" s="13"/>
      <c r="W1239" s="13"/>
      <c r="X1239" s="13">
        <v>73.966865594005526</v>
      </c>
      <c r="Y1239" s="13">
        <v>9.7611798773695497</v>
      </c>
      <c r="Z1239" s="13">
        <v>1224.3350611562585</v>
      </c>
      <c r="AA1239" s="13"/>
      <c r="AB1239" s="13"/>
      <c r="AC1239" s="14">
        <v>1829.2065965438824</v>
      </c>
      <c r="AD1239" s="14">
        <v>252.04806412038326</v>
      </c>
      <c r="AE1239" s="14">
        <v>1346.8806429647909</v>
      </c>
      <c r="AF1239" s="14"/>
      <c r="AG1239" s="15">
        <v>0.15871608373035367</v>
      </c>
      <c r="AH1239" s="15">
        <v>0.16057851266636225</v>
      </c>
      <c r="AI1239" s="15"/>
      <c r="AJ1239" s="41">
        <f t="shared" si="38"/>
        <v>5474.5787359150891</v>
      </c>
      <c r="AK1239" s="44">
        <f t="shared" si="39"/>
        <v>0.33023410457653818</v>
      </c>
      <c r="AL1239" s="10"/>
      <c r="AM1239" s="10"/>
    </row>
    <row r="1240" spans="1:39" s="16" customFormat="1" ht="19" customHeight="1">
      <c r="A1240" s="9" t="s">
        <v>1278</v>
      </c>
      <c r="B1240" s="10" t="s">
        <v>1254</v>
      </c>
      <c r="C1240" s="10"/>
      <c r="D1240" s="10"/>
      <c r="E1240" s="11" t="s">
        <v>1341</v>
      </c>
      <c r="F1240" s="11" t="s">
        <v>249</v>
      </c>
      <c r="G1240" s="12" t="s">
        <v>1006</v>
      </c>
      <c r="H1240" s="13">
        <v>18.03733058468881</v>
      </c>
      <c r="I1240" s="13">
        <v>9.0939245803157345</v>
      </c>
      <c r="J1240" s="13">
        <v>1274.5407916494394</v>
      </c>
      <c r="K1240" s="13">
        <v>3034.7954383605875</v>
      </c>
      <c r="L1240" s="13">
        <v>358.41249723532394</v>
      </c>
      <c r="M1240" s="13">
        <v>359.40046896126404</v>
      </c>
      <c r="N1240" s="13">
        <v>1436.2671477981428</v>
      </c>
      <c r="O1240" s="13">
        <v>291.07002699625752</v>
      </c>
      <c r="P1240" s="13">
        <v>14.631079349174346</v>
      </c>
      <c r="Q1240" s="13">
        <v>268.73949698072477</v>
      </c>
      <c r="R1240" s="13"/>
      <c r="S1240" s="13">
        <v>192.5478816228142</v>
      </c>
      <c r="T1240" s="13">
        <v>1007.9512724042718</v>
      </c>
      <c r="U1240" s="13"/>
      <c r="V1240" s="13"/>
      <c r="W1240" s="13"/>
      <c r="X1240" s="13">
        <v>63.898211835617779</v>
      </c>
      <c r="Y1240" s="13">
        <v>8.8099359245679594</v>
      </c>
      <c r="Z1240" s="13">
        <v>1026.8455116357536</v>
      </c>
      <c r="AA1240" s="13"/>
      <c r="AB1240" s="13"/>
      <c r="AC1240" s="14">
        <v>1966.6893715963347</v>
      </c>
      <c r="AD1240" s="14">
        <v>259.87707547378949</v>
      </c>
      <c r="AE1240" s="14">
        <v>1350.4497335714811</v>
      </c>
      <c r="AF1240" s="14"/>
      <c r="AG1240" s="15">
        <v>0.15668747510101311</v>
      </c>
      <c r="AH1240" s="15">
        <v>0.15946334638278087</v>
      </c>
      <c r="AI1240" s="15"/>
      <c r="AJ1240" s="41">
        <f t="shared" si="38"/>
        <v>6104.0158750434939</v>
      </c>
      <c r="AK1240" s="44">
        <f t="shared" si="39"/>
        <v>0.35656532096435983</v>
      </c>
      <c r="AL1240" s="10"/>
      <c r="AM1240" s="10"/>
    </row>
    <row r="1241" spans="1:39" s="16" customFormat="1" ht="19" customHeight="1">
      <c r="A1241" s="9" t="s">
        <v>1279</v>
      </c>
      <c r="B1241" s="10" t="s">
        <v>1254</v>
      </c>
      <c r="C1241" s="10"/>
      <c r="D1241" s="10"/>
      <c r="E1241" s="11" t="s">
        <v>1341</v>
      </c>
      <c r="F1241" s="11" t="s">
        <v>249</v>
      </c>
      <c r="G1241" s="12" t="s">
        <v>1006</v>
      </c>
      <c r="H1241" s="13">
        <v>23.839318822685133</v>
      </c>
      <c r="I1241" s="13">
        <v>10.645295661844543</v>
      </c>
      <c r="J1241" s="13">
        <v>1296.4690165064576</v>
      </c>
      <c r="K1241" s="13">
        <v>3158.5798645593936</v>
      </c>
      <c r="L1241" s="13">
        <v>383.22597159143959</v>
      </c>
      <c r="M1241" s="13">
        <v>379.99442360028746</v>
      </c>
      <c r="N1241" s="13">
        <v>1562.4436046291366</v>
      </c>
      <c r="O1241" s="13">
        <v>321.19090661634084</v>
      </c>
      <c r="P1241" s="13">
        <v>18.019232113321671</v>
      </c>
      <c r="Q1241" s="13">
        <v>311.38715426667653</v>
      </c>
      <c r="R1241" s="13"/>
      <c r="S1241" s="13">
        <v>239.84274320149831</v>
      </c>
      <c r="T1241" s="13">
        <v>1243.7666611834409</v>
      </c>
      <c r="U1241" s="13"/>
      <c r="V1241" s="13"/>
      <c r="W1241" s="13"/>
      <c r="X1241" s="13">
        <v>81.459337855395958</v>
      </c>
      <c r="Y1241" s="13">
        <v>11.118567818123845</v>
      </c>
      <c r="Z1241" s="13">
        <v>1104.7586297328235</v>
      </c>
      <c r="AA1241" s="13"/>
      <c r="AB1241" s="13"/>
      <c r="AC1241" s="14">
        <v>2170.2088284887895</v>
      </c>
      <c r="AD1241" s="14">
        <v>320.05740876237428</v>
      </c>
      <c r="AE1241" s="14">
        <v>1564.759569179279</v>
      </c>
      <c r="AF1241" s="14"/>
      <c r="AG1241" s="15">
        <v>0.17138426604209153</v>
      </c>
      <c r="AH1241" s="15">
        <v>0.17368140103963614</v>
      </c>
      <c r="AI1241" s="15"/>
      <c r="AJ1241" s="41">
        <f t="shared" si="38"/>
        <v>6400.718457286428</v>
      </c>
      <c r="AK1241" s="44">
        <f t="shared" si="39"/>
        <v>0.30551906194263456</v>
      </c>
      <c r="AL1241" s="10"/>
      <c r="AM1241" s="10"/>
    </row>
    <row r="1242" spans="1:39" s="16" customFormat="1" ht="19" customHeight="1">
      <c r="A1242" s="9" t="s">
        <v>1280</v>
      </c>
      <c r="B1242" s="10" t="s">
        <v>1254</v>
      </c>
      <c r="C1242" s="10"/>
      <c r="D1242" s="10"/>
      <c r="E1242" s="11" t="s">
        <v>1341</v>
      </c>
      <c r="F1242" s="11" t="s">
        <v>249</v>
      </c>
      <c r="G1242" s="12" t="s">
        <v>1006</v>
      </c>
      <c r="H1242" s="13">
        <v>46.088878744264711</v>
      </c>
      <c r="I1242" s="13">
        <v>41.418928961713235</v>
      </c>
      <c r="J1242" s="13">
        <v>1894.8772029263093</v>
      </c>
      <c r="K1242" s="13">
        <v>4460.6934867554564</v>
      </c>
      <c r="L1242" s="13">
        <v>547.37067143780268</v>
      </c>
      <c r="M1242" s="13">
        <v>372.59636290405297</v>
      </c>
      <c r="N1242" s="13">
        <v>2237.1395364627806</v>
      </c>
      <c r="O1242" s="13">
        <v>418.72630362900361</v>
      </c>
      <c r="P1242" s="13">
        <v>23.420006214521809</v>
      </c>
      <c r="Q1242" s="13">
        <v>400.99274436548495</v>
      </c>
      <c r="R1242" s="13"/>
      <c r="S1242" s="13">
        <v>273.72241542693246</v>
      </c>
      <c r="T1242" s="13">
        <v>1406.4660715855332</v>
      </c>
      <c r="U1242" s="13"/>
      <c r="V1242" s="13"/>
      <c r="W1242" s="13"/>
      <c r="X1242" s="13">
        <v>83.945868915927051</v>
      </c>
      <c r="Y1242" s="13">
        <v>11.946195540299158</v>
      </c>
      <c r="Z1242" s="13">
        <v>762.51485971745535</v>
      </c>
      <c r="AA1242" s="13"/>
      <c r="AB1242" s="13"/>
      <c r="AC1242" s="14">
        <v>2829.2317812770516</v>
      </c>
      <c r="AD1242" s="14">
        <v>415.98590079079594</v>
      </c>
      <c r="AE1242" s="14">
        <v>2015.038916409472</v>
      </c>
      <c r="AF1242" s="14"/>
      <c r="AG1242" s="15">
        <v>0.17174345809760719</v>
      </c>
      <c r="AH1242" s="15">
        <v>0.1742218528343806</v>
      </c>
      <c r="AI1242" s="15"/>
      <c r="AJ1242" s="41">
        <f t="shared" si="38"/>
        <v>9140.0808975823493</v>
      </c>
      <c r="AK1242" s="44">
        <f t="shared" si="39"/>
        <v>0.26491670892851238</v>
      </c>
      <c r="AL1242" s="10"/>
      <c r="AM1242" s="10"/>
    </row>
    <row r="1243" spans="1:39" s="16" customFormat="1" ht="19" customHeight="1">
      <c r="A1243" s="9" t="s">
        <v>1259</v>
      </c>
      <c r="B1243" s="10" t="s">
        <v>1254</v>
      </c>
      <c r="C1243" s="10"/>
      <c r="D1243" s="10"/>
      <c r="E1243" s="11" t="s">
        <v>1341</v>
      </c>
      <c r="F1243" s="11" t="s">
        <v>249</v>
      </c>
      <c r="G1243" s="12" t="s">
        <v>1006</v>
      </c>
      <c r="H1243" s="13">
        <v>17.647886326417378</v>
      </c>
      <c r="I1243" s="13">
        <v>10.457987919914588</v>
      </c>
      <c r="J1243" s="13">
        <v>1267.5728191851792</v>
      </c>
      <c r="K1243" s="13">
        <v>3016.817842335643</v>
      </c>
      <c r="L1243" s="13">
        <v>371.4067455405339</v>
      </c>
      <c r="M1243" s="13">
        <v>369.89444772826869</v>
      </c>
      <c r="N1243" s="13">
        <v>1530.1503185991116</v>
      </c>
      <c r="O1243" s="13">
        <v>312.01792321399142</v>
      </c>
      <c r="P1243" s="13">
        <v>16.933368574548251</v>
      </c>
      <c r="Q1243" s="13">
        <v>305.34478122799646</v>
      </c>
      <c r="R1243" s="13"/>
      <c r="S1243" s="13">
        <v>233.44673894247109</v>
      </c>
      <c r="T1243" s="13">
        <v>1214.0628401344954</v>
      </c>
      <c r="U1243" s="13"/>
      <c r="V1243" s="13"/>
      <c r="W1243" s="13"/>
      <c r="X1243" s="13">
        <v>74.315659495464928</v>
      </c>
      <c r="Y1243" s="13">
        <v>10.48445323198283</v>
      </c>
      <c r="Z1243" s="13">
        <v>924.25436173292587</v>
      </c>
      <c r="AA1243" s="13"/>
      <c r="AB1243" s="13"/>
      <c r="AC1243" s="14">
        <v>2108.2292109053474</v>
      </c>
      <c r="AD1243" s="14">
        <v>300.77031215893874</v>
      </c>
      <c r="AE1243" s="14">
        <v>1534.3958855678213</v>
      </c>
      <c r="AF1243" s="14"/>
      <c r="AG1243" s="15">
        <v>0.16513931804299486</v>
      </c>
      <c r="AH1243" s="15">
        <v>0.16722736270217922</v>
      </c>
      <c r="AI1243" s="15"/>
      <c r="AJ1243" s="41">
        <f t="shared" si="38"/>
        <v>6185.9477256604678</v>
      </c>
      <c r="AK1243" s="44">
        <f t="shared" si="39"/>
        <v>0.30467487802138093</v>
      </c>
      <c r="AL1243" s="10"/>
      <c r="AM1243" s="10"/>
    </row>
    <row r="1244" spans="1:39" s="16" customFormat="1" ht="19" customHeight="1">
      <c r="A1244" s="9" t="s">
        <v>1281</v>
      </c>
      <c r="B1244" s="10" t="s">
        <v>1254</v>
      </c>
      <c r="C1244" s="10"/>
      <c r="D1244" s="10"/>
      <c r="E1244" s="11" t="s">
        <v>1341</v>
      </c>
      <c r="F1244" s="11" t="s">
        <v>249</v>
      </c>
      <c r="G1244" s="12" t="s">
        <v>1006</v>
      </c>
      <c r="H1244" s="13">
        <v>33.195385565576942</v>
      </c>
      <c r="I1244" s="13">
        <v>22.687182229260536</v>
      </c>
      <c r="J1244" s="13">
        <v>1280.9993250768791</v>
      </c>
      <c r="K1244" s="13">
        <v>2867.6628891426599</v>
      </c>
      <c r="L1244" s="13">
        <v>327.11569985308097</v>
      </c>
      <c r="M1244" s="13">
        <v>313.26155846548539</v>
      </c>
      <c r="N1244" s="13">
        <v>1285.7568587086284</v>
      </c>
      <c r="O1244" s="13">
        <v>232.60917052262454</v>
      </c>
      <c r="P1244" s="13">
        <v>16.113281429937242</v>
      </c>
      <c r="Q1244" s="13">
        <v>222.60627658056936</v>
      </c>
      <c r="R1244" s="13"/>
      <c r="S1244" s="13">
        <v>158.50888438265099</v>
      </c>
      <c r="T1244" s="13">
        <v>850.07905918191977</v>
      </c>
      <c r="U1244" s="13"/>
      <c r="V1244" s="13"/>
      <c r="W1244" s="13"/>
      <c r="X1244" s="13">
        <v>50.021092981807129</v>
      </c>
      <c r="Y1244" s="13">
        <v>7.1088533563716112</v>
      </c>
      <c r="Z1244" s="13">
        <v>1230.9294413276937</v>
      </c>
      <c r="AA1244" s="13"/>
      <c r="AB1244" s="13"/>
      <c r="AC1244" s="14">
        <v>1571.6835846123281</v>
      </c>
      <c r="AD1244" s="14">
        <v>286.2039330361855</v>
      </c>
      <c r="AE1244" s="14">
        <v>1118.6245054299968</v>
      </c>
      <c r="AF1244" s="14"/>
      <c r="AG1244" s="15">
        <v>0.21276665977069031</v>
      </c>
      <c r="AH1244" s="15">
        <v>0.21584941423688583</v>
      </c>
      <c r="AI1244" s="15"/>
      <c r="AJ1244" s="41">
        <f t="shared" si="38"/>
        <v>5761.5347727812477</v>
      </c>
      <c r="AK1244" s="44">
        <f t="shared" si="39"/>
        <v>0.36850873466634398</v>
      </c>
      <c r="AL1244" s="10"/>
      <c r="AM1244" s="10"/>
    </row>
    <row r="1245" spans="1:39" s="16" customFormat="1" ht="19" customHeight="1">
      <c r="A1245" s="9" t="s">
        <v>1282</v>
      </c>
      <c r="B1245" s="10" t="s">
        <v>1254</v>
      </c>
      <c r="C1245" s="10"/>
      <c r="D1245" s="10"/>
      <c r="E1245" s="11" t="s">
        <v>1341</v>
      </c>
      <c r="F1245" s="11" t="s">
        <v>249</v>
      </c>
      <c r="G1245" s="12" t="s">
        <v>1006</v>
      </c>
      <c r="H1245" s="13">
        <v>14.251866599625613</v>
      </c>
      <c r="I1245" s="13">
        <v>7.1856139983076286</v>
      </c>
      <c r="J1245" s="13">
        <v>1191.1289580478654</v>
      </c>
      <c r="K1245" s="13">
        <v>2900.7930172413676</v>
      </c>
      <c r="L1245" s="13">
        <v>321.89006192145098</v>
      </c>
      <c r="M1245" s="13">
        <v>266.16095862083864</v>
      </c>
      <c r="N1245" s="13">
        <v>1245.7313563817627</v>
      </c>
      <c r="O1245" s="13">
        <v>237.93359129937855</v>
      </c>
      <c r="P1245" s="13">
        <v>15.90446270629541</v>
      </c>
      <c r="Q1245" s="13">
        <v>218.26752292421628</v>
      </c>
      <c r="R1245" s="13"/>
      <c r="S1245" s="13">
        <v>157.16191387516292</v>
      </c>
      <c r="T1245" s="13">
        <v>823.10865658661237</v>
      </c>
      <c r="U1245" s="13"/>
      <c r="V1245" s="13"/>
      <c r="W1245" s="13"/>
      <c r="X1245" s="13">
        <v>49.39715620738459</v>
      </c>
      <c r="Y1245" s="13">
        <v>6.384947790581263</v>
      </c>
      <c r="Z1245" s="13">
        <v>1087.0091863635241</v>
      </c>
      <c r="AA1245" s="13"/>
      <c r="AB1245" s="13"/>
      <c r="AC1245" s="14">
        <v>1607.6594006714768</v>
      </c>
      <c r="AD1245" s="14">
        <v>282.49489709228084</v>
      </c>
      <c r="AE1245" s="14">
        <v>1096.8217232372676</v>
      </c>
      <c r="AF1245" s="14"/>
      <c r="AG1245" s="15">
        <v>0.20890875857472826</v>
      </c>
      <c r="AH1245" s="15">
        <v>0.21273824070242689</v>
      </c>
      <c r="AI1245" s="15"/>
      <c r="AJ1245" s="41">
        <f t="shared" si="38"/>
        <v>5659.5433935924466</v>
      </c>
      <c r="AK1245" s="44">
        <f t="shared" si="39"/>
        <v>0.32336066021294674</v>
      </c>
      <c r="AL1245" s="10"/>
      <c r="AM1245" s="10"/>
    </row>
    <row r="1246" spans="1:39" s="16" customFormat="1" ht="19" customHeight="1">
      <c r="A1246" s="9" t="s">
        <v>1283</v>
      </c>
      <c r="B1246" s="10" t="s">
        <v>1254</v>
      </c>
      <c r="C1246" s="10"/>
      <c r="D1246" s="10"/>
      <c r="E1246" s="11" t="s">
        <v>1341</v>
      </c>
      <c r="F1246" s="11" t="s">
        <v>249</v>
      </c>
      <c r="G1246" s="12" t="s">
        <v>1006</v>
      </c>
      <c r="H1246" s="13">
        <v>27.616294567374275</v>
      </c>
      <c r="I1246" s="13">
        <v>25.362427298724359</v>
      </c>
      <c r="J1246" s="13">
        <v>1098.898556658266</v>
      </c>
      <c r="K1246" s="13">
        <v>2580.6873999476534</v>
      </c>
      <c r="L1246" s="13">
        <v>292.69523171478193</v>
      </c>
      <c r="M1246" s="13">
        <v>311.1631572630339</v>
      </c>
      <c r="N1246" s="13">
        <v>1167.170519004703</v>
      </c>
      <c r="O1246" s="13">
        <v>217.47930620254607</v>
      </c>
      <c r="P1246" s="13">
        <v>19.344594312615072</v>
      </c>
      <c r="Q1246" s="13">
        <v>217.57392446714073</v>
      </c>
      <c r="R1246" s="13"/>
      <c r="S1246" s="13">
        <v>154.78423134783151</v>
      </c>
      <c r="T1246" s="13">
        <v>839.41197419305558</v>
      </c>
      <c r="U1246" s="13"/>
      <c r="V1246" s="13"/>
      <c r="W1246" s="13"/>
      <c r="X1246" s="13">
        <v>51.786907043094139</v>
      </c>
      <c r="Y1246" s="13">
        <v>7.3955640740164856</v>
      </c>
      <c r="Z1246" s="13">
        <v>915.40763278478141</v>
      </c>
      <c r="AA1246" s="13"/>
      <c r="AB1246" s="13"/>
      <c r="AC1246" s="14">
        <v>1469.4547716388249</v>
      </c>
      <c r="AD1246" s="14">
        <v>343.59847802158214</v>
      </c>
      <c r="AE1246" s="14">
        <v>1093.3363038549785</v>
      </c>
      <c r="AF1246" s="14"/>
      <c r="AG1246" s="15">
        <v>0.26814396328064077</v>
      </c>
      <c r="AH1246" s="15">
        <v>0.27107922493530501</v>
      </c>
      <c r="AI1246" s="15"/>
      <c r="AJ1246" s="41">
        <f t="shared" si="38"/>
        <v>5139.4517073254046</v>
      </c>
      <c r="AK1246" s="44">
        <f t="shared" si="39"/>
        <v>0.37069182574165871</v>
      </c>
      <c r="AL1246" s="10"/>
      <c r="AM1246" s="10"/>
    </row>
    <row r="1247" spans="1:39" s="16" customFormat="1" ht="19" customHeight="1">
      <c r="A1247" s="9" t="s">
        <v>1284</v>
      </c>
      <c r="B1247" s="10" t="s">
        <v>1254</v>
      </c>
      <c r="C1247" s="10"/>
      <c r="D1247" s="10"/>
      <c r="E1247" s="11" t="s">
        <v>1341</v>
      </c>
      <c r="F1247" s="11" t="s">
        <v>249</v>
      </c>
      <c r="G1247" s="12" t="s">
        <v>1006</v>
      </c>
      <c r="H1247" s="13">
        <v>18.432703757871796</v>
      </c>
      <c r="I1247" s="13">
        <v>7.715160585275326</v>
      </c>
      <c r="J1247" s="13">
        <v>1191.4578873089683</v>
      </c>
      <c r="K1247" s="13">
        <v>2883.0102705260683</v>
      </c>
      <c r="L1247" s="13">
        <v>329.41970838277672</v>
      </c>
      <c r="M1247" s="13">
        <v>266.66630177604992</v>
      </c>
      <c r="N1247" s="13">
        <v>1294.3350302784731</v>
      </c>
      <c r="O1247" s="13">
        <v>247.62099395962662</v>
      </c>
      <c r="P1247" s="13">
        <v>16.486084832303419</v>
      </c>
      <c r="Q1247" s="13">
        <v>232.59449738436538</v>
      </c>
      <c r="R1247" s="13"/>
      <c r="S1247" s="13">
        <v>170.68515519776852</v>
      </c>
      <c r="T1247" s="13">
        <v>895.96390835648492</v>
      </c>
      <c r="U1247" s="13"/>
      <c r="V1247" s="13"/>
      <c r="W1247" s="13"/>
      <c r="X1247" s="13">
        <v>54.683621899409921</v>
      </c>
      <c r="Y1247" s="13">
        <v>7.58890803165378</v>
      </c>
      <c r="Z1247" s="13">
        <v>1090.632358756184</v>
      </c>
      <c r="AA1247" s="13"/>
      <c r="AB1247" s="13"/>
      <c r="AC1247" s="14">
        <v>1673.1148240515313</v>
      </c>
      <c r="AD1247" s="14">
        <v>292.82566309597547</v>
      </c>
      <c r="AE1247" s="14">
        <v>1168.8165697706802</v>
      </c>
      <c r="AF1247" s="14"/>
      <c r="AG1247" s="15">
        <v>0.20607511056214778</v>
      </c>
      <c r="AH1247" s="15">
        <v>0.20939826645025919</v>
      </c>
      <c r="AI1247" s="15"/>
      <c r="AJ1247" s="41">
        <f t="shared" si="38"/>
        <v>5698.222896496286</v>
      </c>
      <c r="AK1247" s="44">
        <f t="shared" si="39"/>
        <v>0.29763062919042166</v>
      </c>
      <c r="AL1247" s="10"/>
      <c r="AM1247" s="10"/>
    </row>
    <row r="1248" spans="1:39" s="16" customFormat="1" ht="19" customHeight="1">
      <c r="A1248" s="9" t="s">
        <v>1285</v>
      </c>
      <c r="B1248" s="10" t="s">
        <v>1254</v>
      </c>
      <c r="C1248" s="10"/>
      <c r="D1248" s="10"/>
      <c r="E1248" s="11" t="s">
        <v>1341</v>
      </c>
      <c r="F1248" s="11" t="s">
        <v>249</v>
      </c>
      <c r="G1248" s="12" t="s">
        <v>1006</v>
      </c>
      <c r="H1248" s="13">
        <v>14.624126603165344</v>
      </c>
      <c r="I1248" s="13">
        <v>6.9621765291583912</v>
      </c>
      <c r="J1248" s="13">
        <v>1149.7058290828215</v>
      </c>
      <c r="K1248" s="13">
        <v>2739.8905922756207</v>
      </c>
      <c r="L1248" s="13">
        <v>317.01161901274429</v>
      </c>
      <c r="M1248" s="13">
        <v>276.39576994899517</v>
      </c>
      <c r="N1248" s="13">
        <v>1282.27541737004</v>
      </c>
      <c r="O1248" s="13">
        <v>256.33341425896845</v>
      </c>
      <c r="P1248" s="13">
        <v>20.572362278969131</v>
      </c>
      <c r="Q1248" s="13">
        <v>241.51465845924463</v>
      </c>
      <c r="R1248" s="13"/>
      <c r="S1248" s="13">
        <v>189.68075902002494</v>
      </c>
      <c r="T1248" s="13">
        <v>1024.7893336603872</v>
      </c>
      <c r="U1248" s="13"/>
      <c r="V1248" s="13"/>
      <c r="W1248" s="13"/>
      <c r="X1248" s="13">
        <v>61.683697830501217</v>
      </c>
      <c r="Y1248" s="13">
        <v>8.6732422873317674</v>
      </c>
      <c r="Z1248" s="13">
        <v>1262.8553271942512</v>
      </c>
      <c r="AA1248" s="13"/>
      <c r="AB1248" s="13"/>
      <c r="AC1248" s="14">
        <v>1731.982528776814</v>
      </c>
      <c r="AD1248" s="14">
        <v>365.40607955540202</v>
      </c>
      <c r="AE1248" s="14">
        <v>1213.641499795199</v>
      </c>
      <c r="AF1248" s="14"/>
      <c r="AG1248" s="15">
        <v>0.24810096333478407</v>
      </c>
      <c r="AH1248" s="15">
        <v>0.25203381082682524</v>
      </c>
      <c r="AI1248" s="15"/>
      <c r="AJ1248" s="41">
        <f t="shared" si="38"/>
        <v>5488.8834577412272</v>
      </c>
      <c r="AK1248" s="44">
        <f t="shared" si="39"/>
        <v>0.26970984266761705</v>
      </c>
      <c r="AL1248" s="10"/>
      <c r="AM1248" s="10"/>
    </row>
    <row r="1249" spans="1:39" s="16" customFormat="1" ht="19" customHeight="1">
      <c r="A1249" s="9" t="s">
        <v>1286</v>
      </c>
      <c r="B1249" s="10" t="s">
        <v>1254</v>
      </c>
      <c r="C1249" s="10"/>
      <c r="D1249" s="10"/>
      <c r="E1249" s="11" t="s">
        <v>1341</v>
      </c>
      <c r="F1249" s="11" t="s">
        <v>249</v>
      </c>
      <c r="G1249" s="12" t="s">
        <v>1006</v>
      </c>
      <c r="H1249" s="13">
        <v>20.419243502187083</v>
      </c>
      <c r="I1249" s="13">
        <v>14.26470012288228</v>
      </c>
      <c r="J1249" s="13">
        <v>1313.5519315564902</v>
      </c>
      <c r="K1249" s="13">
        <v>2948.0637768110105</v>
      </c>
      <c r="L1249" s="13">
        <v>338.73354618330342</v>
      </c>
      <c r="M1249" s="13">
        <v>297.97206264751725</v>
      </c>
      <c r="N1249" s="13">
        <v>1332.0147823630664</v>
      </c>
      <c r="O1249" s="13">
        <v>254.29930223312519</v>
      </c>
      <c r="P1249" s="13">
        <v>14.943091251665322</v>
      </c>
      <c r="Q1249" s="13">
        <v>230.19813609496174</v>
      </c>
      <c r="R1249" s="13"/>
      <c r="S1249" s="13">
        <v>171.00793312733833</v>
      </c>
      <c r="T1249" s="13">
        <v>883.4094342453285</v>
      </c>
      <c r="U1249" s="13"/>
      <c r="V1249" s="13"/>
      <c r="W1249" s="13"/>
      <c r="X1249" s="13">
        <v>52.283928060520829</v>
      </c>
      <c r="Y1249" s="13">
        <v>6.4397171173800443</v>
      </c>
      <c r="Z1249" s="13">
        <v>932.95359985266589</v>
      </c>
      <c r="AA1249" s="13"/>
      <c r="AB1249" s="13"/>
      <c r="AC1249" s="14">
        <v>1718.2385286021972</v>
      </c>
      <c r="AD1249" s="14">
        <v>265.41902756066293</v>
      </c>
      <c r="AE1249" s="14">
        <v>1156.7745532410138</v>
      </c>
      <c r="AF1249" s="14"/>
      <c r="AG1249" s="15">
        <v>0.18463848337726457</v>
      </c>
      <c r="AH1249" s="15">
        <v>0.18826342869686097</v>
      </c>
      <c r="AI1249" s="15"/>
      <c r="AJ1249" s="41">
        <f t="shared" si="38"/>
        <v>5932.3640369138702</v>
      </c>
      <c r="AK1249" s="44">
        <f t="shared" si="39"/>
        <v>0.33729780450224228</v>
      </c>
      <c r="AL1249" s="10"/>
      <c r="AM1249" s="10"/>
    </row>
    <row r="1250" spans="1:39" s="16" customFormat="1" ht="19" customHeight="1">
      <c r="A1250" s="9" t="s">
        <v>1287</v>
      </c>
      <c r="B1250" s="10" t="s">
        <v>1254</v>
      </c>
      <c r="C1250" s="10"/>
      <c r="D1250" s="10"/>
      <c r="E1250" s="11" t="s">
        <v>1341</v>
      </c>
      <c r="F1250" s="11" t="s">
        <v>249</v>
      </c>
      <c r="G1250" s="12" t="s">
        <v>1006</v>
      </c>
      <c r="H1250" s="13">
        <v>20.021335475447255</v>
      </c>
      <c r="I1250" s="13">
        <v>16.393919353986725</v>
      </c>
      <c r="J1250" s="13">
        <v>1429.218697881194</v>
      </c>
      <c r="K1250" s="13">
        <v>3125.6248562776964</v>
      </c>
      <c r="L1250" s="13">
        <v>364.80276400438288</v>
      </c>
      <c r="M1250" s="13">
        <v>280.66697990647089</v>
      </c>
      <c r="N1250" s="13">
        <v>1428.401017745432</v>
      </c>
      <c r="O1250" s="13">
        <v>280.30501278000247</v>
      </c>
      <c r="P1250" s="13">
        <v>19.343570252629377</v>
      </c>
      <c r="Q1250" s="13">
        <v>264.10311653191218</v>
      </c>
      <c r="R1250" s="13"/>
      <c r="S1250" s="13">
        <v>192.00984244827941</v>
      </c>
      <c r="T1250" s="13">
        <v>1016.4355230966446</v>
      </c>
      <c r="U1250" s="13"/>
      <c r="V1250" s="13"/>
      <c r="W1250" s="13"/>
      <c r="X1250" s="13">
        <v>60.768103001780815</v>
      </c>
      <c r="Y1250" s="13">
        <v>8.2264424077202438</v>
      </c>
      <c r="Z1250" s="13">
        <v>1195.1223370532507</v>
      </c>
      <c r="AA1250" s="13"/>
      <c r="AB1250" s="13"/>
      <c r="AC1250" s="14">
        <v>1893.9527890540708</v>
      </c>
      <c r="AD1250" s="14">
        <v>343.58028867902982</v>
      </c>
      <c r="AE1250" s="14">
        <v>1327.1513393563425</v>
      </c>
      <c r="AF1250" s="14"/>
      <c r="AG1250" s="15">
        <v>0.21333075553107544</v>
      </c>
      <c r="AH1250" s="15">
        <v>0.21671223986220051</v>
      </c>
      <c r="AI1250" s="15"/>
      <c r="AJ1250" s="41">
        <f t="shared" si="38"/>
        <v>6348.0473359087055</v>
      </c>
      <c r="AK1250" s="44">
        <f t="shared" si="39"/>
        <v>0.27612866092223792</v>
      </c>
      <c r="AL1250" s="10"/>
      <c r="AM1250" s="10"/>
    </row>
    <row r="1251" spans="1:39" s="16" customFormat="1" ht="19" customHeight="1">
      <c r="A1251" s="9" t="s">
        <v>1288</v>
      </c>
      <c r="B1251" s="10" t="s">
        <v>1254</v>
      </c>
      <c r="C1251" s="10"/>
      <c r="D1251" s="10"/>
      <c r="E1251" s="11" t="s">
        <v>1341</v>
      </c>
      <c r="F1251" s="11" t="s">
        <v>249</v>
      </c>
      <c r="G1251" s="12" t="s">
        <v>1006</v>
      </c>
      <c r="H1251" s="13">
        <v>23.198698909200743</v>
      </c>
      <c r="I1251" s="13">
        <v>15.572041056738565</v>
      </c>
      <c r="J1251" s="13">
        <v>1268.5593977329659</v>
      </c>
      <c r="K1251" s="13">
        <v>2931.8129434165166</v>
      </c>
      <c r="L1251" s="13">
        <v>334.18033584373194</v>
      </c>
      <c r="M1251" s="13">
        <v>335.82875930404202</v>
      </c>
      <c r="N1251" s="13">
        <v>1311.1830886481014</v>
      </c>
      <c r="O1251" s="13">
        <v>248.83219969044305</v>
      </c>
      <c r="P1251" s="13">
        <v>15.600094226394146</v>
      </c>
      <c r="Q1251" s="13">
        <v>232.20542037976577</v>
      </c>
      <c r="R1251" s="13"/>
      <c r="S1251" s="13">
        <v>174.60002306180624</v>
      </c>
      <c r="T1251" s="13">
        <v>916.96130025390414</v>
      </c>
      <c r="U1251" s="13"/>
      <c r="V1251" s="13"/>
      <c r="W1251" s="13"/>
      <c r="X1251" s="13">
        <v>55.658631700722083</v>
      </c>
      <c r="Y1251" s="13">
        <v>7.5265667980812969</v>
      </c>
      <c r="Z1251" s="13">
        <v>557.90784773218684</v>
      </c>
      <c r="AA1251" s="13"/>
      <c r="AB1251" s="13"/>
      <c r="AC1251" s="14">
        <v>1681.2986465570477</v>
      </c>
      <c r="AD1251" s="14">
        <v>277.08870739598842</v>
      </c>
      <c r="AE1251" s="14">
        <v>1166.8614089435466</v>
      </c>
      <c r="AF1251" s="14"/>
      <c r="AG1251" s="15">
        <v>0.19457383152386579</v>
      </c>
      <c r="AH1251" s="15">
        <v>0.19782754275111941</v>
      </c>
      <c r="AI1251" s="15"/>
      <c r="AJ1251" s="41">
        <f t="shared" si="38"/>
        <v>5845.735765641316</v>
      </c>
      <c r="AK1251" s="44">
        <f t="shared" si="39"/>
        <v>0.36624092991825491</v>
      </c>
      <c r="AL1251" s="10"/>
      <c r="AM1251" s="10"/>
    </row>
    <row r="1252" spans="1:39" s="16" customFormat="1" ht="19" customHeight="1">
      <c r="A1252" s="9" t="s">
        <v>1289</v>
      </c>
      <c r="B1252" s="10" t="s">
        <v>1254</v>
      </c>
      <c r="C1252" s="10"/>
      <c r="D1252" s="10"/>
      <c r="E1252" s="11" t="s">
        <v>1341</v>
      </c>
      <c r="F1252" s="11" t="s">
        <v>249</v>
      </c>
      <c r="G1252" s="12" t="s">
        <v>1006</v>
      </c>
      <c r="H1252" s="13">
        <v>16.60575920243642</v>
      </c>
      <c r="I1252" s="13">
        <v>14.691045506941119</v>
      </c>
      <c r="J1252" s="13">
        <v>1181.0115358303226</v>
      </c>
      <c r="K1252" s="13">
        <v>2630.9046602781336</v>
      </c>
      <c r="L1252" s="13">
        <v>298.43792378887377</v>
      </c>
      <c r="M1252" s="13">
        <v>364.64738147501896</v>
      </c>
      <c r="N1252" s="13">
        <v>1169.6042246774155</v>
      </c>
      <c r="O1252" s="13">
        <v>217.11439662024281</v>
      </c>
      <c r="P1252" s="13">
        <v>14.892473540281751</v>
      </c>
      <c r="Q1252" s="13">
        <v>207.37416005788347</v>
      </c>
      <c r="R1252" s="13"/>
      <c r="S1252" s="13">
        <v>147.43424950987702</v>
      </c>
      <c r="T1252" s="13">
        <v>772.354445491815</v>
      </c>
      <c r="U1252" s="13"/>
      <c r="V1252" s="13"/>
      <c r="W1252" s="13"/>
      <c r="X1252" s="13">
        <v>45.534562569436353</v>
      </c>
      <c r="Y1252" s="13">
        <v>6.2121692825434529</v>
      </c>
      <c r="Z1252" s="13">
        <v>860.98939089533928</v>
      </c>
      <c r="AA1252" s="13"/>
      <c r="AB1252" s="13"/>
      <c r="AC1252" s="14">
        <v>1466.989166352992</v>
      </c>
      <c r="AD1252" s="14">
        <v>264.51995631051068</v>
      </c>
      <c r="AE1252" s="14">
        <v>1042.0812063210224</v>
      </c>
      <c r="AF1252" s="14"/>
      <c r="AG1252" s="15">
        <v>0.21085096631116124</v>
      </c>
      <c r="AH1252" s="15">
        <v>0.21394109151054586</v>
      </c>
      <c r="AI1252" s="15"/>
      <c r="AJ1252" s="41">
        <f t="shared" si="38"/>
        <v>5279.9583445747448</v>
      </c>
      <c r="AK1252" s="44">
        <f t="shared" si="39"/>
        <v>0.47212440299067754</v>
      </c>
      <c r="AL1252" s="10"/>
      <c r="AM1252" s="10"/>
    </row>
    <row r="1253" spans="1:39" s="16" customFormat="1" ht="19" customHeight="1">
      <c r="A1253" s="9" t="s">
        <v>1290</v>
      </c>
      <c r="B1253" s="10" t="s">
        <v>1254</v>
      </c>
      <c r="C1253" s="10"/>
      <c r="D1253" s="10"/>
      <c r="E1253" s="11" t="s">
        <v>1341</v>
      </c>
      <c r="F1253" s="11" t="s">
        <v>249</v>
      </c>
      <c r="G1253" s="12" t="s">
        <v>1006</v>
      </c>
      <c r="H1253" s="13">
        <v>21.483668421095789</v>
      </c>
      <c r="I1253" s="13">
        <v>9.5673531697716285</v>
      </c>
      <c r="J1253" s="13">
        <v>1134.39741816839</v>
      </c>
      <c r="K1253" s="13">
        <v>2858.0705738348629</v>
      </c>
      <c r="L1253" s="13">
        <v>338.22464475388517</v>
      </c>
      <c r="M1253" s="13">
        <v>248.21047957476557</v>
      </c>
      <c r="N1253" s="13">
        <v>1325.881961286502</v>
      </c>
      <c r="O1253" s="13">
        <v>261.83923037490433</v>
      </c>
      <c r="P1253" s="13">
        <v>19.931468542342749</v>
      </c>
      <c r="Q1253" s="13">
        <v>248.4691286311056</v>
      </c>
      <c r="R1253" s="13"/>
      <c r="S1253" s="13">
        <v>194.05864049837254</v>
      </c>
      <c r="T1253" s="13">
        <v>1014.0146705405741</v>
      </c>
      <c r="U1253" s="13"/>
      <c r="V1253" s="13"/>
      <c r="W1253" s="13"/>
      <c r="X1253" s="13">
        <v>58.885207869707635</v>
      </c>
      <c r="Y1253" s="13">
        <v>8.4031839925606135</v>
      </c>
      <c r="Z1253" s="13">
        <v>912.31364183846688</v>
      </c>
      <c r="AA1253" s="13"/>
      <c r="AB1253" s="13"/>
      <c r="AC1253" s="14">
        <v>1769.1839890196241</v>
      </c>
      <c r="AD1253" s="14">
        <v>354.02253183557281</v>
      </c>
      <c r="AE1253" s="14">
        <v>1248.5885860859578</v>
      </c>
      <c r="AF1253" s="14"/>
      <c r="AG1253" s="15">
        <v>0.23462505740558448</v>
      </c>
      <c r="AH1253" s="15">
        <v>0.23819614208650031</v>
      </c>
      <c r="AI1253" s="15"/>
      <c r="AJ1253" s="41">
        <f t="shared" si="38"/>
        <v>5656.5745980436404</v>
      </c>
      <c r="AK1253" s="44">
        <f t="shared" si="39"/>
        <v>0.24477996895493026</v>
      </c>
      <c r="AL1253" s="10"/>
      <c r="AM1253" s="10"/>
    </row>
    <row r="1254" spans="1:39" s="16" customFormat="1" ht="19" customHeight="1">
      <c r="A1254" s="9" t="s">
        <v>1291</v>
      </c>
      <c r="B1254" s="10" t="s">
        <v>1254</v>
      </c>
      <c r="C1254" s="10"/>
      <c r="D1254" s="10"/>
      <c r="E1254" s="11" t="s">
        <v>1341</v>
      </c>
      <c r="F1254" s="11" t="s">
        <v>249</v>
      </c>
      <c r="G1254" s="12" t="s">
        <v>1006</v>
      </c>
      <c r="H1254" s="13">
        <v>14.477227892182256</v>
      </c>
      <c r="I1254" s="13">
        <v>6.651825823701305</v>
      </c>
      <c r="J1254" s="13">
        <v>996.19726931088144</v>
      </c>
      <c r="K1254" s="13">
        <v>2400.7739929840327</v>
      </c>
      <c r="L1254" s="13">
        <v>290.96086548038221</v>
      </c>
      <c r="M1254" s="13">
        <v>251.03888422947995</v>
      </c>
      <c r="N1254" s="13">
        <v>1195.5809994682884</v>
      </c>
      <c r="O1254" s="13">
        <v>245.21660637120866</v>
      </c>
      <c r="P1254" s="13">
        <v>16.692587511533191</v>
      </c>
      <c r="Q1254" s="13">
        <v>232.5884135601919</v>
      </c>
      <c r="R1254" s="13"/>
      <c r="S1254" s="13">
        <v>176.8610954499396</v>
      </c>
      <c r="T1254" s="13">
        <v>932.9893535423339</v>
      </c>
      <c r="U1254" s="13"/>
      <c r="V1254" s="13"/>
      <c r="W1254" s="13"/>
      <c r="X1254" s="13">
        <v>53.822372147375077</v>
      </c>
      <c r="Y1254" s="13">
        <v>7.4401589854287993</v>
      </c>
      <c r="Z1254" s="13">
        <v>979.5299195832232</v>
      </c>
      <c r="AA1254" s="13"/>
      <c r="AB1254" s="13"/>
      <c r="AC1254" s="14">
        <v>1656.8689619676261</v>
      </c>
      <c r="AD1254" s="14">
        <v>296.49356148371567</v>
      </c>
      <c r="AE1254" s="14">
        <v>1168.7859977899091</v>
      </c>
      <c r="AF1254" s="14"/>
      <c r="AG1254" s="15">
        <v>0.20985829176337745</v>
      </c>
      <c r="AH1254" s="15">
        <v>0.21306086488595727</v>
      </c>
      <c r="AI1254" s="15"/>
      <c r="AJ1254" s="41">
        <f t="shared" si="38"/>
        <v>4883.5131272435847</v>
      </c>
      <c r="AK1254" s="44">
        <f t="shared" si="39"/>
        <v>0.26906939856960455</v>
      </c>
      <c r="AL1254" s="10"/>
      <c r="AM1254" s="10"/>
    </row>
    <row r="1255" spans="1:39" s="16" customFormat="1" ht="19" customHeight="1">
      <c r="A1255" s="9" t="s">
        <v>1292</v>
      </c>
      <c r="B1255" s="10" t="s">
        <v>1254</v>
      </c>
      <c r="C1255" s="10"/>
      <c r="D1255" s="10"/>
      <c r="E1255" s="11" t="s">
        <v>1341</v>
      </c>
      <c r="F1255" s="11" t="s">
        <v>249</v>
      </c>
      <c r="G1255" s="12" t="s">
        <v>1006</v>
      </c>
      <c r="H1255" s="13">
        <v>22.989661683267812</v>
      </c>
      <c r="I1255" s="13">
        <v>23.558736480250179</v>
      </c>
      <c r="J1255" s="13">
        <v>1198.6977076089804</v>
      </c>
      <c r="K1255" s="13">
        <v>2629.6942267188651</v>
      </c>
      <c r="L1255" s="13">
        <v>310.05973398711973</v>
      </c>
      <c r="M1255" s="13">
        <v>251.46610563605546</v>
      </c>
      <c r="N1255" s="13">
        <v>1231.2383930317626</v>
      </c>
      <c r="O1255" s="13">
        <v>220.6693675770577</v>
      </c>
      <c r="P1255" s="13">
        <v>15.990476421780286</v>
      </c>
      <c r="Q1255" s="13">
        <v>215.66225666902059</v>
      </c>
      <c r="R1255" s="13"/>
      <c r="S1255" s="13">
        <v>158.96986564256082</v>
      </c>
      <c r="T1255" s="13">
        <v>837.94443323709845</v>
      </c>
      <c r="U1255" s="13"/>
      <c r="V1255" s="13"/>
      <c r="W1255" s="13"/>
      <c r="X1255" s="13">
        <v>50.96407291080849</v>
      </c>
      <c r="Y1255" s="13">
        <v>6.9937574796109612</v>
      </c>
      <c r="Z1255" s="13">
        <v>978.1133877258618</v>
      </c>
      <c r="AA1255" s="13"/>
      <c r="AB1255" s="13"/>
      <c r="AC1255" s="14">
        <v>1491.0092403855251</v>
      </c>
      <c r="AD1255" s="14">
        <v>284.02267179005838</v>
      </c>
      <c r="AE1255" s="14">
        <v>1083.7299330101537</v>
      </c>
      <c r="AF1255" s="14"/>
      <c r="AG1255" s="15">
        <v>0.22062248069615287</v>
      </c>
      <c r="AH1255" s="15">
        <v>0.22343556713701296</v>
      </c>
      <c r="AI1255" s="15"/>
      <c r="AJ1255" s="41">
        <f t="shared" si="38"/>
        <v>5369.6900613467287</v>
      </c>
      <c r="AK1255" s="44">
        <f t="shared" si="39"/>
        <v>0.30009878419336966</v>
      </c>
      <c r="AL1255" s="10"/>
      <c r="AM1255" s="10"/>
    </row>
    <row r="1256" spans="1:39" s="16" customFormat="1" ht="19" customHeight="1">
      <c r="A1256" s="9" t="s">
        <v>1293</v>
      </c>
      <c r="B1256" s="10" t="s">
        <v>1254</v>
      </c>
      <c r="C1256" s="10"/>
      <c r="D1256" s="10"/>
      <c r="E1256" s="11" t="s">
        <v>1341</v>
      </c>
      <c r="F1256" s="11" t="s">
        <v>249</v>
      </c>
      <c r="G1256" s="12" t="s">
        <v>1006</v>
      </c>
      <c r="H1256" s="13">
        <v>18.43693070418049</v>
      </c>
      <c r="I1256" s="13">
        <v>16.681221625106566</v>
      </c>
      <c r="J1256" s="13">
        <v>1333.1067524204589</v>
      </c>
      <c r="K1256" s="13">
        <v>3060.755813010127</v>
      </c>
      <c r="L1256" s="13">
        <v>340.57083168745322</v>
      </c>
      <c r="M1256" s="13">
        <v>277.48776969778834</v>
      </c>
      <c r="N1256" s="13">
        <v>1316.2341876347389</v>
      </c>
      <c r="O1256" s="13">
        <v>248.71150806961774</v>
      </c>
      <c r="P1256" s="13">
        <v>15.738658198815086</v>
      </c>
      <c r="Q1256" s="13">
        <v>233.63109800296817</v>
      </c>
      <c r="R1256" s="13"/>
      <c r="S1256" s="13">
        <v>167.65757952872428</v>
      </c>
      <c r="T1256" s="13">
        <v>870.02340255814192</v>
      </c>
      <c r="U1256" s="13"/>
      <c r="V1256" s="13"/>
      <c r="W1256" s="13"/>
      <c r="X1256" s="13">
        <v>51.902435213553041</v>
      </c>
      <c r="Y1256" s="13">
        <v>7.0956728882840112</v>
      </c>
      <c r="Z1256" s="13">
        <v>1045.8290518358137</v>
      </c>
      <c r="AA1256" s="13"/>
      <c r="AB1256" s="13"/>
      <c r="AC1256" s="14">
        <v>1680.4831626325524</v>
      </c>
      <c r="AD1256" s="14">
        <v>279.54987919742604</v>
      </c>
      <c r="AE1256" s="14">
        <v>1174.0256181053676</v>
      </c>
      <c r="AF1256" s="14"/>
      <c r="AG1256" s="15">
        <v>0.19586548907035381</v>
      </c>
      <c r="AH1256" s="15">
        <v>0.19902307837087191</v>
      </c>
      <c r="AI1256" s="15"/>
      <c r="AJ1256" s="41">
        <f t="shared" si="38"/>
        <v>6050.6675847527786</v>
      </c>
      <c r="AK1256" s="44">
        <f t="shared" si="39"/>
        <v>0.31894288002125826</v>
      </c>
      <c r="AL1256" s="10"/>
      <c r="AM1256" s="10"/>
    </row>
    <row r="1257" spans="1:39" s="16" customFormat="1" ht="19" customHeight="1">
      <c r="A1257" s="9" t="s">
        <v>1294</v>
      </c>
      <c r="B1257" s="10" t="s">
        <v>1254</v>
      </c>
      <c r="C1257" s="10"/>
      <c r="D1257" s="10"/>
      <c r="E1257" s="11" t="s">
        <v>1341</v>
      </c>
      <c r="F1257" s="11" t="s">
        <v>249</v>
      </c>
      <c r="G1257" s="12" t="s">
        <v>1006</v>
      </c>
      <c r="H1257" s="13">
        <v>20.267743543544853</v>
      </c>
      <c r="I1257" s="13">
        <v>17.399400728059593</v>
      </c>
      <c r="J1257" s="13">
        <v>1010.5754211573591</v>
      </c>
      <c r="K1257" s="13">
        <v>2391.4368413666407</v>
      </c>
      <c r="L1257" s="13">
        <v>278.93130582036116</v>
      </c>
      <c r="M1257" s="13">
        <v>291.18495504501959</v>
      </c>
      <c r="N1257" s="13">
        <v>1139.3733769726205</v>
      </c>
      <c r="O1257" s="13">
        <v>214.67617813854918</v>
      </c>
      <c r="P1257" s="13">
        <v>15.828786799858644</v>
      </c>
      <c r="Q1257" s="13">
        <v>207.56912409912758</v>
      </c>
      <c r="R1257" s="13"/>
      <c r="S1257" s="13">
        <v>149.85303701259687</v>
      </c>
      <c r="T1257" s="13">
        <v>806.13782229444496</v>
      </c>
      <c r="U1257" s="13"/>
      <c r="V1257" s="13"/>
      <c r="W1257" s="13"/>
      <c r="X1257" s="13">
        <v>48.007840134292934</v>
      </c>
      <c r="Y1257" s="13">
        <v>6.6236090783241881</v>
      </c>
      <c r="Z1257" s="13">
        <v>871.96635677020572</v>
      </c>
      <c r="AA1257" s="13"/>
      <c r="AB1257" s="13"/>
      <c r="AC1257" s="14">
        <v>1450.5147171523595</v>
      </c>
      <c r="AD1257" s="14">
        <v>281.15074244864377</v>
      </c>
      <c r="AE1257" s="14">
        <v>1043.0609251212441</v>
      </c>
      <c r="AF1257" s="14"/>
      <c r="AG1257" s="15">
        <v>0.22550007120882437</v>
      </c>
      <c r="AH1257" s="15">
        <v>0.22857215705117945</v>
      </c>
      <c r="AI1257" s="15"/>
      <c r="AJ1257" s="41">
        <f t="shared" si="38"/>
        <v>4820.3169453169812</v>
      </c>
      <c r="AK1257" s="44">
        <f t="shared" si="39"/>
        <v>0.36120989115266094</v>
      </c>
      <c r="AL1257" s="10"/>
      <c r="AM1257" s="10"/>
    </row>
    <row r="1258" spans="1:39" s="16" customFormat="1" ht="19" customHeight="1">
      <c r="A1258" s="9" t="s">
        <v>1295</v>
      </c>
      <c r="B1258" s="10" t="s">
        <v>1254</v>
      </c>
      <c r="C1258" s="10"/>
      <c r="D1258" s="10"/>
      <c r="E1258" s="11" t="s">
        <v>1341</v>
      </c>
      <c r="F1258" s="11" t="s">
        <v>249</v>
      </c>
      <c r="G1258" s="12" t="s">
        <v>1006</v>
      </c>
      <c r="H1258" s="13">
        <v>28.308079535977349</v>
      </c>
      <c r="I1258" s="13">
        <v>27.597551366119408</v>
      </c>
      <c r="J1258" s="13">
        <v>1257.3184073390821</v>
      </c>
      <c r="K1258" s="13">
        <v>2894.1074991431956</v>
      </c>
      <c r="L1258" s="13">
        <v>331.48698683171068</v>
      </c>
      <c r="M1258" s="13">
        <v>314.6622970489758</v>
      </c>
      <c r="N1258" s="13">
        <v>1287.7937948775589</v>
      </c>
      <c r="O1258" s="13">
        <v>238.6174443434123</v>
      </c>
      <c r="P1258" s="13">
        <v>16.932345694769488</v>
      </c>
      <c r="Q1258" s="13">
        <v>225.52759418940514</v>
      </c>
      <c r="R1258" s="13"/>
      <c r="S1258" s="13">
        <v>162.83394862192637</v>
      </c>
      <c r="T1258" s="13">
        <v>843.78600362708335</v>
      </c>
      <c r="U1258" s="13"/>
      <c r="V1258" s="13"/>
      <c r="W1258" s="13"/>
      <c r="X1258" s="13">
        <v>48.713067939327487</v>
      </c>
      <c r="Y1258" s="13">
        <v>7.0618353755351562</v>
      </c>
      <c r="Z1258" s="13">
        <v>938.81009727622927</v>
      </c>
      <c r="AA1258" s="13"/>
      <c r="AB1258" s="13"/>
      <c r="AC1258" s="14">
        <v>1612.2800293473806</v>
      </c>
      <c r="AD1258" s="14">
        <v>300.7521437792094</v>
      </c>
      <c r="AE1258" s="14">
        <v>1133.3044934140962</v>
      </c>
      <c r="AF1258" s="14"/>
      <c r="AG1258" s="15">
        <v>0.21908059379407954</v>
      </c>
      <c r="AH1258" s="15">
        <v>0.22249240426341652</v>
      </c>
      <c r="AI1258" s="15"/>
      <c r="AJ1258" s="41">
        <f t="shared" si="38"/>
        <v>5770.706688191548</v>
      </c>
      <c r="AK1258" s="44">
        <f t="shared" si="39"/>
        <v>0.37291718006268665</v>
      </c>
      <c r="AL1258" s="10"/>
      <c r="AM1258" s="10"/>
    </row>
    <row r="1259" spans="1:39" s="16" customFormat="1" ht="19" customHeight="1">
      <c r="A1259" s="9" t="s">
        <v>1296</v>
      </c>
      <c r="B1259" s="10" t="s">
        <v>1254</v>
      </c>
      <c r="C1259" s="10"/>
      <c r="D1259" s="10"/>
      <c r="E1259" s="11" t="s">
        <v>1341</v>
      </c>
      <c r="F1259" s="11" t="s">
        <v>249</v>
      </c>
      <c r="G1259" s="12" t="s">
        <v>1006</v>
      </c>
      <c r="H1259" s="13">
        <v>32.392249928246301</v>
      </c>
      <c r="I1259" s="13">
        <v>22.031400102847851</v>
      </c>
      <c r="J1259" s="13">
        <v>830.54078051281692</v>
      </c>
      <c r="K1259" s="13">
        <v>2214.6230694134615</v>
      </c>
      <c r="L1259" s="13">
        <v>280.72092914292375</v>
      </c>
      <c r="M1259" s="13">
        <v>312.83776276837477</v>
      </c>
      <c r="N1259" s="13">
        <v>1170.5486000268563</v>
      </c>
      <c r="O1259" s="13">
        <v>239.01556783394074</v>
      </c>
      <c r="P1259" s="13">
        <v>23.686378118334847</v>
      </c>
      <c r="Q1259" s="13">
        <v>228.51357103640834</v>
      </c>
      <c r="R1259" s="13"/>
      <c r="S1259" s="13">
        <v>170.86962316453835</v>
      </c>
      <c r="T1259" s="13">
        <v>907.33468411836179</v>
      </c>
      <c r="U1259" s="13"/>
      <c r="V1259" s="13"/>
      <c r="W1259" s="13"/>
      <c r="X1259" s="13">
        <v>56.079426535914372</v>
      </c>
      <c r="Y1259" s="13">
        <v>7.8496192747796085</v>
      </c>
      <c r="Z1259" s="13">
        <v>884.35783089786685</v>
      </c>
      <c r="AA1259" s="13"/>
      <c r="AB1259" s="13"/>
      <c r="AC1259" s="14">
        <v>1614.9700529320321</v>
      </c>
      <c r="AD1259" s="14">
        <v>420.71719570754618</v>
      </c>
      <c r="AE1259" s="14">
        <v>1148.3094021930067</v>
      </c>
      <c r="AF1259" s="14"/>
      <c r="AG1259" s="15">
        <v>0.30450571687727374</v>
      </c>
      <c r="AH1259" s="15">
        <v>0.30894314686465923</v>
      </c>
      <c r="AI1259" s="15"/>
      <c r="AJ1259" s="41">
        <f t="shared" si="38"/>
        <v>4496.4333790960591</v>
      </c>
      <c r="AK1259" s="44">
        <f t="shared" si="39"/>
        <v>0.34478761612905023</v>
      </c>
      <c r="AL1259" s="10"/>
      <c r="AM1259" s="10"/>
    </row>
    <row r="1260" spans="1:39" s="16" customFormat="1" ht="19" customHeight="1">
      <c r="A1260" s="9" t="s">
        <v>1297</v>
      </c>
      <c r="B1260" s="10" t="s">
        <v>1254</v>
      </c>
      <c r="C1260" s="10"/>
      <c r="D1260" s="10"/>
      <c r="E1260" s="11" t="s">
        <v>1341</v>
      </c>
      <c r="F1260" s="11" t="s">
        <v>249</v>
      </c>
      <c r="G1260" s="12" t="s">
        <v>1006</v>
      </c>
      <c r="H1260" s="13">
        <v>14.786369176750755</v>
      </c>
      <c r="I1260" s="13">
        <v>8.5256438840055822</v>
      </c>
      <c r="J1260" s="13">
        <v>1227.5338098205714</v>
      </c>
      <c r="K1260" s="13">
        <v>2975.8457500220029</v>
      </c>
      <c r="L1260" s="13">
        <v>342.39333499427005</v>
      </c>
      <c r="M1260" s="13">
        <v>246.31833003849184</v>
      </c>
      <c r="N1260" s="13">
        <v>1284.6480223867961</v>
      </c>
      <c r="O1260" s="13">
        <v>252.19642921483901</v>
      </c>
      <c r="P1260" s="13">
        <v>16.026058239876786</v>
      </c>
      <c r="Q1260" s="13">
        <v>231.76249949940987</v>
      </c>
      <c r="R1260" s="13"/>
      <c r="S1260" s="13">
        <v>178.89379106415288</v>
      </c>
      <c r="T1260" s="13">
        <v>964.03941804273143</v>
      </c>
      <c r="U1260" s="13"/>
      <c r="V1260" s="13"/>
      <c r="W1260" s="13"/>
      <c r="X1260" s="13">
        <v>54.127741614656401</v>
      </c>
      <c r="Y1260" s="13">
        <v>7.6068964521510924</v>
      </c>
      <c r="Z1260" s="13">
        <v>983.71426862067608</v>
      </c>
      <c r="AA1260" s="13"/>
      <c r="AB1260" s="13"/>
      <c r="AC1260" s="14">
        <v>1704.0299271272906</v>
      </c>
      <c r="AD1260" s="14">
        <v>284.65467566388611</v>
      </c>
      <c r="AE1260" s="14">
        <v>1164.6356758764314</v>
      </c>
      <c r="AF1260" s="14"/>
      <c r="AG1260" s="15">
        <v>0.19845789998376243</v>
      </c>
      <c r="AH1260" s="15">
        <v>0.20206200968719631</v>
      </c>
      <c r="AI1260" s="15"/>
      <c r="AJ1260" s="41">
        <f t="shared" si="38"/>
        <v>5830.4209172236406</v>
      </c>
      <c r="AK1260" s="44">
        <f t="shared" si="39"/>
        <v>0.25550649219156063</v>
      </c>
      <c r="AL1260" s="10"/>
      <c r="AM1260" s="10"/>
    </row>
    <row r="1261" spans="1:39" s="16" customFormat="1" ht="19" customHeight="1">
      <c r="A1261" s="9" t="s">
        <v>1298</v>
      </c>
      <c r="B1261" s="10" t="s">
        <v>1254</v>
      </c>
      <c r="C1261" s="10"/>
      <c r="D1261" s="10"/>
      <c r="E1261" s="11" t="s">
        <v>1341</v>
      </c>
      <c r="F1261" s="11" t="s">
        <v>249</v>
      </c>
      <c r="G1261" s="12" t="s">
        <v>1006</v>
      </c>
      <c r="H1261" s="13">
        <v>42.409114452737072</v>
      </c>
      <c r="I1261" s="13">
        <v>29.822402121700154</v>
      </c>
      <c r="J1261" s="13">
        <v>1576.7502991773192</v>
      </c>
      <c r="K1261" s="13">
        <v>3624.492994138137</v>
      </c>
      <c r="L1261" s="13">
        <v>406.88722332855747</v>
      </c>
      <c r="M1261" s="13">
        <v>259.69280043607557</v>
      </c>
      <c r="N1261" s="13">
        <v>1578.7485099095716</v>
      </c>
      <c r="O1261" s="13">
        <v>296.74955547769127</v>
      </c>
      <c r="P1261" s="13">
        <v>19.268328197314794</v>
      </c>
      <c r="Q1261" s="13">
        <v>283.95462490734201</v>
      </c>
      <c r="R1261" s="13"/>
      <c r="S1261" s="13">
        <v>209.46116414411514</v>
      </c>
      <c r="T1261" s="13">
        <v>1102.5354506650901</v>
      </c>
      <c r="U1261" s="13"/>
      <c r="V1261" s="13"/>
      <c r="W1261" s="13"/>
      <c r="X1261" s="13">
        <v>68.251987603603482</v>
      </c>
      <c r="Y1261" s="13">
        <v>8.9317832958787129</v>
      </c>
      <c r="Z1261" s="13">
        <v>882.67260834470255</v>
      </c>
      <c r="AA1261" s="13"/>
      <c r="AB1261" s="13"/>
      <c r="AC1261" s="14">
        <v>2005.0645640384546</v>
      </c>
      <c r="AD1261" s="14">
        <v>342.24384009440132</v>
      </c>
      <c r="AE1261" s="14">
        <v>1426.9076628509647</v>
      </c>
      <c r="AF1261" s="14"/>
      <c r="AG1261" s="15">
        <v>0.19944441124140175</v>
      </c>
      <c r="AH1261" s="15">
        <v>0.20233616963451406</v>
      </c>
      <c r="AI1261" s="15"/>
      <c r="AJ1261" s="41">
        <f t="shared" si="38"/>
        <v>7186.8790265535845</v>
      </c>
      <c r="AK1261" s="44">
        <f t="shared" si="39"/>
        <v>0.23554145155098574</v>
      </c>
      <c r="AL1261" s="10"/>
      <c r="AM1261" s="10"/>
    </row>
    <row r="1262" spans="1:39" s="16" customFormat="1" ht="19" customHeight="1">
      <c r="A1262" s="9" t="s">
        <v>1299</v>
      </c>
      <c r="B1262" s="10" t="s">
        <v>1254</v>
      </c>
      <c r="C1262" s="10"/>
      <c r="D1262" s="10"/>
      <c r="E1262" s="11" t="s">
        <v>1341</v>
      </c>
      <c r="F1262" s="11" t="s">
        <v>249</v>
      </c>
      <c r="G1262" s="12" t="s">
        <v>1006</v>
      </c>
      <c r="H1262" s="13">
        <v>17.405114039197503</v>
      </c>
      <c r="I1262" s="13">
        <v>8.0209024982223838</v>
      </c>
      <c r="J1262" s="13">
        <v>1247.7877675749937</v>
      </c>
      <c r="K1262" s="13">
        <v>2805.2260370502813</v>
      </c>
      <c r="L1262" s="13">
        <v>323.23175854340133</v>
      </c>
      <c r="M1262" s="13">
        <v>289.5760038079398</v>
      </c>
      <c r="N1262" s="13">
        <v>1288.824330842365</v>
      </c>
      <c r="O1262" s="13">
        <v>249.96092571791272</v>
      </c>
      <c r="P1262" s="13">
        <v>15.498291798805237</v>
      </c>
      <c r="Q1262" s="13">
        <v>245.75567124017545</v>
      </c>
      <c r="R1262" s="13"/>
      <c r="S1262" s="13">
        <v>178.03802297675921</v>
      </c>
      <c r="T1262" s="13">
        <v>969.99006087023008</v>
      </c>
      <c r="U1262" s="13"/>
      <c r="V1262" s="13"/>
      <c r="W1262" s="13"/>
      <c r="X1262" s="13">
        <v>53.533222497489234</v>
      </c>
      <c r="Y1262" s="13">
        <v>7.0502378184510661</v>
      </c>
      <c r="Z1262" s="13">
        <v>989.12086695958862</v>
      </c>
      <c r="AA1262" s="13"/>
      <c r="AB1262" s="13"/>
      <c r="AC1262" s="14">
        <v>1688.9251737696807</v>
      </c>
      <c r="AD1262" s="14">
        <v>275.28049376208236</v>
      </c>
      <c r="AE1262" s="14">
        <v>1234.9531218099269</v>
      </c>
      <c r="AF1262" s="14"/>
      <c r="AG1262" s="15">
        <v>0.18829818886665584</v>
      </c>
      <c r="AH1262" s="15">
        <v>0.19060970005373595</v>
      </c>
      <c r="AI1262" s="15"/>
      <c r="AJ1262" s="41">
        <f t="shared" si="38"/>
        <v>5665.0698940110415</v>
      </c>
      <c r="AK1262" s="44">
        <f t="shared" si="39"/>
        <v>0.29853502163532031</v>
      </c>
      <c r="AL1262" s="10"/>
      <c r="AM1262" s="10"/>
    </row>
    <row r="1263" spans="1:39" s="16" customFormat="1" ht="19" customHeight="1">
      <c r="A1263" s="9" t="s">
        <v>1300</v>
      </c>
      <c r="B1263" s="10" t="s">
        <v>1254</v>
      </c>
      <c r="C1263" s="10"/>
      <c r="D1263" s="10"/>
      <c r="E1263" s="11" t="s">
        <v>1341</v>
      </c>
      <c r="F1263" s="11" t="s">
        <v>249</v>
      </c>
      <c r="G1263" s="12" t="s">
        <v>1006</v>
      </c>
      <c r="H1263" s="13">
        <v>38.830767782664608</v>
      </c>
      <c r="I1263" s="13">
        <v>37.772459186289815</v>
      </c>
      <c r="J1263" s="13">
        <v>1326.6308933095015</v>
      </c>
      <c r="K1263" s="13">
        <v>2937.3277823986659</v>
      </c>
      <c r="L1263" s="13">
        <v>324.38796206397126</v>
      </c>
      <c r="M1263" s="13">
        <v>274.57704873383813</v>
      </c>
      <c r="N1263" s="13">
        <v>1258.6590706490799</v>
      </c>
      <c r="O1263" s="13">
        <v>235.3185003470372</v>
      </c>
      <c r="P1263" s="13">
        <v>15.572450391164192</v>
      </c>
      <c r="Q1263" s="13">
        <v>222.53236480346905</v>
      </c>
      <c r="R1263" s="13"/>
      <c r="S1263" s="13">
        <v>160.2616094229079</v>
      </c>
      <c r="T1263" s="13">
        <v>879.1191098856134</v>
      </c>
      <c r="U1263" s="13"/>
      <c r="V1263" s="13"/>
      <c r="W1263" s="13"/>
      <c r="X1263" s="13">
        <v>56.391397059417137</v>
      </c>
      <c r="Y1263" s="13">
        <v>7.8679860517510152</v>
      </c>
      <c r="Z1263" s="13">
        <v>1017.7258840156603</v>
      </c>
      <c r="AA1263" s="13"/>
      <c r="AB1263" s="13"/>
      <c r="AC1263" s="14">
        <v>1589.9898672097108</v>
      </c>
      <c r="AD1263" s="14">
        <v>276.59769788923967</v>
      </c>
      <c r="AE1263" s="14">
        <v>1118.2530894646686</v>
      </c>
      <c r="AF1263" s="14"/>
      <c r="AG1263" s="15">
        <v>0.2042635777617908</v>
      </c>
      <c r="AH1263" s="15">
        <v>0.20743466270731772</v>
      </c>
      <c r="AI1263" s="15"/>
      <c r="AJ1263" s="41">
        <f t="shared" si="38"/>
        <v>5847.0057084212176</v>
      </c>
      <c r="AK1263" s="44">
        <f t="shared" si="39"/>
        <v>0.31233202150453165</v>
      </c>
      <c r="AL1263" s="10"/>
      <c r="AM1263" s="10"/>
    </row>
    <row r="1264" spans="1:39" s="16" customFormat="1" ht="19" customHeight="1">
      <c r="A1264" s="9" t="s">
        <v>1301</v>
      </c>
      <c r="B1264" s="10" t="s">
        <v>1254</v>
      </c>
      <c r="C1264" s="10"/>
      <c r="D1264" s="10"/>
      <c r="E1264" s="11" t="s">
        <v>1341</v>
      </c>
      <c r="F1264" s="11" t="s">
        <v>249</v>
      </c>
      <c r="G1264" s="12" t="s">
        <v>1006</v>
      </c>
      <c r="H1264" s="13">
        <v>10.563766935195085</v>
      </c>
      <c r="I1264" s="13">
        <v>4.1328700487162919</v>
      </c>
      <c r="J1264" s="13">
        <v>756.99712815301984</v>
      </c>
      <c r="K1264" s="13">
        <v>1815.9166994478135</v>
      </c>
      <c r="L1264" s="13">
        <v>231.39585206319688</v>
      </c>
      <c r="M1264" s="13">
        <v>406.7698286536413</v>
      </c>
      <c r="N1264" s="13">
        <v>973.29688621115508</v>
      </c>
      <c r="O1264" s="13">
        <v>204.84412447452547</v>
      </c>
      <c r="P1264" s="13">
        <v>26.345944397087919</v>
      </c>
      <c r="Q1264" s="13">
        <v>199.72371663565161</v>
      </c>
      <c r="R1264" s="13"/>
      <c r="S1264" s="13">
        <v>151.63648801459891</v>
      </c>
      <c r="T1264" s="13">
        <v>812.19190284518879</v>
      </c>
      <c r="U1264" s="13"/>
      <c r="V1264" s="13"/>
      <c r="W1264" s="13"/>
      <c r="X1264" s="13">
        <v>49.096446400792807</v>
      </c>
      <c r="Y1264" s="13">
        <v>7.0178638153263098</v>
      </c>
      <c r="Z1264" s="13">
        <v>869.09261219279892</v>
      </c>
      <c r="AA1264" s="13"/>
      <c r="AB1264" s="13"/>
      <c r="AC1264" s="14">
        <v>1384.0819221251722</v>
      </c>
      <c r="AD1264" s="14">
        <v>467.95638360724547</v>
      </c>
      <c r="AE1264" s="14">
        <v>1003.6367670133246</v>
      </c>
      <c r="AF1264" s="14"/>
      <c r="AG1264" s="15">
        <v>0.39196944408563217</v>
      </c>
      <c r="AH1264" s="15">
        <v>0.39704176843065692</v>
      </c>
      <c r="AI1264" s="15"/>
      <c r="AJ1264" s="41">
        <f t="shared" si="38"/>
        <v>3777.6065658751854</v>
      </c>
      <c r="AK1264" s="44">
        <f t="shared" si="39"/>
        <v>0.50082970198137444</v>
      </c>
      <c r="AL1264" s="10"/>
      <c r="AM1264" s="10"/>
    </row>
    <row r="1265" spans="1:39" s="16" customFormat="1" ht="19" customHeight="1">
      <c r="A1265" s="9" t="s">
        <v>1302</v>
      </c>
      <c r="B1265" s="10" t="s">
        <v>1254</v>
      </c>
      <c r="C1265" s="10"/>
      <c r="D1265" s="10"/>
      <c r="E1265" s="11" t="s">
        <v>1341</v>
      </c>
      <c r="F1265" s="11" t="s">
        <v>249</v>
      </c>
      <c r="G1265" s="12" t="s">
        <v>1006</v>
      </c>
      <c r="H1265" s="13">
        <v>20.120735805973794</v>
      </c>
      <c r="I1265" s="13">
        <v>18.45420451026834</v>
      </c>
      <c r="J1265" s="13">
        <v>951.97464617874789</v>
      </c>
      <c r="K1265" s="13">
        <v>2288.2027041127062</v>
      </c>
      <c r="L1265" s="13">
        <v>271.87908973657767</v>
      </c>
      <c r="M1265" s="13">
        <v>333.17683060908445</v>
      </c>
      <c r="N1265" s="13">
        <v>1112.2667965044948</v>
      </c>
      <c r="O1265" s="13">
        <v>213.84537286179332</v>
      </c>
      <c r="P1265" s="13">
        <v>19.513052466267858</v>
      </c>
      <c r="Q1265" s="13">
        <v>209.24798434867949</v>
      </c>
      <c r="R1265" s="13"/>
      <c r="S1265" s="13">
        <v>147.49393181438791</v>
      </c>
      <c r="T1265" s="13">
        <v>786.20049660684151</v>
      </c>
      <c r="U1265" s="13"/>
      <c r="V1265" s="13"/>
      <c r="W1265" s="13"/>
      <c r="X1265" s="13">
        <v>47.439798672640656</v>
      </c>
      <c r="Y1265" s="13">
        <v>6.8311088499948358</v>
      </c>
      <c r="Z1265" s="13">
        <v>847.59137176817001</v>
      </c>
      <c r="AA1265" s="13"/>
      <c r="AB1265" s="13"/>
      <c r="AC1265" s="14">
        <v>1444.9011679850901</v>
      </c>
      <c r="AD1265" s="14">
        <v>346.59062995147173</v>
      </c>
      <c r="AE1265" s="14">
        <v>1051.4974087873341</v>
      </c>
      <c r="AF1265" s="14"/>
      <c r="AG1265" s="15">
        <v>0.27767251045269881</v>
      </c>
      <c r="AH1265" s="15">
        <v>0.28118596711553828</v>
      </c>
      <c r="AI1265" s="15"/>
      <c r="AJ1265" s="41">
        <f t="shared" si="38"/>
        <v>4624.3232365325257</v>
      </c>
      <c r="AK1265" s="44">
        <f t="shared" si="39"/>
        <v>0.4237809974008418</v>
      </c>
      <c r="AL1265" s="10"/>
      <c r="AM1265" s="10"/>
    </row>
    <row r="1266" spans="1:39" s="16" customFormat="1" ht="19" customHeight="1">
      <c r="A1266" s="9" t="s">
        <v>1303</v>
      </c>
      <c r="B1266" s="10" t="s">
        <v>1254</v>
      </c>
      <c r="C1266" s="10"/>
      <c r="D1266" s="10"/>
      <c r="E1266" s="11" t="s">
        <v>1341</v>
      </c>
      <c r="F1266" s="11" t="s">
        <v>249</v>
      </c>
      <c r="G1266" s="12" t="s">
        <v>1006</v>
      </c>
      <c r="H1266" s="13">
        <v>20.156428969122445</v>
      </c>
      <c r="I1266" s="13">
        <v>19.144288737264798</v>
      </c>
      <c r="J1266" s="13">
        <v>850.48871710711023</v>
      </c>
      <c r="K1266" s="13">
        <v>2134.085365510186</v>
      </c>
      <c r="L1266" s="13">
        <v>253.40918203967595</v>
      </c>
      <c r="M1266" s="13">
        <v>337.01881107357337</v>
      </c>
      <c r="N1266" s="13">
        <v>1017.8562882484905</v>
      </c>
      <c r="O1266" s="13">
        <v>198.2545524456477</v>
      </c>
      <c r="P1266" s="13">
        <v>15.970982505304626</v>
      </c>
      <c r="Q1266" s="13">
        <v>183.37807161276695</v>
      </c>
      <c r="R1266" s="13"/>
      <c r="S1266" s="13">
        <v>139.73292729097446</v>
      </c>
      <c r="T1266" s="13">
        <v>755.7832238357289</v>
      </c>
      <c r="U1266" s="13"/>
      <c r="V1266" s="13"/>
      <c r="W1266" s="13"/>
      <c r="X1266" s="13">
        <v>47.621137135218561</v>
      </c>
      <c r="Y1266" s="13">
        <v>6.6902613589676241</v>
      </c>
      <c r="Z1266" s="13">
        <v>969.51096436157138</v>
      </c>
      <c r="AA1266" s="13"/>
      <c r="AB1266" s="13"/>
      <c r="AC1266" s="14">
        <v>1339.5577867949171</v>
      </c>
      <c r="AD1266" s="14">
        <v>283.67642105336813</v>
      </c>
      <c r="AE1266" s="14">
        <v>921.49784730033639</v>
      </c>
      <c r="AF1266" s="14"/>
      <c r="AG1266" s="15">
        <v>0.2509238753577856</v>
      </c>
      <c r="AH1266" s="15">
        <v>0.25532618134019969</v>
      </c>
      <c r="AI1266" s="15"/>
      <c r="AJ1266" s="41">
        <f t="shared" si="38"/>
        <v>4255.8395529054624</v>
      </c>
      <c r="AK1266" s="44">
        <f t="shared" si="39"/>
        <v>0.44591994165092125</v>
      </c>
      <c r="AL1266" s="10"/>
      <c r="AM1266" s="10"/>
    </row>
    <row r="1267" spans="1:39" s="16" customFormat="1" ht="19" customHeight="1">
      <c r="A1267" s="9" t="s">
        <v>1304</v>
      </c>
      <c r="B1267" s="10" t="s">
        <v>1254</v>
      </c>
      <c r="C1267" s="10"/>
      <c r="D1267" s="10"/>
      <c r="E1267" s="11" t="s">
        <v>1341</v>
      </c>
      <c r="F1267" s="11" t="s">
        <v>249</v>
      </c>
      <c r="G1267" s="12" t="s">
        <v>1006</v>
      </c>
      <c r="H1267" s="13">
        <v>14.956173194700934</v>
      </c>
      <c r="I1267" s="13">
        <v>8.6661865691339077</v>
      </c>
      <c r="J1267" s="13">
        <v>1290.3680693624774</v>
      </c>
      <c r="K1267" s="13">
        <v>2924.7308009513008</v>
      </c>
      <c r="L1267" s="13">
        <v>334.98720196941292</v>
      </c>
      <c r="M1267" s="13">
        <v>256.88938878631745</v>
      </c>
      <c r="N1267" s="13">
        <v>1306.0187349826642</v>
      </c>
      <c r="O1267" s="13">
        <v>252.54109501684869</v>
      </c>
      <c r="P1267" s="13">
        <v>16.97725337476728</v>
      </c>
      <c r="Q1267" s="13">
        <v>235.19458893764124</v>
      </c>
      <c r="R1267" s="13"/>
      <c r="S1267" s="13">
        <v>179.12046852245865</v>
      </c>
      <c r="T1267" s="13">
        <v>947.56814424807408</v>
      </c>
      <c r="U1267" s="13"/>
      <c r="V1267" s="13"/>
      <c r="W1267" s="13"/>
      <c r="X1267" s="13">
        <v>55.612595462259016</v>
      </c>
      <c r="Y1267" s="13">
        <v>7.323086974598767</v>
      </c>
      <c r="Z1267" s="13">
        <v>1093.6564511282261</v>
      </c>
      <c r="AA1267" s="13"/>
      <c r="AB1267" s="13"/>
      <c r="AC1267" s="14">
        <v>1706.3587501138425</v>
      </c>
      <c r="AD1267" s="14">
        <v>301.54979351274034</v>
      </c>
      <c r="AE1267" s="14">
        <v>1181.882356470559</v>
      </c>
      <c r="AF1267" s="14"/>
      <c r="AG1267" s="15">
        <v>0.20881206407961517</v>
      </c>
      <c r="AH1267" s="15">
        <v>0.21234240837907456</v>
      </c>
      <c r="AI1267" s="15"/>
      <c r="AJ1267" s="41">
        <f t="shared" si="38"/>
        <v>5856.1048072658559</v>
      </c>
      <c r="AK1267" s="44">
        <f t="shared" si="39"/>
        <v>0.27110386766976796</v>
      </c>
      <c r="AL1267" s="10"/>
      <c r="AM1267" s="10"/>
    </row>
    <row r="1268" spans="1:39" s="16" customFormat="1" ht="19" customHeight="1">
      <c r="A1268" s="9" t="s">
        <v>1305</v>
      </c>
      <c r="B1268" s="10" t="s">
        <v>1254</v>
      </c>
      <c r="C1268" s="10"/>
      <c r="D1268" s="10"/>
      <c r="E1268" s="11" t="s">
        <v>1341</v>
      </c>
      <c r="F1268" s="11" t="s">
        <v>249</v>
      </c>
      <c r="G1268" s="12" t="s">
        <v>1006</v>
      </c>
      <c r="H1268" s="13">
        <v>21.979744424643901</v>
      </c>
      <c r="I1268" s="13">
        <v>17.773942046171513</v>
      </c>
      <c r="J1268" s="13">
        <v>1253.8204597943252</v>
      </c>
      <c r="K1268" s="13">
        <v>2971.3229440136106</v>
      </c>
      <c r="L1268" s="13">
        <v>334.44110089529295</v>
      </c>
      <c r="M1268" s="13">
        <v>309.66978550186872</v>
      </c>
      <c r="N1268" s="13">
        <v>1300.3366127533632</v>
      </c>
      <c r="O1268" s="13">
        <v>254.46556070703372</v>
      </c>
      <c r="P1268" s="13">
        <v>17.336508382027134</v>
      </c>
      <c r="Q1268" s="13">
        <v>230.98547941077092</v>
      </c>
      <c r="R1268" s="13"/>
      <c r="S1268" s="13">
        <v>170.34450510891472</v>
      </c>
      <c r="T1268" s="13">
        <v>941.94859865207013</v>
      </c>
      <c r="U1268" s="13"/>
      <c r="V1268" s="13"/>
      <c r="W1268" s="13"/>
      <c r="X1268" s="13">
        <v>55.621421782506381</v>
      </c>
      <c r="Y1268" s="13">
        <v>7.4531617477467069</v>
      </c>
      <c r="Z1268" s="13">
        <v>1119.1111155382807</v>
      </c>
      <c r="AA1268" s="13"/>
      <c r="AB1268" s="13"/>
      <c r="AC1268" s="14">
        <v>1719.3618966691467</v>
      </c>
      <c r="AD1268" s="14">
        <v>307.93087712303969</v>
      </c>
      <c r="AE1268" s="14">
        <v>1160.7310523154317</v>
      </c>
      <c r="AF1268" s="14"/>
      <c r="AG1268" s="15">
        <v>0.21383398562300254</v>
      </c>
      <c r="AH1268" s="15">
        <v>0.21797354559763932</v>
      </c>
      <c r="AI1268" s="15"/>
      <c r="AJ1268" s="41">
        <f t="shared" si="38"/>
        <v>5859.9211174565917</v>
      </c>
      <c r="AK1268" s="44">
        <f t="shared" si="39"/>
        <v>0.3287544415321671</v>
      </c>
      <c r="AL1268" s="10"/>
      <c r="AM1268" s="10"/>
    </row>
    <row r="1269" spans="1:39" s="16" customFormat="1" ht="19" customHeight="1">
      <c r="A1269" s="9" t="s">
        <v>1306</v>
      </c>
      <c r="B1269" s="10" t="s">
        <v>1254</v>
      </c>
      <c r="C1269" s="10"/>
      <c r="D1269" s="10"/>
      <c r="E1269" s="11" t="s">
        <v>1341</v>
      </c>
      <c r="F1269" s="11" t="s">
        <v>249</v>
      </c>
      <c r="G1269" s="12" t="s">
        <v>1006</v>
      </c>
      <c r="H1269" s="13">
        <v>24.666336472370308</v>
      </c>
      <c r="I1269" s="13">
        <v>17.543860838694844</v>
      </c>
      <c r="J1269" s="13">
        <v>1312.6473585863173</v>
      </c>
      <c r="K1269" s="13">
        <v>3075.5590322856146</v>
      </c>
      <c r="L1269" s="13">
        <v>354.66930735307625</v>
      </c>
      <c r="M1269" s="13">
        <v>315.93163019837925</v>
      </c>
      <c r="N1269" s="13">
        <v>1402.9478863153506</v>
      </c>
      <c r="O1269" s="13">
        <v>275.71860461461057</v>
      </c>
      <c r="P1269" s="13">
        <v>17.374717171561468</v>
      </c>
      <c r="Q1269" s="13">
        <v>251.66151119326446</v>
      </c>
      <c r="R1269" s="13"/>
      <c r="S1269" s="13">
        <v>200.46350702975025</v>
      </c>
      <c r="T1269" s="13">
        <v>1078.3688992905375</v>
      </c>
      <c r="U1269" s="13"/>
      <c r="V1269" s="13"/>
      <c r="W1269" s="13"/>
      <c r="X1269" s="13">
        <v>63.64436712371436</v>
      </c>
      <c r="Y1269" s="13">
        <v>8.6515931040973086</v>
      </c>
      <c r="Z1269" s="13">
        <v>1097.1638440913705</v>
      </c>
      <c r="AA1269" s="13"/>
      <c r="AB1269" s="13"/>
      <c r="AC1269" s="14">
        <v>1862.9635446933148</v>
      </c>
      <c r="AD1269" s="14">
        <v>308.60954123555007</v>
      </c>
      <c r="AE1269" s="14">
        <v>1264.6307095138916</v>
      </c>
      <c r="AF1269" s="14"/>
      <c r="AG1269" s="15">
        <v>0.19734627713963335</v>
      </c>
      <c r="AH1269" s="15">
        <v>0.20105982898645208</v>
      </c>
      <c r="AI1269" s="15"/>
      <c r="AJ1269" s="41">
        <f t="shared" si="38"/>
        <v>6145.8235845403588</v>
      </c>
      <c r="AK1269" s="44">
        <f t="shared" si="39"/>
        <v>0.29297175614600135</v>
      </c>
      <c r="AL1269" s="10"/>
      <c r="AM1269" s="10"/>
    </row>
    <row r="1270" spans="1:39" s="16" customFormat="1" ht="19" customHeight="1">
      <c r="A1270" s="9" t="s">
        <v>1307</v>
      </c>
      <c r="B1270" s="10" t="s">
        <v>1308</v>
      </c>
      <c r="C1270" s="10"/>
      <c r="D1270" s="10"/>
      <c r="E1270" s="11" t="s">
        <v>1341</v>
      </c>
      <c r="F1270" s="11" t="s">
        <v>249</v>
      </c>
      <c r="G1270" s="12" t="s">
        <v>1006</v>
      </c>
      <c r="H1270" s="13">
        <v>11.045183763067223</v>
      </c>
      <c r="I1270" s="13">
        <v>4.6404517993351435</v>
      </c>
      <c r="J1270" s="13">
        <v>1161.687266674973</v>
      </c>
      <c r="K1270" s="13">
        <v>2791.923472559813</v>
      </c>
      <c r="L1270" s="13">
        <v>346.6169325203814</v>
      </c>
      <c r="M1270" s="13">
        <v>249.23333191683847</v>
      </c>
      <c r="N1270" s="13">
        <v>1485.7579490334622</v>
      </c>
      <c r="O1270" s="13">
        <v>299.78862571932069</v>
      </c>
      <c r="P1270" s="13">
        <v>10.026540994455779</v>
      </c>
      <c r="Q1270" s="13">
        <v>292.29988157097659</v>
      </c>
      <c r="R1270" s="13"/>
      <c r="S1270" s="13">
        <v>209.50878410498754</v>
      </c>
      <c r="T1270" s="13">
        <v>1087.9442398582491</v>
      </c>
      <c r="U1270" s="13"/>
      <c r="V1270" s="13"/>
      <c r="W1270" s="13"/>
      <c r="X1270" s="13">
        <v>56.681690141990352</v>
      </c>
      <c r="Y1270" s="13">
        <v>7.9555077964776313</v>
      </c>
      <c r="Z1270" s="13">
        <v>842.88642899329</v>
      </c>
      <c r="AA1270" s="13"/>
      <c r="AB1270" s="13"/>
      <c r="AC1270" s="14">
        <v>2025.5988224278426</v>
      </c>
      <c r="AD1270" s="14">
        <v>178.09131428873499</v>
      </c>
      <c r="AE1270" s="14">
        <v>1468.843625984807</v>
      </c>
      <c r="AF1270" s="14"/>
      <c r="AG1270" s="15">
        <v>0.10192831441229372</v>
      </c>
      <c r="AH1270" s="15">
        <v>0.10324718973910003</v>
      </c>
      <c r="AI1270" s="15"/>
      <c r="AJ1270" s="41">
        <f t="shared" si="38"/>
        <v>5785.9856207886287</v>
      </c>
      <c r="AK1270" s="44">
        <f t="shared" si="39"/>
        <v>0.22908649431271558</v>
      </c>
      <c r="AL1270" s="10"/>
      <c r="AM1270" s="10"/>
    </row>
    <row r="1271" spans="1:39" s="16" customFormat="1" ht="19" customHeight="1">
      <c r="A1271" s="9" t="s">
        <v>1309</v>
      </c>
      <c r="B1271" s="10" t="s">
        <v>1308</v>
      </c>
      <c r="C1271" s="10"/>
      <c r="D1271" s="10"/>
      <c r="E1271" s="11" t="s">
        <v>1341</v>
      </c>
      <c r="F1271" s="11" t="s">
        <v>249</v>
      </c>
      <c r="G1271" s="12" t="s">
        <v>1006</v>
      </c>
      <c r="H1271" s="13">
        <v>12.384539588767856</v>
      </c>
      <c r="I1271" s="13">
        <v>5.405746473385995</v>
      </c>
      <c r="J1271" s="13">
        <v>1122.5617253767684</v>
      </c>
      <c r="K1271" s="13">
        <v>2830.7425676843354</v>
      </c>
      <c r="L1271" s="13">
        <v>341.51257923284032</v>
      </c>
      <c r="M1271" s="13">
        <v>244.75722704855289</v>
      </c>
      <c r="N1271" s="13">
        <v>1407.2013783819257</v>
      </c>
      <c r="O1271" s="13">
        <v>292.25655967384063</v>
      </c>
      <c r="P1271" s="13">
        <v>9.8216727322144735</v>
      </c>
      <c r="Q1271" s="13">
        <v>281.73583534960648</v>
      </c>
      <c r="R1271" s="13"/>
      <c r="S1271" s="13">
        <v>198.23477148882753</v>
      </c>
      <c r="T1271" s="13">
        <v>1058.5787228562224</v>
      </c>
      <c r="U1271" s="13"/>
      <c r="V1271" s="13"/>
      <c r="W1271" s="13"/>
      <c r="X1271" s="13">
        <v>55.861784404287263</v>
      </c>
      <c r="Y1271" s="13">
        <v>7.5309955752025166</v>
      </c>
      <c r="Z1271" s="13">
        <v>855.95742552058869</v>
      </c>
      <c r="AA1271" s="13"/>
      <c r="AB1271" s="13"/>
      <c r="AC1271" s="14">
        <v>1974.7064842827069</v>
      </c>
      <c r="AD1271" s="14">
        <v>174.45244639812566</v>
      </c>
      <c r="AE1271" s="14">
        <v>1415.7579665809369</v>
      </c>
      <c r="AF1271" s="14"/>
      <c r="AG1271" s="15">
        <v>0.10290769829702114</v>
      </c>
      <c r="AH1271" s="15">
        <v>0.10433530282338914</v>
      </c>
      <c r="AI1271" s="15"/>
      <c r="AJ1271" s="41">
        <f t="shared" si="38"/>
        <v>5702.0182506758692</v>
      </c>
      <c r="AK1271" s="44">
        <f t="shared" si="39"/>
        <v>0.23121306121490612</v>
      </c>
      <c r="AL1271" s="10"/>
      <c r="AM1271" s="10"/>
    </row>
    <row r="1272" spans="1:39" s="16" customFormat="1" ht="19" customHeight="1">
      <c r="A1272" s="9" t="s">
        <v>1310</v>
      </c>
      <c r="B1272" s="10" t="s">
        <v>1308</v>
      </c>
      <c r="C1272" s="10"/>
      <c r="D1272" s="10"/>
      <c r="E1272" s="11" t="s">
        <v>1341</v>
      </c>
      <c r="F1272" s="11" t="s">
        <v>249</v>
      </c>
      <c r="G1272" s="12" t="s">
        <v>1006</v>
      </c>
      <c r="H1272" s="13">
        <v>10.30196873406871</v>
      </c>
      <c r="I1272" s="13">
        <v>4.7429560536922724</v>
      </c>
      <c r="J1272" s="13">
        <v>1024.3565980761482</v>
      </c>
      <c r="K1272" s="13">
        <v>2515.1995970953585</v>
      </c>
      <c r="L1272" s="13">
        <v>309.47457279956018</v>
      </c>
      <c r="M1272" s="13">
        <v>322.7016826603907</v>
      </c>
      <c r="N1272" s="13">
        <v>1274.9245611474537</v>
      </c>
      <c r="O1272" s="13">
        <v>264.43299656107115</v>
      </c>
      <c r="P1272" s="13">
        <v>13.437043931469438</v>
      </c>
      <c r="Q1272" s="13">
        <v>253.61352253534091</v>
      </c>
      <c r="R1272" s="13"/>
      <c r="S1272" s="13">
        <v>183.09355483989785</v>
      </c>
      <c r="T1272" s="13">
        <v>1006.6734565813017</v>
      </c>
      <c r="U1272" s="13"/>
      <c r="V1272" s="13"/>
      <c r="W1272" s="13"/>
      <c r="X1272" s="13">
        <v>54.764860281230668</v>
      </c>
      <c r="Y1272" s="13">
        <v>7.2807624709983623</v>
      </c>
      <c r="Z1272" s="13">
        <v>906.24857501029646</v>
      </c>
      <c r="AA1272" s="13"/>
      <c r="AB1272" s="13"/>
      <c r="AC1272" s="14">
        <v>1786.7094362234538</v>
      </c>
      <c r="AD1272" s="14">
        <v>238.6686311095815</v>
      </c>
      <c r="AE1272" s="14">
        <v>1274.4398117353815</v>
      </c>
      <c r="AF1272" s="14"/>
      <c r="AG1272" s="15">
        <v>0.15593400502685389</v>
      </c>
      <c r="AH1272" s="15">
        <v>0.15816439039073865</v>
      </c>
      <c r="AI1272" s="15"/>
      <c r="AJ1272" s="41">
        <f t="shared" si="38"/>
        <v>5123.9553291185202</v>
      </c>
      <c r="AK1272" s="44">
        <f t="shared" si="39"/>
        <v>0.32056242324725331</v>
      </c>
      <c r="AL1272" s="10"/>
      <c r="AM1272" s="10"/>
    </row>
    <row r="1273" spans="1:39" s="16" customFormat="1" ht="19" customHeight="1">
      <c r="A1273" s="9" t="s">
        <v>1311</v>
      </c>
      <c r="B1273" s="10" t="s">
        <v>1308</v>
      </c>
      <c r="C1273" s="10"/>
      <c r="D1273" s="10"/>
      <c r="E1273" s="11" t="s">
        <v>1341</v>
      </c>
      <c r="F1273" s="11" t="s">
        <v>249</v>
      </c>
      <c r="G1273" s="12" t="s">
        <v>1006</v>
      </c>
      <c r="H1273" s="13">
        <v>13.418909718308438</v>
      </c>
      <c r="I1273" s="13">
        <v>6.0996251068145559</v>
      </c>
      <c r="J1273" s="13">
        <v>1188.4304560475152</v>
      </c>
      <c r="K1273" s="13">
        <v>2962.4273452951352</v>
      </c>
      <c r="L1273" s="13">
        <v>356.61401485195438</v>
      </c>
      <c r="M1273" s="13">
        <v>233.58427720955314</v>
      </c>
      <c r="N1273" s="13">
        <v>1512.6812206184668</v>
      </c>
      <c r="O1273" s="13">
        <v>310.1563363343023</v>
      </c>
      <c r="P1273" s="13">
        <v>10.508963919245492</v>
      </c>
      <c r="Q1273" s="13">
        <v>294.94459260742326</v>
      </c>
      <c r="R1273" s="13"/>
      <c r="S1273" s="13">
        <v>217.86008907800732</v>
      </c>
      <c r="T1273" s="13">
        <v>1141.2026082934899</v>
      </c>
      <c r="U1273" s="13"/>
      <c r="V1273" s="13"/>
      <c r="W1273" s="13"/>
      <c r="X1273" s="13">
        <v>60.898989896475939</v>
      </c>
      <c r="Y1273" s="13">
        <v>8.328883364391956</v>
      </c>
      <c r="Z1273" s="13">
        <v>829.83447993671814</v>
      </c>
      <c r="AA1273" s="13"/>
      <c r="AB1273" s="13"/>
      <c r="AC1273" s="14">
        <v>2095.6509211777184</v>
      </c>
      <c r="AD1273" s="14">
        <v>186.66010513757536</v>
      </c>
      <c r="AE1273" s="14">
        <v>1482.1336311930816</v>
      </c>
      <c r="AF1273" s="14"/>
      <c r="AG1273" s="15">
        <v>0.10434396057408545</v>
      </c>
      <c r="AH1273" s="15">
        <v>0.10591277664837283</v>
      </c>
      <c r="AI1273" s="15"/>
      <c r="AJ1273" s="41">
        <f t="shared" si="38"/>
        <v>6020.1530368130716</v>
      </c>
      <c r="AK1273" s="44">
        <f t="shared" si="39"/>
        <v>0.20468256513963459</v>
      </c>
      <c r="AL1273" s="10"/>
      <c r="AM1273" s="10"/>
    </row>
    <row r="1274" spans="1:39" s="16" customFormat="1" ht="19" customHeight="1">
      <c r="A1274" s="9" t="s">
        <v>1312</v>
      </c>
      <c r="B1274" s="10" t="s">
        <v>1308</v>
      </c>
      <c r="C1274" s="10"/>
      <c r="D1274" s="10"/>
      <c r="E1274" s="11" t="s">
        <v>1341</v>
      </c>
      <c r="F1274" s="11" t="s">
        <v>249</v>
      </c>
      <c r="G1274" s="12" t="s">
        <v>1006</v>
      </c>
      <c r="H1274" s="13">
        <v>12.884704187736057</v>
      </c>
      <c r="I1274" s="13">
        <v>6.6718212887533914</v>
      </c>
      <c r="J1274" s="13">
        <v>1172.2372527896191</v>
      </c>
      <c r="K1274" s="13">
        <v>2758.1646763055951</v>
      </c>
      <c r="L1274" s="13">
        <v>331.13410867080194</v>
      </c>
      <c r="M1274" s="13">
        <v>235.28755333255918</v>
      </c>
      <c r="N1274" s="13">
        <v>1373.8235923108255</v>
      </c>
      <c r="O1274" s="13">
        <v>277.46249884570062</v>
      </c>
      <c r="P1274" s="13">
        <v>10.139117986619548</v>
      </c>
      <c r="Q1274" s="13">
        <v>259.88902837579059</v>
      </c>
      <c r="R1274" s="13"/>
      <c r="S1274" s="13">
        <v>193.41582627750904</v>
      </c>
      <c r="T1274" s="13">
        <v>1057.1837137498685</v>
      </c>
      <c r="U1274" s="13"/>
      <c r="V1274" s="13"/>
      <c r="W1274" s="13"/>
      <c r="X1274" s="13">
        <v>65.222794266354924</v>
      </c>
      <c r="Y1274" s="13">
        <v>8.6466640823086252</v>
      </c>
      <c r="Z1274" s="13">
        <v>744.2363783642021</v>
      </c>
      <c r="AA1274" s="13"/>
      <c r="AB1274" s="13"/>
      <c r="AC1274" s="14">
        <v>1874.7466138223017</v>
      </c>
      <c r="AD1274" s="14">
        <v>180.09090562379305</v>
      </c>
      <c r="AE1274" s="14">
        <v>1305.9750169637716</v>
      </c>
      <c r="AF1274" s="14"/>
      <c r="AG1274" s="15">
        <v>0.11323902342204398</v>
      </c>
      <c r="AH1274" s="15">
        <v>0.11509409929678985</v>
      </c>
      <c r="AI1274" s="15"/>
      <c r="AJ1274" s="41">
        <f t="shared" si="38"/>
        <v>5635.3596300768422</v>
      </c>
      <c r="AK1274" s="44">
        <f t="shared" si="39"/>
        <v>0.22256070564877112</v>
      </c>
      <c r="AL1274" s="10"/>
      <c r="AM1274" s="10"/>
    </row>
    <row r="1275" spans="1:39" s="16" customFormat="1" ht="19" customHeight="1">
      <c r="A1275" s="9" t="s">
        <v>1313</v>
      </c>
      <c r="B1275" s="10" t="s">
        <v>1308</v>
      </c>
      <c r="C1275" s="10"/>
      <c r="D1275" s="10"/>
      <c r="E1275" s="11" t="s">
        <v>1341</v>
      </c>
      <c r="F1275" s="11" t="s">
        <v>249</v>
      </c>
      <c r="G1275" s="12" t="s">
        <v>1006</v>
      </c>
      <c r="H1275" s="13">
        <v>9.5211700064483846</v>
      </c>
      <c r="I1275" s="13">
        <v>5.0113669193850017</v>
      </c>
      <c r="J1275" s="13">
        <v>1025.0528953051485</v>
      </c>
      <c r="K1275" s="13">
        <v>2470.211869857631</v>
      </c>
      <c r="L1275" s="13">
        <v>307.72764747383746</v>
      </c>
      <c r="M1275" s="13">
        <v>248.59915869928537</v>
      </c>
      <c r="N1275" s="13">
        <v>1304.5719391094169</v>
      </c>
      <c r="O1275" s="13">
        <v>274.83462218050431</v>
      </c>
      <c r="P1275" s="13">
        <v>11.582748234274105</v>
      </c>
      <c r="Q1275" s="13">
        <v>266.24159067303049</v>
      </c>
      <c r="R1275" s="13"/>
      <c r="S1275" s="13">
        <v>197.03612988556492</v>
      </c>
      <c r="T1275" s="13">
        <v>1042.8532864262343</v>
      </c>
      <c r="U1275" s="13"/>
      <c r="V1275" s="13"/>
      <c r="W1275" s="13"/>
      <c r="X1275" s="13">
        <v>53.706280185841528</v>
      </c>
      <c r="Y1275" s="13">
        <v>7.086707660559517</v>
      </c>
      <c r="Z1275" s="13">
        <v>676.73559141662099</v>
      </c>
      <c r="AA1275" s="13"/>
      <c r="AB1275" s="13"/>
      <c r="AC1275" s="14">
        <v>1856.990690408813</v>
      </c>
      <c r="AD1275" s="14">
        <v>205.73265069758625</v>
      </c>
      <c r="AE1275" s="14">
        <v>1337.8974405679924</v>
      </c>
      <c r="AF1275" s="14"/>
      <c r="AG1275" s="15">
        <v>0.12878864126906725</v>
      </c>
      <c r="AH1275" s="15">
        <v>0.13052296985123349</v>
      </c>
      <c r="AI1275" s="15"/>
      <c r="AJ1275" s="41">
        <f t="shared" si="38"/>
        <v>5107.5643517460339</v>
      </c>
      <c r="AK1275" s="44">
        <f t="shared" si="39"/>
        <v>0.23838363644728267</v>
      </c>
      <c r="AL1275" s="10"/>
      <c r="AM1275" s="10"/>
    </row>
    <row r="1276" spans="1:39" s="16" customFormat="1" ht="19" customHeight="1">
      <c r="A1276" s="9" t="s">
        <v>1314</v>
      </c>
      <c r="B1276" s="10" t="s">
        <v>1308</v>
      </c>
      <c r="C1276" s="10"/>
      <c r="D1276" s="10"/>
      <c r="E1276" s="11" t="s">
        <v>1341</v>
      </c>
      <c r="F1276" s="11" t="s">
        <v>249</v>
      </c>
      <c r="G1276" s="12" t="s">
        <v>1006</v>
      </c>
      <c r="H1276" s="13">
        <v>9.3543851062137211</v>
      </c>
      <c r="I1276" s="13">
        <v>4.8978218806865268</v>
      </c>
      <c r="J1276" s="13">
        <v>1101.5451803636322</v>
      </c>
      <c r="K1276" s="13">
        <v>2641.50207625741</v>
      </c>
      <c r="L1276" s="13">
        <v>330.93467853189219</v>
      </c>
      <c r="M1276" s="13">
        <v>250.91820389799102</v>
      </c>
      <c r="N1276" s="13">
        <v>1391.255990082456</v>
      </c>
      <c r="O1276" s="13">
        <v>285.66054962462562</v>
      </c>
      <c r="P1276" s="13">
        <v>9.9551143034811496</v>
      </c>
      <c r="Q1276" s="13">
        <v>278.08138509166292</v>
      </c>
      <c r="R1276" s="13"/>
      <c r="S1276" s="13">
        <v>206.78972591919577</v>
      </c>
      <c r="T1276" s="13">
        <v>1068.9078560007461</v>
      </c>
      <c r="U1276" s="13"/>
      <c r="V1276" s="13"/>
      <c r="W1276" s="13"/>
      <c r="X1276" s="13">
        <v>60.273443324133851</v>
      </c>
      <c r="Y1276" s="13">
        <v>7.6198529635701329</v>
      </c>
      <c r="Z1276" s="13">
        <v>819.75527544167437</v>
      </c>
      <c r="AA1276" s="13"/>
      <c r="AB1276" s="13"/>
      <c r="AC1276" s="14">
        <v>1930.138848815038</v>
      </c>
      <c r="AD1276" s="14">
        <v>176.82263416485171</v>
      </c>
      <c r="AE1276" s="14">
        <v>1397.3938949329795</v>
      </c>
      <c r="AF1276" s="14"/>
      <c r="AG1276" s="15">
        <v>0.10627852392862397</v>
      </c>
      <c r="AH1276" s="15">
        <v>0.10766738354212226</v>
      </c>
      <c r="AI1276" s="15"/>
      <c r="AJ1276" s="41">
        <f t="shared" si="38"/>
        <v>5465.2379252353903</v>
      </c>
      <c r="AK1276" s="44">
        <f t="shared" si="39"/>
        <v>0.23474259496677877</v>
      </c>
      <c r="AL1276" s="10"/>
      <c r="AM1276" s="10"/>
    </row>
    <row r="1277" spans="1:39" s="16" customFormat="1" ht="19" customHeight="1">
      <c r="A1277" s="9" t="s">
        <v>1315</v>
      </c>
      <c r="B1277" s="10" t="s">
        <v>1308</v>
      </c>
      <c r="C1277" s="10"/>
      <c r="D1277" s="10"/>
      <c r="E1277" s="11" t="s">
        <v>1341</v>
      </c>
      <c r="F1277" s="11" t="s">
        <v>249</v>
      </c>
      <c r="G1277" s="12" t="s">
        <v>1006</v>
      </c>
      <c r="H1277" s="13">
        <v>11.316696290682499</v>
      </c>
      <c r="I1277" s="13">
        <v>5.375348451010197</v>
      </c>
      <c r="J1277" s="13">
        <v>1158.59768294585</v>
      </c>
      <c r="K1277" s="13">
        <v>2730.9985221924444</v>
      </c>
      <c r="L1277" s="13">
        <v>338.95330466544084</v>
      </c>
      <c r="M1277" s="13">
        <v>230.85004396756605</v>
      </c>
      <c r="N1277" s="13">
        <v>1411.8305295751138</v>
      </c>
      <c r="O1277" s="13">
        <v>295.35220068719497</v>
      </c>
      <c r="P1277" s="13">
        <v>10.553992644142616</v>
      </c>
      <c r="Q1277" s="13">
        <v>277.07105656112378</v>
      </c>
      <c r="R1277" s="13"/>
      <c r="S1277" s="13">
        <v>202.77179254750348</v>
      </c>
      <c r="T1277" s="13">
        <v>1064.794693834514</v>
      </c>
      <c r="U1277" s="13"/>
      <c r="V1277" s="13"/>
      <c r="W1277" s="13"/>
      <c r="X1277" s="13">
        <v>57.793221658088427</v>
      </c>
      <c r="Y1277" s="13">
        <v>7.9092468163698895</v>
      </c>
      <c r="Z1277" s="13">
        <v>720.47457276319176</v>
      </c>
      <c r="AA1277" s="13"/>
      <c r="AB1277" s="13"/>
      <c r="AC1277" s="14">
        <v>1995.6229776161822</v>
      </c>
      <c r="AD1277" s="14">
        <v>187.45990486931822</v>
      </c>
      <c r="AE1277" s="14">
        <v>1392.3168671413255</v>
      </c>
      <c r="AF1277" s="14"/>
      <c r="AG1277" s="15">
        <v>0.11066306573264184</v>
      </c>
      <c r="AH1277" s="15">
        <v>0.11246052386457467</v>
      </c>
      <c r="AI1277" s="15"/>
      <c r="AJ1277" s="41">
        <f t="shared" si="38"/>
        <v>5640.3800393788497</v>
      </c>
      <c r="AK1277" s="44">
        <f t="shared" si="39"/>
        <v>0.21680239890775022</v>
      </c>
      <c r="AL1277" s="10"/>
      <c r="AM1277" s="10"/>
    </row>
    <row r="1278" spans="1:39" s="16" customFormat="1" ht="19" customHeight="1">
      <c r="A1278" s="9" t="s">
        <v>1316</v>
      </c>
      <c r="B1278" s="10" t="s">
        <v>1308</v>
      </c>
      <c r="C1278" s="10"/>
      <c r="D1278" s="10"/>
      <c r="E1278" s="11" t="s">
        <v>1341</v>
      </c>
      <c r="F1278" s="11" t="s">
        <v>249</v>
      </c>
      <c r="G1278" s="12" t="s">
        <v>1006</v>
      </c>
      <c r="H1278" s="13">
        <v>14.367411855672435</v>
      </c>
      <c r="I1278" s="13">
        <v>9.9060137123840057</v>
      </c>
      <c r="J1278" s="13">
        <v>1216.8202742510903</v>
      </c>
      <c r="K1278" s="13">
        <v>2897.8353251378612</v>
      </c>
      <c r="L1278" s="13">
        <v>330.27221859983848</v>
      </c>
      <c r="M1278" s="13">
        <v>214.83720939195092</v>
      </c>
      <c r="N1278" s="13">
        <v>1304.70459705027</v>
      </c>
      <c r="O1278" s="13">
        <v>260.11261655942235</v>
      </c>
      <c r="P1278" s="13">
        <v>9.1468326922341401</v>
      </c>
      <c r="Q1278" s="13">
        <v>242.23591334183246</v>
      </c>
      <c r="R1278" s="13"/>
      <c r="S1278" s="13">
        <v>185.48082163673962</v>
      </c>
      <c r="T1278" s="13">
        <v>1080.6547904962517</v>
      </c>
      <c r="U1278" s="13"/>
      <c r="V1278" s="13"/>
      <c r="W1278" s="13"/>
      <c r="X1278" s="13">
        <v>71.805212624628226</v>
      </c>
      <c r="Y1278" s="13">
        <v>9.6869350869722783</v>
      </c>
      <c r="Z1278" s="13">
        <v>792.41997245494974</v>
      </c>
      <c r="AA1278" s="13"/>
      <c r="AB1278" s="13"/>
      <c r="AC1278" s="14">
        <v>1757.5176794555564</v>
      </c>
      <c r="AD1278" s="14">
        <v>162.46594479989594</v>
      </c>
      <c r="AE1278" s="14">
        <v>1217.2658961901127</v>
      </c>
      <c r="AF1278" s="14"/>
      <c r="AG1278" s="15">
        <v>0.10922874936515886</v>
      </c>
      <c r="AH1278" s="15">
        <v>0.11107587982096086</v>
      </c>
      <c r="AI1278" s="15"/>
      <c r="AJ1278" s="41">
        <f t="shared" si="38"/>
        <v>5749.6324150390592</v>
      </c>
      <c r="AK1278" s="44">
        <f t="shared" si="39"/>
        <v>0.19880281037138112</v>
      </c>
      <c r="AL1278" s="10"/>
      <c r="AM1278" s="10"/>
    </row>
    <row r="1279" spans="1:39" s="16" customFormat="1" ht="19" customHeight="1">
      <c r="A1279" s="9" t="s">
        <v>1317</v>
      </c>
      <c r="B1279" s="10" t="s">
        <v>1308</v>
      </c>
      <c r="C1279" s="10"/>
      <c r="D1279" s="10"/>
      <c r="E1279" s="11" t="s">
        <v>1341</v>
      </c>
      <c r="F1279" s="11" t="s">
        <v>249</v>
      </c>
      <c r="G1279" s="12" t="s">
        <v>1006</v>
      </c>
      <c r="H1279" s="13">
        <v>12.047445516575946</v>
      </c>
      <c r="I1279" s="13">
        <v>4.6679145297617097</v>
      </c>
      <c r="J1279" s="13">
        <v>1080.1964103294488</v>
      </c>
      <c r="K1279" s="13">
        <v>2630.4254863978431</v>
      </c>
      <c r="L1279" s="13">
        <v>330.85595423685851</v>
      </c>
      <c r="M1279" s="13">
        <v>282.42334593951904</v>
      </c>
      <c r="N1279" s="13">
        <v>1431.174051723523</v>
      </c>
      <c r="O1279" s="13">
        <v>296.86834913374179</v>
      </c>
      <c r="P1279" s="13">
        <v>11.999381376452449</v>
      </c>
      <c r="Q1279" s="13">
        <v>282.81800632921971</v>
      </c>
      <c r="R1279" s="13"/>
      <c r="S1279" s="13">
        <v>208.69855270327105</v>
      </c>
      <c r="T1279" s="13">
        <v>1085.2422395749256</v>
      </c>
      <c r="U1279" s="13"/>
      <c r="V1279" s="13"/>
      <c r="W1279" s="13"/>
      <c r="X1279" s="13">
        <v>59.867616039792615</v>
      </c>
      <c r="Y1279" s="13">
        <v>7.4087312464857753</v>
      </c>
      <c r="Z1279" s="13">
        <v>989.67693371708685</v>
      </c>
      <c r="AA1279" s="13"/>
      <c r="AB1279" s="13"/>
      <c r="AC1279" s="14">
        <v>2005.8672238766337</v>
      </c>
      <c r="AD1279" s="14">
        <v>213.13288412881795</v>
      </c>
      <c r="AE1279" s="14">
        <v>1421.1960117046217</v>
      </c>
      <c r="AF1279" s="14"/>
      <c r="AG1279" s="15">
        <v>0.12438223019405069</v>
      </c>
      <c r="AH1279" s="15">
        <v>0.12623284805911777</v>
      </c>
      <c r="AI1279" s="15"/>
      <c r="AJ1279" s="41">
        <f t="shared" si="38"/>
        <v>5472.6519026876731</v>
      </c>
      <c r="AK1279" s="44">
        <f t="shared" si="39"/>
        <v>0.26023991293422227</v>
      </c>
      <c r="AL1279" s="10"/>
      <c r="AM1279" s="10"/>
    </row>
    <row r="1280" spans="1:39" s="16" customFormat="1" ht="19" customHeight="1">
      <c r="A1280" s="9" t="s">
        <v>1318</v>
      </c>
      <c r="B1280" s="10" t="s">
        <v>1308</v>
      </c>
      <c r="C1280" s="10"/>
      <c r="D1280" s="10"/>
      <c r="E1280" s="11" t="s">
        <v>1341</v>
      </c>
      <c r="F1280" s="11" t="s">
        <v>249</v>
      </c>
      <c r="G1280" s="12" t="s">
        <v>1006</v>
      </c>
      <c r="H1280" s="13">
        <v>25.210089609006936</v>
      </c>
      <c r="I1280" s="13">
        <v>9.8642219089870284</v>
      </c>
      <c r="J1280" s="13">
        <v>1423.6335687070184</v>
      </c>
      <c r="K1280" s="13">
        <v>3385.6625420533933</v>
      </c>
      <c r="L1280" s="13">
        <v>397.03703392405436</v>
      </c>
      <c r="M1280" s="13">
        <v>212.99816970693547</v>
      </c>
      <c r="N1280" s="13">
        <v>1594.2476850690846</v>
      </c>
      <c r="O1280" s="13">
        <v>315.27207967195005</v>
      </c>
      <c r="P1280" s="13">
        <v>10.153904810169507</v>
      </c>
      <c r="Q1280" s="13">
        <v>311.26893113993316</v>
      </c>
      <c r="R1280" s="13"/>
      <c r="S1280" s="13">
        <v>233.76831012058415</v>
      </c>
      <c r="T1280" s="13">
        <v>1357.561543025769</v>
      </c>
      <c r="U1280" s="13"/>
      <c r="V1280" s="13"/>
      <c r="W1280" s="13"/>
      <c r="X1280" s="13">
        <v>86.96371375403686</v>
      </c>
      <c r="Y1280" s="13">
        <v>11.184319781905911</v>
      </c>
      <c r="Z1280" s="13">
        <v>944.69288797778268</v>
      </c>
      <c r="AA1280" s="13"/>
      <c r="AB1280" s="13"/>
      <c r="AC1280" s="14">
        <v>2130.2167545402031</v>
      </c>
      <c r="AD1280" s="14">
        <v>180.35354902610138</v>
      </c>
      <c r="AE1280" s="14">
        <v>1564.1654831152418</v>
      </c>
      <c r="AF1280" s="14"/>
      <c r="AG1280" s="15">
        <v>9.7636647982889083E-2</v>
      </c>
      <c r="AH1280" s="15">
        <v>9.8803299012604692E-2</v>
      </c>
      <c r="AI1280" s="15"/>
      <c r="AJ1280" s="41">
        <f t="shared" si="38"/>
        <v>6800.5808297535505</v>
      </c>
      <c r="AK1280" s="44">
        <f t="shared" si="39"/>
        <v>0.15689761602424265</v>
      </c>
      <c r="AL1280" s="10"/>
      <c r="AM1280" s="10"/>
    </row>
    <row r="1281" spans="1:39" s="16" customFormat="1" ht="19" customHeight="1">
      <c r="A1281" s="9" t="s">
        <v>1319</v>
      </c>
      <c r="B1281" s="10" t="s">
        <v>1308</v>
      </c>
      <c r="C1281" s="10"/>
      <c r="D1281" s="10"/>
      <c r="E1281" s="11" t="s">
        <v>1341</v>
      </c>
      <c r="F1281" s="11" t="s">
        <v>249</v>
      </c>
      <c r="G1281" s="12" t="s">
        <v>1006</v>
      </c>
      <c r="H1281" s="13">
        <v>14.546826689170146</v>
      </c>
      <c r="I1281" s="13">
        <v>11.963876815281502</v>
      </c>
      <c r="J1281" s="13">
        <v>1050.4433698701812</v>
      </c>
      <c r="K1281" s="13">
        <v>2572.4221386276854</v>
      </c>
      <c r="L1281" s="13">
        <v>310.9405963150395</v>
      </c>
      <c r="M1281" s="13">
        <v>215.21164836166378</v>
      </c>
      <c r="N1281" s="13">
        <v>1236.7100243021591</v>
      </c>
      <c r="O1281" s="13">
        <v>252.47889997611122</v>
      </c>
      <c r="P1281" s="13">
        <v>11.099631657367478</v>
      </c>
      <c r="Q1281" s="13">
        <v>237.94332247140539</v>
      </c>
      <c r="R1281" s="13"/>
      <c r="S1281" s="13">
        <v>180.6118194324211</v>
      </c>
      <c r="T1281" s="13">
        <v>1086.6897140733538</v>
      </c>
      <c r="U1281" s="13"/>
      <c r="V1281" s="13"/>
      <c r="W1281" s="13"/>
      <c r="X1281" s="13">
        <v>74.184909315886756</v>
      </c>
      <c r="Y1281" s="13">
        <v>10.903496505694548</v>
      </c>
      <c r="Z1281" s="13">
        <v>460.07643033042672</v>
      </c>
      <c r="AA1281" s="13"/>
      <c r="AB1281" s="13"/>
      <c r="AC1281" s="14">
        <v>1705.938513352103</v>
      </c>
      <c r="AD1281" s="14">
        <v>197.15153920723765</v>
      </c>
      <c r="AE1281" s="14">
        <v>1195.6950877960069</v>
      </c>
      <c r="AF1281" s="14"/>
      <c r="AG1281" s="15">
        <v>0.13589003044990194</v>
      </c>
      <c r="AH1281" s="15">
        <v>0.13804105269621272</v>
      </c>
      <c r="AI1281" s="15"/>
      <c r="AJ1281" s="41">
        <f t="shared" si="38"/>
        <v>5170.5161291150653</v>
      </c>
      <c r="AK1281" s="44">
        <f t="shared" si="39"/>
        <v>0.19804332881275119</v>
      </c>
      <c r="AL1281" s="10"/>
      <c r="AM1281" s="10"/>
    </row>
    <row r="1282" spans="1:39" s="16" customFormat="1" ht="19" customHeight="1">
      <c r="A1282" s="9" t="s">
        <v>1320</v>
      </c>
      <c r="B1282" s="10" t="s">
        <v>1308</v>
      </c>
      <c r="C1282" s="10"/>
      <c r="D1282" s="10"/>
      <c r="E1282" s="11" t="s">
        <v>1341</v>
      </c>
      <c r="F1282" s="11" t="s">
        <v>249</v>
      </c>
      <c r="G1282" s="12" t="s">
        <v>1006</v>
      </c>
      <c r="H1282" s="13">
        <v>39.456362114177182</v>
      </c>
      <c r="I1282" s="13">
        <v>11.459865650929206</v>
      </c>
      <c r="J1282" s="13">
        <v>1795.7835815873616</v>
      </c>
      <c r="K1282" s="13">
        <v>4455.0500266561621</v>
      </c>
      <c r="L1282" s="13">
        <v>577.2412184313672</v>
      </c>
      <c r="M1282" s="13">
        <v>264.49116633659611</v>
      </c>
      <c r="N1282" s="13">
        <v>2518.3874497797242</v>
      </c>
      <c r="O1282" s="13">
        <v>533.73703342608371</v>
      </c>
      <c r="P1282" s="13">
        <v>16.626278643846344</v>
      </c>
      <c r="Q1282" s="13">
        <v>515.1021921389123</v>
      </c>
      <c r="R1282" s="13"/>
      <c r="S1282" s="13">
        <v>375.40611326354741</v>
      </c>
      <c r="T1282" s="13">
        <v>1921.8856777563917</v>
      </c>
      <c r="U1282" s="13"/>
      <c r="V1282" s="13"/>
      <c r="W1282" s="13"/>
      <c r="X1282" s="13">
        <v>105.09891782205219</v>
      </c>
      <c r="Y1282" s="13">
        <v>13.288078922703521</v>
      </c>
      <c r="Z1282" s="13">
        <v>1027.5620223141668</v>
      </c>
      <c r="AA1282" s="13"/>
      <c r="AB1282" s="13"/>
      <c r="AC1282" s="14">
        <v>3606.3313069329984</v>
      </c>
      <c r="AD1282" s="14">
        <v>295.31578408252835</v>
      </c>
      <c r="AE1282" s="14">
        <v>2588.4532268287048</v>
      </c>
      <c r="AF1282" s="14"/>
      <c r="AG1282" s="15">
        <v>9.5343359393067262E-2</v>
      </c>
      <c r="AH1282" s="15">
        <v>9.6657083768068225E-2</v>
      </c>
      <c r="AI1282" s="15"/>
      <c r="AJ1282" s="41">
        <f t="shared" si="38"/>
        <v>9346.4622764546148</v>
      </c>
      <c r="AK1282" s="44">
        <f t="shared" si="39"/>
        <v>0.13762065527506451</v>
      </c>
      <c r="AL1282" s="10"/>
      <c r="AM1282" s="10"/>
    </row>
    <row r="1283" spans="1:39" s="16" customFormat="1" ht="19" customHeight="1">
      <c r="A1283" s="9" t="s">
        <v>1321</v>
      </c>
      <c r="B1283" s="10" t="s">
        <v>1308</v>
      </c>
      <c r="C1283" s="10"/>
      <c r="D1283" s="10"/>
      <c r="E1283" s="11" t="s">
        <v>1341</v>
      </c>
      <c r="F1283" s="11" t="s">
        <v>249</v>
      </c>
      <c r="G1283" s="12" t="s">
        <v>1006</v>
      </c>
      <c r="H1283" s="13">
        <v>15.725176446381377</v>
      </c>
      <c r="I1283" s="13">
        <v>14.672110126630386</v>
      </c>
      <c r="J1283" s="13">
        <v>711.840276959486</v>
      </c>
      <c r="K1283" s="13">
        <v>1820.8320613909564</v>
      </c>
      <c r="L1283" s="13">
        <v>256.74589605020026</v>
      </c>
      <c r="M1283" s="13">
        <v>127.90143678590997</v>
      </c>
      <c r="N1283" s="13">
        <v>1136.0095710676828</v>
      </c>
      <c r="O1283" s="13">
        <v>267.54350362420024</v>
      </c>
      <c r="P1283" s="13">
        <v>10.735427722343118</v>
      </c>
      <c r="Q1283" s="13">
        <v>300.81287566529193</v>
      </c>
      <c r="R1283" s="13"/>
      <c r="S1283" s="13">
        <v>256.68778111156161</v>
      </c>
      <c r="T1283" s="13">
        <v>1791.0880532040178</v>
      </c>
      <c r="U1283" s="13"/>
      <c r="V1283" s="13"/>
      <c r="W1283" s="13"/>
      <c r="X1283" s="13">
        <v>147.61876131460033</v>
      </c>
      <c r="Y1283" s="13">
        <v>21.029279135400557</v>
      </c>
      <c r="Z1283" s="13">
        <v>525.47263824957997</v>
      </c>
      <c r="AA1283" s="13"/>
      <c r="AB1283" s="13"/>
      <c r="AC1283" s="14">
        <v>1807.726375839191</v>
      </c>
      <c r="AD1283" s="14">
        <v>190.6825527947268</v>
      </c>
      <c r="AE1283" s="14">
        <v>1511.6224907803614</v>
      </c>
      <c r="AF1283" s="14"/>
      <c r="AG1283" s="15">
        <v>0.11489154075505129</v>
      </c>
      <c r="AH1283" s="15">
        <v>0.11535141800948369</v>
      </c>
      <c r="AI1283" s="15"/>
      <c r="AJ1283" s="41">
        <f t="shared" si="38"/>
        <v>3925.4278054683255</v>
      </c>
      <c r="AK1283" s="44">
        <f t="shared" si="39"/>
        <v>7.1409910058364431E-2</v>
      </c>
      <c r="AL1283" s="10"/>
      <c r="AM1283" s="10"/>
    </row>
    <row r="1284" spans="1:39" s="16" customFormat="1" ht="19" customHeight="1">
      <c r="A1284" s="9" t="s">
        <v>1322</v>
      </c>
      <c r="B1284" s="10" t="s">
        <v>1308</v>
      </c>
      <c r="C1284" s="10"/>
      <c r="D1284" s="10"/>
      <c r="E1284" s="11" t="s">
        <v>1341</v>
      </c>
      <c r="F1284" s="11" t="s">
        <v>249</v>
      </c>
      <c r="G1284" s="12" t="s">
        <v>1006</v>
      </c>
      <c r="H1284" s="13">
        <v>11.163348166450348</v>
      </c>
      <c r="I1284" s="13">
        <v>4.5423426936367477</v>
      </c>
      <c r="J1284" s="13">
        <v>988.08947399275939</v>
      </c>
      <c r="K1284" s="13">
        <v>2340.0060667377311</v>
      </c>
      <c r="L1284" s="13">
        <v>300.75860359836304</v>
      </c>
      <c r="M1284" s="13">
        <v>281.99664905775882</v>
      </c>
      <c r="N1284" s="13">
        <v>1281.4079705259462</v>
      </c>
      <c r="O1284" s="13">
        <v>268.27633138041278</v>
      </c>
      <c r="P1284" s="13">
        <v>12.40291265978105</v>
      </c>
      <c r="Q1284" s="13">
        <v>253.54493649770041</v>
      </c>
      <c r="R1284" s="13"/>
      <c r="S1284" s="13">
        <v>185.00659619594913</v>
      </c>
      <c r="T1284" s="13">
        <v>1001.9499812469228</v>
      </c>
      <c r="U1284" s="13"/>
      <c r="V1284" s="13"/>
      <c r="W1284" s="13"/>
      <c r="X1284" s="13">
        <v>51.286171057718377</v>
      </c>
      <c r="Y1284" s="13">
        <v>6.8205685286687627</v>
      </c>
      <c r="Z1284" s="13">
        <v>933.2222799537949</v>
      </c>
      <c r="AA1284" s="13"/>
      <c r="AB1284" s="13"/>
      <c r="AC1284" s="14">
        <v>1812.677914732519</v>
      </c>
      <c r="AD1284" s="14">
        <v>220.30040248278954</v>
      </c>
      <c r="AE1284" s="14">
        <v>1274.0951582799014</v>
      </c>
      <c r="AF1284" s="14"/>
      <c r="AG1284" s="15">
        <v>0.14273832074594042</v>
      </c>
      <c r="AH1284" s="15">
        <v>0.14496195460351172</v>
      </c>
      <c r="AI1284" s="15"/>
      <c r="AJ1284" s="41">
        <f t="shared" si="38"/>
        <v>4910.2621148547996</v>
      </c>
      <c r="AK1284" s="44">
        <f t="shared" si="39"/>
        <v>0.28144783106519461</v>
      </c>
      <c r="AL1284" s="10"/>
      <c r="AM1284" s="10"/>
    </row>
    <row r="1285" spans="1:39" s="16" customFormat="1" ht="19" customHeight="1">
      <c r="A1285" s="9" t="s">
        <v>1323</v>
      </c>
      <c r="B1285" s="10" t="s">
        <v>1308</v>
      </c>
      <c r="C1285" s="10"/>
      <c r="D1285" s="10"/>
      <c r="E1285" s="11" t="s">
        <v>1341</v>
      </c>
      <c r="F1285" s="11" t="s">
        <v>249</v>
      </c>
      <c r="G1285" s="12" t="s">
        <v>1006</v>
      </c>
      <c r="H1285" s="13">
        <v>9.0686879474164499</v>
      </c>
      <c r="I1285" s="13">
        <v>4.7358529302465779</v>
      </c>
      <c r="J1285" s="13">
        <v>851.36819872353885</v>
      </c>
      <c r="K1285" s="13">
        <v>2093.6015080786096</v>
      </c>
      <c r="L1285" s="13">
        <v>256.7536896474906</v>
      </c>
      <c r="M1285" s="13">
        <v>402.76078910395012</v>
      </c>
      <c r="N1285" s="13">
        <v>1081.6422698932211</v>
      </c>
      <c r="O1285" s="13">
        <v>236.43601272515599</v>
      </c>
      <c r="P1285" s="13">
        <v>17.668471120801083</v>
      </c>
      <c r="Q1285" s="13">
        <v>223.11536428113996</v>
      </c>
      <c r="R1285" s="13"/>
      <c r="S1285" s="13">
        <v>160.80018456014338</v>
      </c>
      <c r="T1285" s="13">
        <v>947.61057932026779</v>
      </c>
      <c r="U1285" s="13"/>
      <c r="V1285" s="13"/>
      <c r="W1285" s="13"/>
      <c r="X1285" s="13">
        <v>51.141945791290354</v>
      </c>
      <c r="Y1285" s="13">
        <v>6.6817602030267205</v>
      </c>
      <c r="Z1285" s="13">
        <v>823.04845304585365</v>
      </c>
      <c r="AA1285" s="13"/>
      <c r="AB1285" s="13"/>
      <c r="AC1285" s="14">
        <v>1597.5406265213244</v>
      </c>
      <c r="AD1285" s="14">
        <v>313.82719575135144</v>
      </c>
      <c r="AE1285" s="14">
        <v>1121.1827350811052</v>
      </c>
      <c r="AF1285" s="14"/>
      <c r="AG1285" s="15">
        <v>0.23086364738954543</v>
      </c>
      <c r="AH1285" s="15">
        <v>0.2344911301140935</v>
      </c>
      <c r="AI1285" s="15"/>
      <c r="AJ1285" s="41">
        <f t="shared" si="38"/>
        <v>4283.365666342861</v>
      </c>
      <c r="AK1285" s="44">
        <f t="shared" si="39"/>
        <v>0.42502774651677611</v>
      </c>
      <c r="AL1285" s="10"/>
      <c r="AM1285" s="10"/>
    </row>
    <row r="1286" spans="1:39" s="16" customFormat="1" ht="19" customHeight="1">
      <c r="A1286" s="9" t="s">
        <v>1324</v>
      </c>
      <c r="B1286" s="10" t="s">
        <v>1308</v>
      </c>
      <c r="C1286" s="10"/>
      <c r="D1286" s="10"/>
      <c r="E1286" s="11" t="s">
        <v>1341</v>
      </c>
      <c r="F1286" s="11" t="s">
        <v>249</v>
      </c>
      <c r="G1286" s="12" t="s">
        <v>1006</v>
      </c>
      <c r="H1286" s="13">
        <v>11.247789291486566</v>
      </c>
      <c r="I1286" s="13">
        <v>5.1469483909617679</v>
      </c>
      <c r="J1286" s="13">
        <v>973.93612812802792</v>
      </c>
      <c r="K1286" s="13">
        <v>2393.2093874709121</v>
      </c>
      <c r="L1286" s="13">
        <v>306.18687803818341</v>
      </c>
      <c r="M1286" s="13">
        <v>370.60823126530914</v>
      </c>
      <c r="N1286" s="13">
        <v>1301.7334430846208</v>
      </c>
      <c r="O1286" s="13">
        <v>277.30695986656417</v>
      </c>
      <c r="P1286" s="13">
        <v>19.804085453711313</v>
      </c>
      <c r="Q1286" s="13">
        <v>277.50683138444231</v>
      </c>
      <c r="R1286" s="13"/>
      <c r="S1286" s="13">
        <v>201.59542040555797</v>
      </c>
      <c r="T1286" s="13">
        <v>1093.1999879560483</v>
      </c>
      <c r="U1286" s="13"/>
      <c r="V1286" s="13"/>
      <c r="W1286" s="13"/>
      <c r="X1286" s="13">
        <v>59.658595785415876</v>
      </c>
      <c r="Y1286" s="13">
        <v>7.9434805689125083</v>
      </c>
      <c r="Z1286" s="13">
        <v>876.56767375395282</v>
      </c>
      <c r="AA1286" s="13"/>
      <c r="AB1286" s="13"/>
      <c r="AC1286" s="14">
        <v>1873.6956747740824</v>
      </c>
      <c r="AD1286" s="14">
        <v>351.75995477284749</v>
      </c>
      <c r="AE1286" s="14">
        <v>1394.5066903740819</v>
      </c>
      <c r="AF1286" s="14"/>
      <c r="AG1286" s="15">
        <v>0.21526204039504171</v>
      </c>
      <c r="AH1286" s="15">
        <v>0.21761386805085364</v>
      </c>
      <c r="AI1286" s="15"/>
      <c r="AJ1286" s="41">
        <f t="shared" ref="AJ1286:AJ1302" si="40">J1286+K1286+L1286+N1286</f>
        <v>4975.0658367217438</v>
      </c>
      <c r="AK1286" s="44">
        <f t="shared" ref="AK1286:AK1302" si="41">M1286/T1286</f>
        <v>0.33901228992714671</v>
      </c>
      <c r="AL1286" s="10"/>
      <c r="AM1286" s="10"/>
    </row>
    <row r="1287" spans="1:39" s="16" customFormat="1" ht="19" customHeight="1">
      <c r="A1287" s="9" t="s">
        <v>1325</v>
      </c>
      <c r="B1287" s="10" t="s">
        <v>1308</v>
      </c>
      <c r="C1287" s="10"/>
      <c r="D1287" s="10"/>
      <c r="E1287" s="11" t="s">
        <v>1341</v>
      </c>
      <c r="F1287" s="11" t="s">
        <v>249</v>
      </c>
      <c r="G1287" s="12" t="s">
        <v>1006</v>
      </c>
      <c r="H1287" s="13">
        <v>15.328726612467959</v>
      </c>
      <c r="I1287" s="13">
        <v>7.6394457123460766</v>
      </c>
      <c r="J1287" s="13">
        <v>1040.988472347741</v>
      </c>
      <c r="K1287" s="13">
        <v>2437.0443780633996</v>
      </c>
      <c r="L1287" s="13">
        <v>312.57812345762449</v>
      </c>
      <c r="M1287" s="13">
        <v>252.2374368109343</v>
      </c>
      <c r="N1287" s="13">
        <v>1343.1489698440753</v>
      </c>
      <c r="O1287" s="13">
        <v>283.07522055262928</v>
      </c>
      <c r="P1287" s="13">
        <v>10.195273932754098</v>
      </c>
      <c r="Q1287" s="13">
        <v>280.8568733724602</v>
      </c>
      <c r="R1287" s="13"/>
      <c r="S1287" s="13">
        <v>207.49882677652053</v>
      </c>
      <c r="T1287" s="13">
        <v>1038.6666212374375</v>
      </c>
      <c r="U1287" s="13"/>
      <c r="V1287" s="13"/>
      <c r="W1287" s="13"/>
      <c r="X1287" s="13">
        <v>56.021918657075858</v>
      </c>
      <c r="Y1287" s="13">
        <v>7.4716289246408305</v>
      </c>
      <c r="Z1287" s="13">
        <v>798.90941115318753</v>
      </c>
      <c r="AA1287" s="13"/>
      <c r="AB1287" s="13"/>
      <c r="AC1287" s="14">
        <v>1912.6704091393872</v>
      </c>
      <c r="AD1287" s="14">
        <v>181.08834694057015</v>
      </c>
      <c r="AE1287" s="14">
        <v>1411.341072223418</v>
      </c>
      <c r="AF1287" s="14"/>
      <c r="AG1287" s="15">
        <v>0.10895771446994286</v>
      </c>
      <c r="AH1287" s="15">
        <v>0.11021848689672198</v>
      </c>
      <c r="AI1287" s="15"/>
      <c r="AJ1287" s="41">
        <f t="shared" si="40"/>
        <v>5133.7599437128401</v>
      </c>
      <c r="AK1287" s="44">
        <f t="shared" si="41"/>
        <v>0.2428473502984296</v>
      </c>
      <c r="AL1287" s="10"/>
      <c r="AM1287" s="10"/>
    </row>
    <row r="1288" spans="1:39" s="16" customFormat="1" ht="19" customHeight="1">
      <c r="A1288" s="9" t="s">
        <v>1326</v>
      </c>
      <c r="B1288" s="10" t="s">
        <v>1308</v>
      </c>
      <c r="C1288" s="10"/>
      <c r="D1288" s="10"/>
      <c r="E1288" s="11" t="s">
        <v>1341</v>
      </c>
      <c r="F1288" s="11" t="s">
        <v>249</v>
      </c>
      <c r="G1288" s="12" t="s">
        <v>1006</v>
      </c>
      <c r="H1288" s="13">
        <v>55.829328767743739</v>
      </c>
      <c r="I1288" s="13">
        <v>15.357445896281202</v>
      </c>
      <c r="J1288" s="13">
        <v>2129.2363764043262</v>
      </c>
      <c r="K1288" s="13">
        <v>5385.9026856626933</v>
      </c>
      <c r="L1288" s="13">
        <v>690.37383200688191</v>
      </c>
      <c r="M1288" s="13">
        <v>263.15234893665297</v>
      </c>
      <c r="N1288" s="13">
        <v>2978.2124700702916</v>
      </c>
      <c r="O1288" s="13">
        <v>628.15413717112926</v>
      </c>
      <c r="P1288" s="13">
        <v>16.483693322060063</v>
      </c>
      <c r="Q1288" s="13">
        <v>601.4193311205579</v>
      </c>
      <c r="R1288" s="13"/>
      <c r="S1288" s="13">
        <v>448.11488738411731</v>
      </c>
      <c r="T1288" s="13">
        <v>2287.7065292817165</v>
      </c>
      <c r="U1288" s="13"/>
      <c r="V1288" s="13"/>
      <c r="W1288" s="13"/>
      <c r="X1288" s="13">
        <v>125.53016671494369</v>
      </c>
      <c r="Y1288" s="13">
        <v>15.794467626363586</v>
      </c>
      <c r="Z1288" s="13">
        <v>1069.2318878301382</v>
      </c>
      <c r="AA1288" s="13"/>
      <c r="AB1288" s="13"/>
      <c r="AC1288" s="14">
        <v>4244.2847106157387</v>
      </c>
      <c r="AD1288" s="14">
        <v>292.7831851165198</v>
      </c>
      <c r="AE1288" s="14">
        <v>3022.2076940731549</v>
      </c>
      <c r="AF1288" s="14"/>
      <c r="AG1288" s="15">
        <v>8.0584460510161354E-2</v>
      </c>
      <c r="AH1288" s="15">
        <v>8.1748863387391985E-2</v>
      </c>
      <c r="AI1288" s="15"/>
      <c r="AJ1288" s="41">
        <f t="shared" si="40"/>
        <v>11183.725364144193</v>
      </c>
      <c r="AK1288" s="44">
        <f t="shared" si="41"/>
        <v>0.11502889272221307</v>
      </c>
      <c r="AL1288" s="10"/>
      <c r="AM1288" s="10"/>
    </row>
    <row r="1289" spans="1:39" s="16" customFormat="1" ht="19" customHeight="1">
      <c r="A1289" s="9" t="s">
        <v>1327</v>
      </c>
      <c r="B1289" s="10" t="s">
        <v>1308</v>
      </c>
      <c r="C1289" s="10"/>
      <c r="D1289" s="10"/>
      <c r="E1289" s="11" t="s">
        <v>1341</v>
      </c>
      <c r="F1289" s="11" t="s">
        <v>249</v>
      </c>
      <c r="G1289" s="12" t="s">
        <v>1006</v>
      </c>
      <c r="H1289" s="13">
        <v>13.409052309995458</v>
      </c>
      <c r="I1289" s="13">
        <v>6.049851829767519</v>
      </c>
      <c r="J1289" s="13">
        <v>1063.1053907514345</v>
      </c>
      <c r="K1289" s="13">
        <v>2573.6037054853823</v>
      </c>
      <c r="L1289" s="13">
        <v>331.52520288437086</v>
      </c>
      <c r="M1289" s="13">
        <v>276.05145719115723</v>
      </c>
      <c r="N1289" s="13">
        <v>1406.5447516069476</v>
      </c>
      <c r="O1289" s="13">
        <v>297.5436156765698</v>
      </c>
      <c r="P1289" s="13">
        <v>13.976349181590384</v>
      </c>
      <c r="Q1289" s="13">
        <v>282.63892210713476</v>
      </c>
      <c r="R1289" s="13"/>
      <c r="S1289" s="13">
        <v>212.45160133835998</v>
      </c>
      <c r="T1289" s="13">
        <v>1106.7644476806004</v>
      </c>
      <c r="U1289" s="13"/>
      <c r="V1289" s="13"/>
      <c r="W1289" s="13"/>
      <c r="X1289" s="13">
        <v>57.583258405251186</v>
      </c>
      <c r="Y1289" s="13">
        <v>7.8951441919804006</v>
      </c>
      <c r="Z1289" s="13">
        <v>880.87488458731218</v>
      </c>
      <c r="AA1289" s="13"/>
      <c r="AB1289" s="13"/>
      <c r="AC1289" s="14">
        <v>2010.4298356524987</v>
      </c>
      <c r="AD1289" s="14">
        <v>248.24776521474931</v>
      </c>
      <c r="AE1289" s="14">
        <v>1420.2960909906269</v>
      </c>
      <c r="AF1289" s="14"/>
      <c r="AG1289" s="15">
        <v>0.1447202548515166</v>
      </c>
      <c r="AH1289" s="15">
        <v>0.14691002793064784</v>
      </c>
      <c r="AI1289" s="15"/>
      <c r="AJ1289" s="41">
        <f t="shared" si="40"/>
        <v>5374.7790507281352</v>
      </c>
      <c r="AK1289" s="44">
        <f t="shared" si="41"/>
        <v>0.24942204980442464</v>
      </c>
      <c r="AL1289" s="10"/>
      <c r="AM1289" s="10"/>
    </row>
    <row r="1290" spans="1:39" s="16" customFormat="1" ht="19" customHeight="1">
      <c r="A1290" s="9" t="s">
        <v>1328</v>
      </c>
      <c r="B1290" s="10" t="s">
        <v>1308</v>
      </c>
      <c r="C1290" s="10"/>
      <c r="D1290" s="10"/>
      <c r="E1290" s="11" t="s">
        <v>1341</v>
      </c>
      <c r="F1290" s="11" t="s">
        <v>249</v>
      </c>
      <c r="G1290" s="12" t="s">
        <v>1006</v>
      </c>
      <c r="H1290" s="13">
        <v>21.295747778711615</v>
      </c>
      <c r="I1290" s="13">
        <v>9.6203454510509889</v>
      </c>
      <c r="J1290" s="13">
        <v>1362.7174592118938</v>
      </c>
      <c r="K1290" s="13">
        <v>3255.0646277796418</v>
      </c>
      <c r="L1290" s="13">
        <v>411.63803355411665</v>
      </c>
      <c r="M1290" s="13">
        <v>267.73502883821789</v>
      </c>
      <c r="N1290" s="13">
        <v>1755.8159450640951</v>
      </c>
      <c r="O1290" s="13">
        <v>365.47806777539984</v>
      </c>
      <c r="P1290" s="13">
        <v>14.816957710804237</v>
      </c>
      <c r="Q1290" s="13">
        <v>352.4741733373354</v>
      </c>
      <c r="R1290" s="13"/>
      <c r="S1290" s="13">
        <v>259.67235356228588</v>
      </c>
      <c r="T1290" s="13">
        <v>1352.5195832660638</v>
      </c>
      <c r="U1290" s="13"/>
      <c r="V1290" s="13"/>
      <c r="W1290" s="13"/>
      <c r="X1290" s="13">
        <v>75.083168982266216</v>
      </c>
      <c r="Y1290" s="13">
        <v>9.805754816715865</v>
      </c>
      <c r="Z1290" s="13">
        <v>914.7865797937319</v>
      </c>
      <c r="AA1290" s="13"/>
      <c r="AB1290" s="13"/>
      <c r="AC1290" s="14">
        <v>2469.4464038878368</v>
      </c>
      <c r="AD1290" s="14">
        <v>263.17864495211791</v>
      </c>
      <c r="AE1290" s="14">
        <v>1771.2270016951527</v>
      </c>
      <c r="AF1290" s="14"/>
      <c r="AG1290" s="15">
        <v>0.12412115708115337</v>
      </c>
      <c r="AH1290" s="15">
        <v>0.12583855770343433</v>
      </c>
      <c r="AI1290" s="15"/>
      <c r="AJ1290" s="41">
        <f t="shared" si="40"/>
        <v>6785.2360656097471</v>
      </c>
      <c r="AK1290" s="44">
        <f t="shared" si="41"/>
        <v>0.19795279281035727</v>
      </c>
      <c r="AL1290" s="10"/>
      <c r="AM1290" s="10"/>
    </row>
    <row r="1291" spans="1:39" s="16" customFormat="1" ht="19" customHeight="1">
      <c r="A1291" s="9" t="s">
        <v>1329</v>
      </c>
      <c r="B1291" s="10" t="s">
        <v>1308</v>
      </c>
      <c r="C1291" s="10"/>
      <c r="D1291" s="10"/>
      <c r="E1291" s="11" t="s">
        <v>1341</v>
      </c>
      <c r="F1291" s="11" t="s">
        <v>249</v>
      </c>
      <c r="G1291" s="12" t="s">
        <v>1006</v>
      </c>
      <c r="H1291" s="13">
        <v>13.631380535234641</v>
      </c>
      <c r="I1291" s="13">
        <v>6.2537490112333396</v>
      </c>
      <c r="J1291" s="13">
        <v>1015.1286759979317</v>
      </c>
      <c r="K1291" s="13">
        <v>2454.3618199419329</v>
      </c>
      <c r="L1291" s="13">
        <v>308.64174694776335</v>
      </c>
      <c r="M1291" s="13">
        <v>300.28450816166952</v>
      </c>
      <c r="N1291" s="13">
        <v>1318.7457126386812</v>
      </c>
      <c r="O1291" s="13">
        <v>275.74489566669172</v>
      </c>
      <c r="P1291" s="13">
        <v>14.843083482322363</v>
      </c>
      <c r="Q1291" s="13">
        <v>261.40173296821189</v>
      </c>
      <c r="R1291" s="13"/>
      <c r="S1291" s="13">
        <v>197.9092491323558</v>
      </c>
      <c r="T1291" s="13">
        <v>1046.203745417421</v>
      </c>
      <c r="U1291" s="13"/>
      <c r="V1291" s="13"/>
      <c r="W1291" s="13"/>
      <c r="X1291" s="13">
        <v>56.942042289449503</v>
      </c>
      <c r="Y1291" s="13">
        <v>7.4844457809856051</v>
      </c>
      <c r="Z1291" s="13">
        <v>797.52212593286936</v>
      </c>
      <c r="AA1291" s="13"/>
      <c r="AB1291" s="13"/>
      <c r="AC1291" s="14">
        <v>1863.1411869371063</v>
      </c>
      <c r="AD1291" s="14">
        <v>263.64269062739544</v>
      </c>
      <c r="AE1291" s="14">
        <v>1313.5765475789542</v>
      </c>
      <c r="AF1291" s="14"/>
      <c r="AG1291" s="15">
        <v>0.16598433519152975</v>
      </c>
      <c r="AH1291" s="15">
        <v>0.16852531941265725</v>
      </c>
      <c r="AI1291" s="15"/>
      <c r="AJ1291" s="41">
        <f t="shared" si="40"/>
        <v>5096.8779555263091</v>
      </c>
      <c r="AK1291" s="44">
        <f t="shared" si="41"/>
        <v>0.28702297184174208</v>
      </c>
      <c r="AL1291" s="10"/>
      <c r="AM1291" s="10"/>
    </row>
    <row r="1292" spans="1:39" s="16" customFormat="1" ht="19" customHeight="1">
      <c r="A1292" s="9" t="s">
        <v>1330</v>
      </c>
      <c r="B1292" s="10" t="s">
        <v>1308</v>
      </c>
      <c r="C1292" s="10"/>
      <c r="D1292" s="10"/>
      <c r="E1292" s="11" t="s">
        <v>1341</v>
      </c>
      <c r="F1292" s="11" t="s">
        <v>249</v>
      </c>
      <c r="G1292" s="12" t="s">
        <v>1006</v>
      </c>
      <c r="H1292" s="13">
        <v>13.683853398432182</v>
      </c>
      <c r="I1292" s="13">
        <v>6.9860087315195898</v>
      </c>
      <c r="J1292" s="13">
        <v>1174.3336832844998</v>
      </c>
      <c r="K1292" s="13">
        <v>2684.5528196897253</v>
      </c>
      <c r="L1292" s="13">
        <v>333.3308214404783</v>
      </c>
      <c r="M1292" s="13">
        <v>268.04214322607146</v>
      </c>
      <c r="N1292" s="13">
        <v>1375.4628920325174</v>
      </c>
      <c r="O1292" s="13">
        <v>285.93901104934281</v>
      </c>
      <c r="P1292" s="13">
        <v>14.195345288350508</v>
      </c>
      <c r="Q1292" s="13">
        <v>267.49837911341933</v>
      </c>
      <c r="R1292" s="13"/>
      <c r="S1292" s="13">
        <v>205.68535320877942</v>
      </c>
      <c r="T1292" s="13">
        <v>1092.1121629509059</v>
      </c>
      <c r="U1292" s="13"/>
      <c r="V1292" s="13"/>
      <c r="W1292" s="13"/>
      <c r="X1292" s="13">
        <v>62.290257851638295</v>
      </c>
      <c r="Y1292" s="13">
        <v>8.4707655105384667</v>
      </c>
      <c r="Z1292" s="13">
        <v>663.82268223457197</v>
      </c>
      <c r="AA1292" s="13"/>
      <c r="AB1292" s="13"/>
      <c r="AC1292" s="14">
        <v>1932.020344927992</v>
      </c>
      <c r="AD1292" s="14">
        <v>252.1375717291387</v>
      </c>
      <c r="AE1292" s="14">
        <v>1344.2129603689414</v>
      </c>
      <c r="AF1292" s="14"/>
      <c r="AG1292" s="15">
        <v>0.1539191798834893</v>
      </c>
      <c r="AH1292" s="15">
        <v>0.15645796566314654</v>
      </c>
      <c r="AI1292" s="15"/>
      <c r="AJ1292" s="41">
        <f t="shared" si="40"/>
        <v>5567.680216447221</v>
      </c>
      <c r="AK1292" s="44">
        <f t="shared" si="41"/>
        <v>0.24543462871232655</v>
      </c>
      <c r="AL1292" s="10"/>
      <c r="AM1292" s="10"/>
    </row>
    <row r="1293" spans="1:39" s="16" customFormat="1" ht="19" customHeight="1">
      <c r="A1293" s="9" t="s">
        <v>1331</v>
      </c>
      <c r="B1293" s="10" t="s">
        <v>1308</v>
      </c>
      <c r="C1293" s="10"/>
      <c r="D1293" s="10"/>
      <c r="E1293" s="11" t="s">
        <v>1341</v>
      </c>
      <c r="F1293" s="11" t="s">
        <v>249</v>
      </c>
      <c r="G1293" s="12" t="s">
        <v>1006</v>
      </c>
      <c r="H1293" s="13">
        <v>13.337513827903587</v>
      </c>
      <c r="I1293" s="13">
        <v>5.6972174969639147</v>
      </c>
      <c r="J1293" s="13">
        <v>1297.2146410878495</v>
      </c>
      <c r="K1293" s="13">
        <v>2926.1844864654363</v>
      </c>
      <c r="L1293" s="13">
        <v>369.38856807040469</v>
      </c>
      <c r="M1293" s="13">
        <v>227.37174978666468</v>
      </c>
      <c r="N1293" s="13">
        <v>1544.5169390672861</v>
      </c>
      <c r="O1293" s="13">
        <v>317.98561674057277</v>
      </c>
      <c r="P1293" s="13">
        <v>10.331436268774707</v>
      </c>
      <c r="Q1293" s="13">
        <v>301.00542787351299</v>
      </c>
      <c r="R1293" s="13"/>
      <c r="S1293" s="13">
        <v>219.59985249150532</v>
      </c>
      <c r="T1293" s="13">
        <v>1128.9490295586218</v>
      </c>
      <c r="U1293" s="13"/>
      <c r="V1293" s="13"/>
      <c r="W1293" s="13"/>
      <c r="X1293" s="13">
        <v>66.116149066537929</v>
      </c>
      <c r="Y1293" s="13">
        <v>8.7288292731986328</v>
      </c>
      <c r="Z1293" s="13">
        <v>765.25121631830632</v>
      </c>
      <c r="AA1293" s="13"/>
      <c r="AB1293" s="13"/>
      <c r="AC1293" s="14">
        <v>2148.5514644633295</v>
      </c>
      <c r="AD1293" s="14">
        <v>183.50686090185982</v>
      </c>
      <c r="AE1293" s="14">
        <v>1512.5900898166481</v>
      </c>
      <c r="AF1293" s="14"/>
      <c r="AG1293" s="15">
        <v>0.10024570652688101</v>
      </c>
      <c r="AH1293" s="15">
        <v>0.10179320778950368</v>
      </c>
      <c r="AI1293" s="15"/>
      <c r="AJ1293" s="41">
        <f t="shared" si="40"/>
        <v>6137.3046346909769</v>
      </c>
      <c r="AK1293" s="44">
        <f t="shared" si="41"/>
        <v>0.20140125358499028</v>
      </c>
      <c r="AL1293" s="10"/>
      <c r="AM1293" s="10"/>
    </row>
    <row r="1294" spans="1:39" s="16" customFormat="1" ht="19" customHeight="1">
      <c r="A1294" s="9" t="s">
        <v>1332</v>
      </c>
      <c r="B1294" s="10" t="s">
        <v>1308</v>
      </c>
      <c r="C1294" s="10"/>
      <c r="D1294" s="10"/>
      <c r="E1294" s="11" t="s">
        <v>1341</v>
      </c>
      <c r="F1294" s="11" t="s">
        <v>249</v>
      </c>
      <c r="G1294" s="12" t="s">
        <v>1006</v>
      </c>
      <c r="H1294" s="13">
        <v>30.27288270014693</v>
      </c>
      <c r="I1294" s="13">
        <v>8.6421033946892258</v>
      </c>
      <c r="J1294" s="13">
        <v>1493.0762439355506</v>
      </c>
      <c r="K1294" s="13">
        <v>3058.9400468860495</v>
      </c>
      <c r="L1294" s="13">
        <v>323.62763081243844</v>
      </c>
      <c r="M1294" s="13">
        <v>266.9276248588211</v>
      </c>
      <c r="N1294" s="13">
        <v>1187.1945286258804</v>
      </c>
      <c r="O1294" s="13">
        <v>187.92078594241653</v>
      </c>
      <c r="P1294" s="13">
        <v>15.900018391893013</v>
      </c>
      <c r="Q1294" s="13">
        <v>152.63579798354809</v>
      </c>
      <c r="R1294" s="13"/>
      <c r="S1294" s="13">
        <v>105.99368736181975</v>
      </c>
      <c r="T1294" s="13">
        <v>636.98488524714901</v>
      </c>
      <c r="U1294" s="13"/>
      <c r="V1294" s="13"/>
      <c r="W1294" s="13"/>
      <c r="X1294" s="13">
        <v>43.496252293955635</v>
      </c>
      <c r="Y1294" s="13">
        <v>6.1692190193413587</v>
      </c>
      <c r="Z1294" s="13">
        <v>982.80862379312612</v>
      </c>
      <c r="AA1294" s="13"/>
      <c r="AB1294" s="13"/>
      <c r="AC1294" s="14">
        <v>1269.7350401514632</v>
      </c>
      <c r="AD1294" s="14">
        <v>282.4159572272294</v>
      </c>
      <c r="AE1294" s="14">
        <v>767.01406021883452</v>
      </c>
      <c r="AF1294" s="14"/>
      <c r="AG1294" s="15">
        <v>0.27732032107036048</v>
      </c>
      <c r="AH1294" s="15">
        <v>0.28617455548408033</v>
      </c>
      <c r="AI1294" s="15"/>
      <c r="AJ1294" s="41">
        <f t="shared" si="40"/>
        <v>6062.8384502599192</v>
      </c>
      <c r="AK1294" s="44">
        <f t="shared" si="41"/>
        <v>0.41904860074545358</v>
      </c>
      <c r="AL1294" s="10"/>
      <c r="AM1294" s="10"/>
    </row>
    <row r="1295" spans="1:39" s="16" customFormat="1" ht="19" customHeight="1">
      <c r="A1295" s="9" t="s">
        <v>1333</v>
      </c>
      <c r="B1295" s="10" t="s">
        <v>1308</v>
      </c>
      <c r="C1295" s="10"/>
      <c r="D1295" s="10"/>
      <c r="E1295" s="11" t="s">
        <v>1341</v>
      </c>
      <c r="F1295" s="11" t="s">
        <v>249</v>
      </c>
      <c r="G1295" s="12" t="s">
        <v>1006</v>
      </c>
      <c r="H1295" s="13">
        <v>32.710655162352353</v>
      </c>
      <c r="I1295" s="13">
        <v>10.024181956770095</v>
      </c>
      <c r="J1295" s="13">
        <v>1696.4189174420706</v>
      </c>
      <c r="K1295" s="13">
        <v>3451.574204523044</v>
      </c>
      <c r="L1295" s="13">
        <v>367.00914687801185</v>
      </c>
      <c r="M1295" s="13">
        <v>302.13062133702334</v>
      </c>
      <c r="N1295" s="13">
        <v>1297.4378038114987</v>
      </c>
      <c r="O1295" s="13">
        <v>199.76165412850796</v>
      </c>
      <c r="P1295" s="13">
        <v>18.59507367415809</v>
      </c>
      <c r="Q1295" s="13">
        <v>166.89079750519883</v>
      </c>
      <c r="R1295" s="13"/>
      <c r="S1295" s="13">
        <v>117.78340166855834</v>
      </c>
      <c r="T1295" s="13">
        <v>687.98989303132464</v>
      </c>
      <c r="U1295" s="13"/>
      <c r="V1295" s="13"/>
      <c r="W1295" s="13"/>
      <c r="X1295" s="13">
        <v>48.020654813235126</v>
      </c>
      <c r="Y1295" s="13">
        <v>6.7347591681733814</v>
      </c>
      <c r="Z1295" s="13">
        <v>1111.665790278036</v>
      </c>
      <c r="AA1295" s="13"/>
      <c r="AB1295" s="13"/>
      <c r="AC1295" s="14">
        <v>1349.7409062737024</v>
      </c>
      <c r="AD1295" s="14">
        <v>330.28550042909575</v>
      </c>
      <c r="AE1295" s="14">
        <v>838.64722364421516</v>
      </c>
      <c r="AF1295" s="14"/>
      <c r="AG1295" s="15">
        <v>0.30185276177812587</v>
      </c>
      <c r="AH1295" s="15">
        <v>0.31043783548366094</v>
      </c>
      <c r="AI1295" s="15"/>
      <c r="AJ1295" s="41">
        <f t="shared" si="40"/>
        <v>6812.4400726546246</v>
      </c>
      <c r="AK1295" s="44">
        <f t="shared" si="41"/>
        <v>0.43914979623583966</v>
      </c>
      <c r="AL1295" s="10"/>
      <c r="AM1295" s="10"/>
    </row>
    <row r="1296" spans="1:39" s="16" customFormat="1" ht="19" customHeight="1">
      <c r="A1296" s="9" t="s">
        <v>1334</v>
      </c>
      <c r="B1296" s="10" t="s">
        <v>1308</v>
      </c>
      <c r="C1296" s="10"/>
      <c r="D1296" s="10"/>
      <c r="E1296" s="11" t="s">
        <v>1341</v>
      </c>
      <c r="F1296" s="11" t="s">
        <v>249</v>
      </c>
      <c r="G1296" s="12" t="s">
        <v>1006</v>
      </c>
      <c r="H1296" s="13">
        <v>9.0453444090469475</v>
      </c>
      <c r="I1296" s="13">
        <v>2.1748287465724205</v>
      </c>
      <c r="J1296" s="13">
        <v>66.546794769778614</v>
      </c>
      <c r="K1296" s="13">
        <v>274.2058857155892</v>
      </c>
      <c r="L1296" s="13">
        <v>48.672494591109938</v>
      </c>
      <c r="M1296" s="13">
        <v>285.61866402774302</v>
      </c>
      <c r="N1296" s="13">
        <v>243.0077892639238</v>
      </c>
      <c r="O1296" s="13">
        <v>76.976609039066474</v>
      </c>
      <c r="P1296" s="13">
        <v>9.7763189943083209</v>
      </c>
      <c r="Q1296" s="13">
        <v>84.265212004410728</v>
      </c>
      <c r="R1296" s="13"/>
      <c r="S1296" s="13">
        <v>76.522392243205914</v>
      </c>
      <c r="T1296" s="13">
        <v>442.47962434068654</v>
      </c>
      <c r="U1296" s="13"/>
      <c r="V1296" s="13"/>
      <c r="W1296" s="13"/>
      <c r="X1296" s="13">
        <v>33.27414391399784</v>
      </c>
      <c r="Y1296" s="13">
        <v>4.9249117704919998</v>
      </c>
      <c r="Z1296" s="13">
        <v>410.40164177184522</v>
      </c>
      <c r="AA1296" s="13"/>
      <c r="AB1296" s="13"/>
      <c r="AC1296" s="14">
        <v>520.11222323693562</v>
      </c>
      <c r="AD1296" s="14">
        <v>173.64687378878014</v>
      </c>
      <c r="AE1296" s="14">
        <v>423.44327640407397</v>
      </c>
      <c r="AF1296" s="14"/>
      <c r="AG1296" s="15">
        <v>0.3680692314439305</v>
      </c>
      <c r="AH1296" s="15">
        <v>0.37001626769256762</v>
      </c>
      <c r="AI1296" s="15"/>
      <c r="AJ1296" s="41">
        <f t="shared" si="40"/>
        <v>632.43296434040155</v>
      </c>
      <c r="AK1296" s="44">
        <f t="shared" si="41"/>
        <v>0.64549563034304003</v>
      </c>
      <c r="AL1296" s="10"/>
      <c r="AM1296" s="10"/>
    </row>
    <row r="1297" spans="1:39" s="16" customFormat="1" ht="19" customHeight="1">
      <c r="A1297" s="9" t="s">
        <v>1335</v>
      </c>
      <c r="B1297" s="10" t="s">
        <v>1308</v>
      </c>
      <c r="C1297" s="10"/>
      <c r="D1297" s="10"/>
      <c r="E1297" s="11" t="s">
        <v>1341</v>
      </c>
      <c r="F1297" s="11" t="s">
        <v>249</v>
      </c>
      <c r="G1297" s="12" t="s">
        <v>1006</v>
      </c>
      <c r="H1297" s="13">
        <v>29.515941894421207</v>
      </c>
      <c r="I1297" s="13">
        <v>12.897793225520068</v>
      </c>
      <c r="J1297" s="13">
        <v>1182.6044038988925</v>
      </c>
      <c r="K1297" s="13">
        <v>2565.0643435064821</v>
      </c>
      <c r="L1297" s="13">
        <v>302.17185316292716</v>
      </c>
      <c r="M1297" s="13">
        <v>195.25059582309029</v>
      </c>
      <c r="N1297" s="13">
        <v>1126.3592853440164</v>
      </c>
      <c r="O1297" s="13">
        <v>184.08999009781917</v>
      </c>
      <c r="P1297" s="13">
        <v>13.466516889773162</v>
      </c>
      <c r="Q1297" s="13">
        <v>167.1002458564507</v>
      </c>
      <c r="R1297" s="13"/>
      <c r="S1297" s="13">
        <v>113.02382181919884</v>
      </c>
      <c r="T1297" s="13">
        <v>617.04441428681548</v>
      </c>
      <c r="U1297" s="13"/>
      <c r="V1297" s="13"/>
      <c r="W1297" s="13"/>
      <c r="X1297" s="13">
        <v>47.541786317026123</v>
      </c>
      <c r="Y1297" s="13">
        <v>6.0146528560019075</v>
      </c>
      <c r="Z1297" s="13">
        <v>915.59712426004126</v>
      </c>
      <c r="AA1297" s="13"/>
      <c r="AB1297" s="13"/>
      <c r="AC1297" s="14">
        <v>1243.8512844447241</v>
      </c>
      <c r="AD1297" s="14">
        <v>239.19212948087323</v>
      </c>
      <c r="AE1297" s="14">
        <v>839.69972792186275</v>
      </c>
      <c r="AF1297" s="14"/>
      <c r="AG1297" s="15">
        <v>0.2296004542832753</v>
      </c>
      <c r="AH1297" s="15">
        <v>0.2340456908829186</v>
      </c>
      <c r="AI1297" s="15"/>
      <c r="AJ1297" s="41">
        <f t="shared" si="40"/>
        <v>5176.1998859123178</v>
      </c>
      <c r="AK1297" s="44">
        <f t="shared" si="41"/>
        <v>0.31642875504960594</v>
      </c>
      <c r="AL1297" s="10"/>
      <c r="AM1297" s="10"/>
    </row>
    <row r="1298" spans="1:39" s="16" customFormat="1" ht="19" customHeight="1">
      <c r="A1298" s="9" t="s">
        <v>1336</v>
      </c>
      <c r="B1298" s="10" t="s">
        <v>1308</v>
      </c>
      <c r="C1298" s="10"/>
      <c r="D1298" s="10"/>
      <c r="E1298" s="11" t="s">
        <v>1341</v>
      </c>
      <c r="F1298" s="11" t="s">
        <v>249</v>
      </c>
      <c r="G1298" s="12" t="s">
        <v>1006</v>
      </c>
      <c r="H1298" s="13">
        <v>21.972850703076464</v>
      </c>
      <c r="I1298" s="13">
        <v>7.1749486423291637</v>
      </c>
      <c r="J1298" s="13">
        <v>1438.7584091493959</v>
      </c>
      <c r="K1298" s="13">
        <v>3088.5603833531068</v>
      </c>
      <c r="L1298" s="13">
        <v>321.188270357894</v>
      </c>
      <c r="M1298" s="13">
        <v>459.03576221964306</v>
      </c>
      <c r="N1298" s="13">
        <v>1128.784255019953</v>
      </c>
      <c r="O1298" s="13">
        <v>181.26715397283459</v>
      </c>
      <c r="P1298" s="13">
        <v>21.629190408390002</v>
      </c>
      <c r="Q1298" s="13">
        <v>137.11764018106467</v>
      </c>
      <c r="R1298" s="13"/>
      <c r="S1298" s="13">
        <v>99.468528351506379</v>
      </c>
      <c r="T1298" s="13">
        <v>489.1553156652447</v>
      </c>
      <c r="U1298" s="13"/>
      <c r="V1298" s="13"/>
      <c r="W1298" s="13"/>
      <c r="X1298" s="13">
        <v>32.897157261574257</v>
      </c>
      <c r="Y1298" s="13">
        <v>5.4812743428860466</v>
      </c>
      <c r="Z1298" s="13">
        <v>1417.9423063743461</v>
      </c>
      <c r="AA1298" s="13"/>
      <c r="AB1298" s="13"/>
      <c r="AC1298" s="14">
        <v>1224.7780673840175</v>
      </c>
      <c r="AD1298" s="14">
        <v>384.17744952735353</v>
      </c>
      <c r="AE1298" s="14">
        <v>689.03336774404352</v>
      </c>
      <c r="AF1298" s="14"/>
      <c r="AG1298" s="15">
        <v>0.40147889439446954</v>
      </c>
      <c r="AH1298" s="15">
        <v>0.41819904980884481</v>
      </c>
      <c r="AI1298" s="15"/>
      <c r="AJ1298" s="41">
        <f t="shared" si="40"/>
        <v>5977.2913178803501</v>
      </c>
      <c r="AK1298" s="44">
        <f t="shared" si="41"/>
        <v>0.93842537844112062</v>
      </c>
      <c r="AL1298" s="10"/>
      <c r="AM1298" s="10"/>
    </row>
    <row r="1299" spans="1:39" s="16" customFormat="1" ht="19" customHeight="1">
      <c r="A1299" s="9" t="s">
        <v>1337</v>
      </c>
      <c r="B1299" s="10" t="s">
        <v>1308</v>
      </c>
      <c r="C1299" s="10"/>
      <c r="D1299" s="10"/>
      <c r="E1299" s="11" t="s">
        <v>1341</v>
      </c>
      <c r="F1299" s="11" t="s">
        <v>249</v>
      </c>
      <c r="G1299" s="12" t="s">
        <v>1006</v>
      </c>
      <c r="H1299" s="13">
        <v>18.139119766661015</v>
      </c>
      <c r="I1299" s="13">
        <v>9.0322361380769287</v>
      </c>
      <c r="J1299" s="13">
        <v>993.99771191010905</v>
      </c>
      <c r="K1299" s="13">
        <v>2040.3657637182321</v>
      </c>
      <c r="L1299" s="13">
        <v>225.6372460836802</v>
      </c>
      <c r="M1299" s="13">
        <v>201.23249148303736</v>
      </c>
      <c r="N1299" s="13">
        <v>847.21804600331131</v>
      </c>
      <c r="O1299" s="13">
        <v>132.40611003545928</v>
      </c>
      <c r="P1299" s="13">
        <v>10.21123774601795</v>
      </c>
      <c r="Q1299" s="13">
        <v>118.98411576322867</v>
      </c>
      <c r="R1299" s="13"/>
      <c r="S1299" s="13">
        <v>81.582815922803462</v>
      </c>
      <c r="T1299" s="13">
        <v>453.78979801017488</v>
      </c>
      <c r="U1299" s="13"/>
      <c r="V1299" s="13"/>
      <c r="W1299" s="13"/>
      <c r="X1299" s="13">
        <v>32.039207024469292</v>
      </c>
      <c r="Y1299" s="13">
        <v>4.4930676906838443</v>
      </c>
      <c r="Z1299" s="13">
        <v>952.95839711789563</v>
      </c>
      <c r="AA1299" s="13"/>
      <c r="AB1299" s="13"/>
      <c r="AC1299" s="14">
        <v>894.63587861796816</v>
      </c>
      <c r="AD1299" s="14">
        <v>181.37189602163323</v>
      </c>
      <c r="AE1299" s="14">
        <v>597.91012946346063</v>
      </c>
      <c r="AF1299" s="14"/>
      <c r="AG1299" s="15">
        <v>0.2430369248781484</v>
      </c>
      <c r="AH1299" s="15">
        <v>0.24798698122467672</v>
      </c>
      <c r="AI1299" s="15"/>
      <c r="AJ1299" s="41">
        <f t="shared" si="40"/>
        <v>4107.2187677153324</v>
      </c>
      <c r="AK1299" s="44">
        <f t="shared" si="41"/>
        <v>0.44344869004420706</v>
      </c>
      <c r="AL1299" s="10"/>
      <c r="AM1299" s="10"/>
    </row>
    <row r="1300" spans="1:39" s="16" customFormat="1" ht="19" customHeight="1">
      <c r="A1300" s="9" t="s">
        <v>1338</v>
      </c>
      <c r="B1300" s="10" t="s">
        <v>1308</v>
      </c>
      <c r="C1300" s="10"/>
      <c r="D1300" s="10"/>
      <c r="E1300" s="11" t="s">
        <v>1341</v>
      </c>
      <c r="F1300" s="11" t="s">
        <v>249</v>
      </c>
      <c r="G1300" s="12" t="s">
        <v>1006</v>
      </c>
      <c r="H1300" s="13">
        <v>27.577952624935389</v>
      </c>
      <c r="I1300" s="13">
        <v>8.5788668837142605</v>
      </c>
      <c r="J1300" s="13">
        <v>1527.8095540312015</v>
      </c>
      <c r="K1300" s="13">
        <v>3090.3404606375802</v>
      </c>
      <c r="L1300" s="13">
        <v>327.47718931438186</v>
      </c>
      <c r="M1300" s="13">
        <v>253.57798446754867</v>
      </c>
      <c r="N1300" s="13">
        <v>1182.1303927369013</v>
      </c>
      <c r="O1300" s="13">
        <v>187.28457992288131</v>
      </c>
      <c r="P1300" s="13">
        <v>19.593265254498892</v>
      </c>
      <c r="Q1300" s="13">
        <v>148.11228179260843</v>
      </c>
      <c r="R1300" s="13"/>
      <c r="S1300" s="13">
        <v>100.80024326366095</v>
      </c>
      <c r="T1300" s="13">
        <v>533.02197050774225</v>
      </c>
      <c r="U1300" s="13"/>
      <c r="V1300" s="13"/>
      <c r="W1300" s="13"/>
      <c r="X1300" s="13">
        <v>37.792352336744997</v>
      </c>
      <c r="Y1300" s="13">
        <v>5.1706796931377834</v>
      </c>
      <c r="Z1300" s="13">
        <v>868.03511059325876</v>
      </c>
      <c r="AA1300" s="13"/>
      <c r="AB1300" s="13"/>
      <c r="AC1300" s="14">
        <v>1265.4363508302793</v>
      </c>
      <c r="AD1300" s="14">
        <v>348.01536864118816</v>
      </c>
      <c r="AE1300" s="14">
        <v>744.28282307843426</v>
      </c>
      <c r="AF1300" s="14"/>
      <c r="AG1300" s="15">
        <v>0.34633233653668261</v>
      </c>
      <c r="AH1300" s="15">
        <v>0.35859916348562548</v>
      </c>
      <c r="AI1300" s="15"/>
      <c r="AJ1300" s="41">
        <f t="shared" si="40"/>
        <v>6127.7575967200646</v>
      </c>
      <c r="AK1300" s="44">
        <f t="shared" si="41"/>
        <v>0.47573645834147732</v>
      </c>
      <c r="AL1300" s="10"/>
      <c r="AM1300" s="10"/>
    </row>
    <row r="1301" spans="1:39" s="16" customFormat="1" ht="19" customHeight="1">
      <c r="A1301" s="9" t="s">
        <v>1339</v>
      </c>
      <c r="B1301" s="10" t="s">
        <v>1308</v>
      </c>
      <c r="C1301" s="10"/>
      <c r="D1301" s="10"/>
      <c r="E1301" s="11" t="s">
        <v>1341</v>
      </c>
      <c r="F1301" s="11" t="s">
        <v>249</v>
      </c>
      <c r="G1301" s="12" t="s">
        <v>1006</v>
      </c>
      <c r="H1301" s="13">
        <v>25.459845636605628</v>
      </c>
      <c r="I1301" s="13">
        <v>23.131618580425506</v>
      </c>
      <c r="J1301" s="13">
        <v>937.46644656782223</v>
      </c>
      <c r="K1301" s="13">
        <v>2105.6809862765194</v>
      </c>
      <c r="L1301" s="13">
        <v>243.14444217331115</v>
      </c>
      <c r="M1301" s="13">
        <v>171.33633274058377</v>
      </c>
      <c r="N1301" s="13">
        <v>904.11011189958776</v>
      </c>
      <c r="O1301" s="13">
        <v>154.58329117007796</v>
      </c>
      <c r="P1301" s="13">
        <v>9.9656584073735566</v>
      </c>
      <c r="Q1301" s="13">
        <v>145.27363086888445</v>
      </c>
      <c r="R1301" s="13"/>
      <c r="S1301" s="13">
        <v>100.21856849162123</v>
      </c>
      <c r="T1301" s="13">
        <v>571.75327266676447</v>
      </c>
      <c r="U1301" s="13"/>
      <c r="V1301" s="13"/>
      <c r="W1301" s="13"/>
      <c r="X1301" s="13">
        <v>38.629589371018014</v>
      </c>
      <c r="Y1301" s="13">
        <v>5.8598687620147771</v>
      </c>
      <c r="Z1301" s="13">
        <v>891.8452033861771</v>
      </c>
      <c r="AA1301" s="13"/>
      <c r="AB1301" s="13"/>
      <c r="AC1301" s="14">
        <v>1044.4816970951215</v>
      </c>
      <c r="AD1301" s="14">
        <v>177.00991842581806</v>
      </c>
      <c r="AE1301" s="14">
        <v>730.0182455722836</v>
      </c>
      <c r="AF1301" s="14"/>
      <c r="AG1301" s="15">
        <v>0.19950400016326747</v>
      </c>
      <c r="AH1301" s="15">
        <v>0.20271240563807022</v>
      </c>
      <c r="AI1301" s="15"/>
      <c r="AJ1301" s="41">
        <f t="shared" si="40"/>
        <v>4190.4019869172407</v>
      </c>
      <c r="AK1301" s="44">
        <f t="shared" si="41"/>
        <v>0.29966830262542965</v>
      </c>
      <c r="AL1301" s="10"/>
      <c r="AM1301" s="10"/>
    </row>
    <row r="1302" spans="1:39" s="16" customFormat="1" ht="19" customHeight="1">
      <c r="A1302" s="9" t="s">
        <v>1340</v>
      </c>
      <c r="B1302" s="10" t="s">
        <v>1308</v>
      </c>
      <c r="C1302" s="10"/>
      <c r="D1302" s="10"/>
      <c r="E1302" s="11" t="s">
        <v>1341</v>
      </c>
      <c r="F1302" s="11" t="s">
        <v>249</v>
      </c>
      <c r="G1302" s="12" t="s">
        <v>1006</v>
      </c>
      <c r="H1302" s="13">
        <v>27.978521658881213</v>
      </c>
      <c r="I1302" s="13">
        <v>1.3509096851542295</v>
      </c>
      <c r="J1302" s="13">
        <v>50.43846989449554</v>
      </c>
      <c r="K1302" s="13">
        <v>193.85177424515072</v>
      </c>
      <c r="L1302" s="13">
        <v>30.15335195736413</v>
      </c>
      <c r="M1302" s="13">
        <v>228.63439198868213</v>
      </c>
      <c r="N1302" s="13">
        <v>141.44081276102236</v>
      </c>
      <c r="O1302" s="13">
        <v>42.507913568002813</v>
      </c>
      <c r="P1302" s="13">
        <v>4.9489314309138859</v>
      </c>
      <c r="Q1302" s="13">
        <v>46.690120948558821</v>
      </c>
      <c r="R1302" s="13"/>
      <c r="S1302" s="13">
        <v>45.320169774437467</v>
      </c>
      <c r="T1302" s="13">
        <v>291.78494041224013</v>
      </c>
      <c r="U1302" s="13"/>
      <c r="V1302" s="13"/>
      <c r="W1302" s="13"/>
      <c r="X1302" s="13">
        <v>19.384235318238481</v>
      </c>
      <c r="Y1302" s="13">
        <v>2.9471069132880223</v>
      </c>
      <c r="Z1302" s="13">
        <v>298.38105428000136</v>
      </c>
      <c r="AA1302" s="13"/>
      <c r="AB1302" s="13"/>
      <c r="AC1302" s="14">
        <v>287.21563221623524</v>
      </c>
      <c r="AD1302" s="14">
        <v>87.902867334172043</v>
      </c>
      <c r="AE1302" s="14">
        <v>234.62372335959205</v>
      </c>
      <c r="AF1302" s="14"/>
      <c r="AG1302" s="15">
        <v>0.33689627428416169</v>
      </c>
      <c r="AH1302" s="15">
        <v>0.33862034176823697</v>
      </c>
      <c r="AI1302" s="15"/>
      <c r="AJ1302" s="41">
        <f t="shared" si="40"/>
        <v>415.88440885803277</v>
      </c>
      <c r="AK1302" s="44">
        <f t="shared" si="41"/>
        <v>0.78357159785444197</v>
      </c>
      <c r="AL1302" s="10"/>
      <c r="AM1302" s="10"/>
    </row>
    <row r="1303" spans="1:39" ht="19" customHeight="1">
      <c r="AJ1303" s="41"/>
      <c r="AK1303" s="44"/>
    </row>
  </sheetData>
  <conditionalFormatting sqref="G525:G584 A231:F378 G523:Z524 H525:Z538 H231:Z522 E379:F400 A379:D524 A525:A538 B525:D545">
    <cfRule type="cellIs" dxfId="1" priority="1" operator="greaterThan">
      <formula>1000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7"/>
  <sheetViews>
    <sheetView tabSelected="1" workbookViewId="0">
      <selection activeCell="I18" sqref="I18"/>
    </sheetView>
  </sheetViews>
  <sheetFormatPr baseColWidth="10" defaultRowHeight="15" x14ac:dyDescent="0"/>
  <cols>
    <col min="1" max="1" bestFit="true" customWidth="true" width="22.0" collapsed="true"/>
    <col min="2" max="2" bestFit="true" customWidth="true" width="10.0" collapsed="true"/>
    <col min="3" max="3" bestFit="true" customWidth="true" width="12.1640625" collapsed="true"/>
    <col min="4" max="4" bestFit="true" customWidth="true" style="47" width="12.1640625" collapsed="true"/>
    <col min="5" max="5" style="55" width="10.83203125" collapsed="true"/>
  </cols>
  <sheetData>
    <row r="1" spans="1:5" ht="16">
      <c r="A1" s="1" t="s">
        <v>0</v>
      </c>
      <c r="B1" s="3" t="s">
        <v>1</v>
      </c>
      <c r="C1" s="2" t="s">
        <v>1345</v>
      </c>
      <c r="D1" s="6" t="s">
        <v>1346</v>
      </c>
      <c r="E1" s="6" t="s">
        <v>1386</v>
      </c>
    </row>
    <row r="2" spans="1:5">
      <c r="A2" s="9" t="s">
        <v>951</v>
      </c>
      <c r="B2" s="37" t="s">
        <v>953</v>
      </c>
      <c r="C2" s="39">
        <v>7578.16</v>
      </c>
      <c r="D2" s="45">
        <v>0.29148279719248216</v>
      </c>
      <c r="E2" s="54" t="s">
        <v>1387</v>
      </c>
    </row>
    <row r="3" spans="1:5">
      <c r="A3" s="9" t="s">
        <v>955</v>
      </c>
      <c r="B3" s="37" t="s">
        <v>953</v>
      </c>
      <c r="C3" s="39">
        <v>52586.34</v>
      </c>
      <c r="D3" s="45">
        <v>3.2279506661620723E-2</v>
      </c>
      <c r="E3" s="54" t="s">
        <v>1387</v>
      </c>
    </row>
    <row r="4" spans="1:5">
      <c r="A4" s="9" t="s">
        <v>956</v>
      </c>
      <c r="B4" s="37" t="s">
        <v>953</v>
      </c>
      <c r="C4" s="39">
        <v>68900.740000000005</v>
      </c>
      <c r="D4" s="45">
        <v>2.6180884226224381E-2</v>
      </c>
      <c r="E4" s="54" t="s">
        <v>1387</v>
      </c>
    </row>
    <row r="5" spans="1:5">
      <c r="A5" s="9" t="s">
        <v>957</v>
      </c>
      <c r="B5" s="37" t="s">
        <v>953</v>
      </c>
      <c r="C5" s="39">
        <v>25972.030000000006</v>
      </c>
      <c r="D5" s="45">
        <v>6.5123317173933062E-2</v>
      </c>
      <c r="E5" s="54" t="s">
        <v>1387</v>
      </c>
    </row>
    <row r="6" spans="1:5">
      <c r="A6" s="9" t="s">
        <v>958</v>
      </c>
      <c r="B6" s="37" t="s">
        <v>953</v>
      </c>
      <c r="C6" s="39">
        <v>7289.8099999999995</v>
      </c>
      <c r="D6" s="45">
        <v>0.34630821862457234</v>
      </c>
      <c r="E6" s="54" t="s">
        <v>1387</v>
      </c>
    </row>
    <row r="7" spans="1:5">
      <c r="A7" s="9" t="s">
        <v>959</v>
      </c>
      <c r="B7" s="37" t="s">
        <v>953</v>
      </c>
      <c r="C7" s="39">
        <v>7996.5599999999995</v>
      </c>
      <c r="D7" s="45">
        <v>0.26901912537747458</v>
      </c>
      <c r="E7" s="54" t="s">
        <v>1387</v>
      </c>
    </row>
    <row r="8" spans="1:5">
      <c r="A8" s="9" t="s">
        <v>960</v>
      </c>
      <c r="B8" s="37" t="s">
        <v>953</v>
      </c>
      <c r="C8" s="39">
        <v>7807.3899999999994</v>
      </c>
      <c r="D8" s="45">
        <v>0.35310201890302528</v>
      </c>
      <c r="E8" s="54" t="s">
        <v>1387</v>
      </c>
    </row>
    <row r="9" spans="1:5">
      <c r="A9" s="9" t="s">
        <v>961</v>
      </c>
      <c r="B9" s="37" t="s">
        <v>953</v>
      </c>
      <c r="C9" s="39">
        <v>8327.02</v>
      </c>
      <c r="D9" s="45">
        <v>0.34588543862114185</v>
      </c>
      <c r="E9" s="54" t="s">
        <v>1387</v>
      </c>
    </row>
    <row r="10" spans="1:5">
      <c r="A10" s="9" t="s">
        <v>962</v>
      </c>
      <c r="B10" s="37" t="s">
        <v>953</v>
      </c>
      <c r="C10" s="39">
        <v>26405.21</v>
      </c>
      <c r="D10" s="45">
        <v>0.56986073700498596</v>
      </c>
      <c r="E10" s="54" t="s">
        <v>1387</v>
      </c>
    </row>
    <row r="11" spans="1:5">
      <c r="A11" s="9" t="s">
        <v>963</v>
      </c>
      <c r="B11" s="37" t="s">
        <v>953</v>
      </c>
      <c r="C11" s="39">
        <v>82282.599999999991</v>
      </c>
      <c r="D11" s="45">
        <v>0.82907589223980793</v>
      </c>
      <c r="E11" s="54" t="s">
        <v>1387</v>
      </c>
    </row>
    <row r="12" spans="1:5">
      <c r="A12" s="9" t="s">
        <v>964</v>
      </c>
      <c r="B12" s="37" t="s">
        <v>953</v>
      </c>
      <c r="C12" s="39">
        <v>76265.72</v>
      </c>
      <c r="D12" s="45">
        <v>0.5378415491970967</v>
      </c>
      <c r="E12" s="54" t="s">
        <v>1387</v>
      </c>
    </row>
    <row r="13" spans="1:5">
      <c r="A13" s="9" t="s">
        <v>963</v>
      </c>
      <c r="B13" s="37" t="s">
        <v>953</v>
      </c>
      <c r="C13" s="39">
        <v>88124.98</v>
      </c>
      <c r="D13" s="45">
        <v>0.25636003309410654</v>
      </c>
      <c r="E13" s="54" t="s">
        <v>1387</v>
      </c>
    </row>
    <row r="14" spans="1:5">
      <c r="A14" s="9" t="s">
        <v>965</v>
      </c>
      <c r="B14" s="37" t="s">
        <v>953</v>
      </c>
      <c r="C14" s="39">
        <v>74724.02</v>
      </c>
      <c r="D14" s="45">
        <v>0.69172806829291544</v>
      </c>
      <c r="E14" s="54" t="s">
        <v>1387</v>
      </c>
    </row>
    <row r="15" spans="1:5">
      <c r="A15" s="9" t="s">
        <v>966</v>
      </c>
      <c r="B15" s="37" t="s">
        <v>953</v>
      </c>
      <c r="C15" s="39">
        <v>75772.320000000007</v>
      </c>
      <c r="D15" s="45">
        <v>4.4596607644649081E-2</v>
      </c>
      <c r="E15" s="54" t="s">
        <v>1387</v>
      </c>
    </row>
    <row r="16" spans="1:5">
      <c r="A16" s="9" t="s">
        <v>968</v>
      </c>
      <c r="B16" s="37" t="s">
        <v>953</v>
      </c>
      <c r="C16" s="39">
        <v>97050.58</v>
      </c>
      <c r="D16" s="45">
        <v>5.8485183140069945E-2</v>
      </c>
      <c r="E16" s="54" t="s">
        <v>1387</v>
      </c>
    </row>
    <row r="17" spans="1:5">
      <c r="A17" s="9" t="s">
        <v>969</v>
      </c>
      <c r="B17" s="37" t="s">
        <v>953</v>
      </c>
      <c r="C17" s="39">
        <v>88111.790000000008</v>
      </c>
      <c r="D17" s="45">
        <v>17.202431718061671</v>
      </c>
      <c r="E17" s="54" t="s">
        <v>1387</v>
      </c>
    </row>
    <row r="18" spans="1:5">
      <c r="A18" s="9" t="s">
        <v>971</v>
      </c>
      <c r="B18" s="37" t="s">
        <v>953</v>
      </c>
      <c r="C18" s="39">
        <v>81727.830000000016</v>
      </c>
      <c r="D18" s="45">
        <v>14.738836627768515</v>
      </c>
      <c r="E18" s="54" t="s">
        <v>1387</v>
      </c>
    </row>
    <row r="19" spans="1:5">
      <c r="A19" s="9" t="s">
        <v>972</v>
      </c>
      <c r="B19" s="37" t="s">
        <v>953</v>
      </c>
      <c r="C19" s="39">
        <v>77948.590000000011</v>
      </c>
      <c r="D19" s="45">
        <v>11.017378578615201</v>
      </c>
      <c r="E19" s="54" t="s">
        <v>1387</v>
      </c>
    </row>
    <row r="20" spans="1:5">
      <c r="A20" s="9" t="s">
        <v>969</v>
      </c>
      <c r="B20" s="37" t="s">
        <v>953</v>
      </c>
      <c r="C20" s="39">
        <v>86858.349999999991</v>
      </c>
      <c r="D20" s="45">
        <v>12.438989169675091</v>
      </c>
      <c r="E20" s="54" t="s">
        <v>1387</v>
      </c>
    </row>
    <row r="21" spans="1:5">
      <c r="A21" s="9" t="s">
        <v>971</v>
      </c>
      <c r="B21" s="37" t="s">
        <v>953</v>
      </c>
      <c r="C21" s="39">
        <v>84353.61</v>
      </c>
      <c r="D21" s="45">
        <v>14.167549555707451</v>
      </c>
      <c r="E21" s="54" t="s">
        <v>1387</v>
      </c>
    </row>
    <row r="22" spans="1:5">
      <c r="A22" s="9" t="s">
        <v>973</v>
      </c>
      <c r="B22" s="37" t="s">
        <v>953</v>
      </c>
      <c r="C22" s="39">
        <v>92381</v>
      </c>
      <c r="D22" s="45">
        <v>20.18116565472825</v>
      </c>
      <c r="E22" s="54" t="s">
        <v>1387</v>
      </c>
    </row>
    <row r="23" spans="1:5">
      <c r="A23" s="9" t="s">
        <v>974</v>
      </c>
      <c r="B23" s="37" t="s">
        <v>953</v>
      </c>
      <c r="C23" s="39">
        <v>85677.95</v>
      </c>
      <c r="D23" s="45">
        <v>14.782856788438878</v>
      </c>
      <c r="E23" s="54" t="s">
        <v>1387</v>
      </c>
    </row>
    <row r="24" spans="1:5">
      <c r="A24" s="9" t="s">
        <v>975</v>
      </c>
      <c r="B24" s="37" t="s">
        <v>953</v>
      </c>
      <c r="C24" s="39">
        <v>90615.14</v>
      </c>
      <c r="D24" s="45">
        <v>10.96208400160385</v>
      </c>
      <c r="E24" s="54" t="s">
        <v>1387</v>
      </c>
    </row>
    <row r="25" spans="1:5">
      <c r="A25" s="9" t="s">
        <v>976</v>
      </c>
      <c r="B25" s="37" t="s">
        <v>953</v>
      </c>
      <c r="C25" s="39">
        <v>86506.140000000014</v>
      </c>
      <c r="D25" s="45">
        <v>14.584811112553552</v>
      </c>
      <c r="E25" s="54" t="s">
        <v>1387</v>
      </c>
    </row>
    <row r="26" spans="1:5">
      <c r="A26" s="9" t="s">
        <v>977</v>
      </c>
      <c r="B26" s="37" t="s">
        <v>953</v>
      </c>
      <c r="C26" s="39">
        <v>75202.64</v>
      </c>
      <c r="D26" s="45">
        <v>13.894789096816897</v>
      </c>
      <c r="E26" s="54" t="s">
        <v>1387</v>
      </c>
    </row>
    <row r="27" spans="1:5">
      <c r="A27" s="9" t="s">
        <v>978</v>
      </c>
      <c r="B27" s="37" t="s">
        <v>953</v>
      </c>
      <c r="C27" s="39">
        <v>115612.79999999999</v>
      </c>
      <c r="D27" s="45">
        <v>27.740170210169904</v>
      </c>
      <c r="E27" s="54" t="s">
        <v>1387</v>
      </c>
    </row>
    <row r="28" spans="1:5">
      <c r="A28" s="9" t="s">
        <v>979</v>
      </c>
      <c r="B28" s="37" t="s">
        <v>953</v>
      </c>
      <c r="C28" s="39">
        <v>86358.45</v>
      </c>
      <c r="D28" s="45">
        <v>40.552291784556822</v>
      </c>
      <c r="E28" s="54" t="s">
        <v>1387</v>
      </c>
    </row>
    <row r="29" spans="1:5">
      <c r="A29" s="9" t="s">
        <v>975</v>
      </c>
      <c r="B29" s="37" t="s">
        <v>953</v>
      </c>
      <c r="C29" s="39">
        <v>78518.19</v>
      </c>
      <c r="D29" s="45">
        <v>17.02370113805047</v>
      </c>
      <c r="E29" s="54" t="s">
        <v>1387</v>
      </c>
    </row>
    <row r="30" spans="1:5">
      <c r="A30" s="9" t="s">
        <v>973</v>
      </c>
      <c r="B30" s="37" t="s">
        <v>953</v>
      </c>
      <c r="C30" s="39">
        <v>87402.11</v>
      </c>
      <c r="D30" s="45">
        <v>13.83792520908503</v>
      </c>
      <c r="E30" s="54" t="s">
        <v>1387</v>
      </c>
    </row>
    <row r="31" spans="1:5">
      <c r="A31" s="9" t="s">
        <v>980</v>
      </c>
      <c r="B31" s="37" t="s">
        <v>953</v>
      </c>
      <c r="C31" s="39">
        <v>10819</v>
      </c>
      <c r="D31" s="45">
        <v>0.24712255684905571</v>
      </c>
      <c r="E31" s="54" t="s">
        <v>1387</v>
      </c>
    </row>
    <row r="32" spans="1:5">
      <c r="A32" s="9" t="s">
        <v>982</v>
      </c>
      <c r="B32" s="37" t="s">
        <v>953</v>
      </c>
      <c r="C32" s="39">
        <v>12380.27</v>
      </c>
      <c r="D32" s="45">
        <v>0.19204159532964718</v>
      </c>
      <c r="E32" s="54" t="s">
        <v>1387</v>
      </c>
    </row>
    <row r="33" spans="1:5">
      <c r="A33" s="9" t="s">
        <v>983</v>
      </c>
      <c r="B33" s="37" t="s">
        <v>953</v>
      </c>
      <c r="C33" s="39">
        <v>20330</v>
      </c>
      <c r="D33" s="45">
        <v>0.10309001142788854</v>
      </c>
      <c r="E33" s="54" t="s">
        <v>1387</v>
      </c>
    </row>
    <row r="34" spans="1:5">
      <c r="A34" s="9" t="s">
        <v>984</v>
      </c>
      <c r="B34" s="37" t="s">
        <v>953</v>
      </c>
      <c r="C34" s="39">
        <v>21942.609999999997</v>
      </c>
      <c r="D34" s="45">
        <v>0.10849758978371148</v>
      </c>
      <c r="E34" s="54" t="s">
        <v>1387</v>
      </c>
    </row>
    <row r="35" spans="1:5">
      <c r="A35" s="9" t="s">
        <v>985</v>
      </c>
      <c r="B35" s="37" t="s">
        <v>953</v>
      </c>
      <c r="C35" s="39">
        <v>23390.54</v>
      </c>
      <c r="D35" s="45">
        <v>0.2012554036593342</v>
      </c>
      <c r="E35" s="54" t="s">
        <v>1387</v>
      </c>
    </row>
    <row r="36" spans="1:5">
      <c r="A36" s="9" t="s">
        <v>985</v>
      </c>
      <c r="B36" s="37" t="s">
        <v>953</v>
      </c>
      <c r="C36" s="39">
        <v>24352.93</v>
      </c>
      <c r="D36" s="45">
        <v>0.12719617042209055</v>
      </c>
      <c r="E36" s="54" t="s">
        <v>1387</v>
      </c>
    </row>
    <row r="37" spans="1:5">
      <c r="A37" s="9" t="s">
        <v>986</v>
      </c>
      <c r="B37" s="37" t="s">
        <v>953</v>
      </c>
      <c r="C37" s="39">
        <v>21977.360000000001</v>
      </c>
      <c r="D37" s="45">
        <v>0.22450258431433559</v>
      </c>
      <c r="E37" s="54" t="s">
        <v>1387</v>
      </c>
    </row>
    <row r="38" spans="1:5">
      <c r="A38" s="9" t="s">
        <v>987</v>
      </c>
      <c r="B38" s="37" t="s">
        <v>953</v>
      </c>
      <c r="C38" s="39">
        <v>21831.329999999998</v>
      </c>
      <c r="D38" s="45">
        <v>0.15284467962255496</v>
      </c>
      <c r="E38" s="54" t="s">
        <v>1387</v>
      </c>
    </row>
    <row r="39" spans="1:5">
      <c r="A39" s="9" t="s">
        <v>988</v>
      </c>
      <c r="B39" s="37" t="s">
        <v>953</v>
      </c>
      <c r="C39" s="39">
        <v>67230.33</v>
      </c>
      <c r="D39" s="45">
        <v>1.3582640722588692E-2</v>
      </c>
      <c r="E39" s="54" t="s">
        <v>1387</v>
      </c>
    </row>
    <row r="40" spans="1:5">
      <c r="A40" s="9" t="s">
        <v>990</v>
      </c>
      <c r="B40" s="37" t="s">
        <v>953</v>
      </c>
      <c r="C40" s="39">
        <v>73460.31</v>
      </c>
      <c r="D40" s="45">
        <v>1.2992560914830628E-2</v>
      </c>
      <c r="E40" s="54" t="s">
        <v>1387</v>
      </c>
    </row>
    <row r="41" spans="1:5">
      <c r="A41" s="9" t="s">
        <v>991</v>
      </c>
      <c r="B41" s="37" t="s">
        <v>953</v>
      </c>
      <c r="C41" s="39">
        <v>74999.509999999995</v>
      </c>
      <c r="D41" s="45">
        <v>1.3521485823408022E-2</v>
      </c>
      <c r="E41" s="54" t="s">
        <v>1387</v>
      </c>
    </row>
    <row r="42" spans="1:5">
      <c r="A42" s="9" t="s">
        <v>992</v>
      </c>
      <c r="B42" s="37" t="s">
        <v>953</v>
      </c>
      <c r="C42" s="39">
        <v>68361.290000000008</v>
      </c>
      <c r="D42" s="45">
        <v>1.6752076645417276E-2</v>
      </c>
      <c r="E42" s="54" t="s">
        <v>1387</v>
      </c>
    </row>
    <row r="43" spans="1:5">
      <c r="A43" s="9" t="s">
        <v>993</v>
      </c>
      <c r="B43" s="37" t="s">
        <v>953</v>
      </c>
      <c r="C43" s="39">
        <v>66878.03</v>
      </c>
      <c r="D43" s="45">
        <v>2.0273467889569387E-2</v>
      </c>
      <c r="E43" s="54" t="s">
        <v>1387</v>
      </c>
    </row>
    <row r="44" spans="1:5">
      <c r="A44" s="9" t="s">
        <v>994</v>
      </c>
      <c r="B44" s="37" t="s">
        <v>953</v>
      </c>
      <c r="C44" s="39">
        <v>74815.14</v>
      </c>
      <c r="D44" s="45">
        <v>1.3176738343943574E-2</v>
      </c>
      <c r="E44" s="54" t="s">
        <v>1387</v>
      </c>
    </row>
    <row r="45" spans="1:5">
      <c r="A45" s="9" t="s">
        <v>1004</v>
      </c>
      <c r="B45" s="37" t="s">
        <v>953</v>
      </c>
      <c r="C45" s="39">
        <v>14168.336808063459</v>
      </c>
      <c r="D45" s="45">
        <v>6.7071168632322333</v>
      </c>
      <c r="E45" s="54" t="s">
        <v>1387</v>
      </c>
    </row>
    <row r="46" spans="1:5">
      <c r="A46" s="9" t="s">
        <v>1007</v>
      </c>
      <c r="B46" s="37" t="s">
        <v>953</v>
      </c>
      <c r="C46" s="39">
        <v>9712.8258110442621</v>
      </c>
      <c r="D46" s="45">
        <v>8.5825821631175625</v>
      </c>
      <c r="E46" s="54" t="s">
        <v>1387</v>
      </c>
    </row>
    <row r="47" spans="1:5">
      <c r="A47" s="9" t="s">
        <v>1008</v>
      </c>
      <c r="B47" s="37" t="s">
        <v>953</v>
      </c>
      <c r="C47" s="39">
        <v>9854.9450333578588</v>
      </c>
      <c r="D47" s="45">
        <v>8.7316051605141123</v>
      </c>
      <c r="E47" s="54" t="s">
        <v>1387</v>
      </c>
    </row>
    <row r="48" spans="1:5">
      <c r="A48" s="9" t="s">
        <v>1009</v>
      </c>
      <c r="B48" s="37" t="s">
        <v>953</v>
      </c>
      <c r="C48" s="39">
        <v>11268.144968766497</v>
      </c>
      <c r="D48" s="45">
        <v>8.0469443744338971</v>
      </c>
      <c r="E48" s="54" t="s">
        <v>1387</v>
      </c>
    </row>
    <row r="49" spans="1:5">
      <c r="A49" s="9" t="s">
        <v>1010</v>
      </c>
      <c r="B49" s="37" t="s">
        <v>953</v>
      </c>
      <c r="C49" s="39">
        <v>12112.085664105725</v>
      </c>
      <c r="D49" s="45">
        <v>8.3018186251801875</v>
      </c>
      <c r="E49" s="54" t="s">
        <v>1387</v>
      </c>
    </row>
    <row r="50" spans="1:5">
      <c r="A50" s="9" t="s">
        <v>1011</v>
      </c>
      <c r="B50" s="37" t="s">
        <v>953</v>
      </c>
      <c r="C50" s="39">
        <v>10610.969372390487</v>
      </c>
      <c r="D50" s="45">
        <v>9.0141161864124957</v>
      </c>
      <c r="E50" s="54" t="s">
        <v>1387</v>
      </c>
    </row>
    <row r="51" spans="1:5">
      <c r="A51" s="9" t="s">
        <v>1012</v>
      </c>
      <c r="B51" s="37" t="s">
        <v>953</v>
      </c>
      <c r="C51" s="39">
        <v>10262.994394902289</v>
      </c>
      <c r="D51" s="45">
        <v>8.7956313320782851</v>
      </c>
      <c r="E51" s="54" t="s">
        <v>1387</v>
      </c>
    </row>
    <row r="52" spans="1:5">
      <c r="A52" s="9" t="s">
        <v>1013</v>
      </c>
      <c r="B52" s="37" t="s">
        <v>953</v>
      </c>
      <c r="C52" s="39">
        <v>9989.2470259640595</v>
      </c>
      <c r="D52" s="45">
        <v>8.3851318768174501</v>
      </c>
      <c r="E52" s="54" t="s">
        <v>1387</v>
      </c>
    </row>
    <row r="53" spans="1:5">
      <c r="A53" s="9" t="s">
        <v>1014</v>
      </c>
      <c r="B53" s="37" t="s">
        <v>953</v>
      </c>
      <c r="C53" s="39">
        <v>9105.9788622789602</v>
      </c>
      <c r="D53" s="45">
        <v>10.771767494245783</v>
      </c>
      <c r="E53" s="54" t="s">
        <v>1387</v>
      </c>
    </row>
    <row r="54" spans="1:5">
      <c r="A54" s="9" t="s">
        <v>1015</v>
      </c>
      <c r="B54" s="37" t="s">
        <v>953</v>
      </c>
      <c r="C54" s="39">
        <v>8950.8438713551022</v>
      </c>
      <c r="D54" s="45">
        <v>10.118145213246738</v>
      </c>
      <c r="E54" s="54" t="s">
        <v>1387</v>
      </c>
    </row>
    <row r="55" spans="1:5">
      <c r="A55" s="9" t="s">
        <v>1016</v>
      </c>
      <c r="B55" s="37" t="s">
        <v>953</v>
      </c>
      <c r="C55" s="39">
        <v>10420.967199259529</v>
      </c>
      <c r="D55" s="45">
        <v>8.5769440883998911</v>
      </c>
      <c r="E55" s="54" t="s">
        <v>1387</v>
      </c>
    </row>
    <row r="56" spans="1:5">
      <c r="A56" s="9" t="s">
        <v>1017</v>
      </c>
      <c r="B56" s="37" t="s">
        <v>953</v>
      </c>
      <c r="C56" s="39">
        <v>8355.1169569420745</v>
      </c>
      <c r="D56" s="45">
        <v>10.657546198242029</v>
      </c>
      <c r="E56" s="54" t="s">
        <v>1387</v>
      </c>
    </row>
    <row r="57" spans="1:5">
      <c r="A57" s="9" t="s">
        <v>1018</v>
      </c>
      <c r="B57" s="37" t="s">
        <v>953</v>
      </c>
      <c r="C57" s="39">
        <v>9301.5506166034538</v>
      </c>
      <c r="D57" s="45">
        <v>9.9148229074397296</v>
      </c>
      <c r="E57" s="54" t="s">
        <v>1387</v>
      </c>
    </row>
    <row r="58" spans="1:5">
      <c r="A58" s="9" t="s">
        <v>1019</v>
      </c>
      <c r="B58" s="37" t="s">
        <v>953</v>
      </c>
      <c r="C58" s="39">
        <v>10006.274859884657</v>
      </c>
      <c r="D58" s="45">
        <v>8.6457102567145334</v>
      </c>
      <c r="E58" s="54" t="s">
        <v>1387</v>
      </c>
    </row>
    <row r="59" spans="1:5">
      <c r="A59" s="9" t="s">
        <v>1020</v>
      </c>
      <c r="B59" s="37" t="s">
        <v>953</v>
      </c>
      <c r="C59" s="39">
        <v>11372.70396457582</v>
      </c>
      <c r="D59" s="45">
        <v>10.064288475441872</v>
      </c>
      <c r="E59" s="54" t="s">
        <v>1387</v>
      </c>
    </row>
    <row r="60" spans="1:5">
      <c r="A60" s="9" t="s">
        <v>1021</v>
      </c>
      <c r="B60" s="37" t="s">
        <v>953</v>
      </c>
      <c r="C60" s="39">
        <v>8689.9901789192081</v>
      </c>
      <c r="D60" s="45">
        <v>9.7897796730020676</v>
      </c>
      <c r="E60" s="54" t="s">
        <v>1387</v>
      </c>
    </row>
    <row r="61" spans="1:5">
      <c r="A61" s="9" t="s">
        <v>1022</v>
      </c>
      <c r="B61" s="37" t="s">
        <v>953</v>
      </c>
      <c r="C61" s="39">
        <v>8483.6351467935965</v>
      </c>
      <c r="D61" s="45">
        <v>10.073029800917631</v>
      </c>
      <c r="E61" s="54" t="s">
        <v>1387</v>
      </c>
    </row>
    <row r="62" spans="1:5">
      <c r="A62" s="9" t="s">
        <v>1023</v>
      </c>
      <c r="B62" s="37" t="s">
        <v>953</v>
      </c>
      <c r="C62" s="39">
        <v>10351.786248805067</v>
      </c>
      <c r="D62" s="45">
        <v>8.3442399028923671</v>
      </c>
      <c r="E62" s="54" t="s">
        <v>1387</v>
      </c>
    </row>
    <row r="63" spans="1:5">
      <c r="A63" s="9" t="s">
        <v>1024</v>
      </c>
      <c r="B63" s="37" t="s">
        <v>953</v>
      </c>
      <c r="C63" s="39">
        <v>13202.315757425666</v>
      </c>
      <c r="D63" s="45">
        <v>7.7321779889683446</v>
      </c>
      <c r="E63" s="54" t="s">
        <v>1387</v>
      </c>
    </row>
    <row r="64" spans="1:5">
      <c r="A64" s="9" t="s">
        <v>1025</v>
      </c>
      <c r="B64" s="37" t="s">
        <v>953</v>
      </c>
      <c r="C64" s="39">
        <v>9579.1571122873866</v>
      </c>
      <c r="D64" s="45">
        <v>8.6611482941744917</v>
      </c>
      <c r="E64" s="54" t="s">
        <v>1387</v>
      </c>
    </row>
    <row r="65" spans="1:5">
      <c r="A65" s="9" t="s">
        <v>1026</v>
      </c>
      <c r="B65" s="37" t="s">
        <v>953</v>
      </c>
      <c r="C65" s="39">
        <v>8795.0837791127215</v>
      </c>
      <c r="D65" s="45">
        <v>18.484498633351549</v>
      </c>
      <c r="E65" s="54" t="s">
        <v>1387</v>
      </c>
    </row>
    <row r="66" spans="1:5">
      <c r="A66" s="9" t="s">
        <v>1164</v>
      </c>
      <c r="B66" s="38" t="s">
        <v>953</v>
      </c>
      <c r="C66" s="39">
        <v>16737.225629636967</v>
      </c>
      <c r="D66" s="45">
        <v>8.0974886165006215</v>
      </c>
      <c r="E66" s="54" t="s">
        <v>1387</v>
      </c>
    </row>
    <row r="67" spans="1:5">
      <c r="A67" s="9" t="s">
        <v>1166</v>
      </c>
      <c r="B67" s="38" t="s">
        <v>953</v>
      </c>
      <c r="C67" s="39">
        <v>13677.919819301371</v>
      </c>
      <c r="D67" s="45">
        <v>7.9410732157873758</v>
      </c>
      <c r="E67" s="54" t="s">
        <v>1387</v>
      </c>
    </row>
    <row r="68" spans="1:5">
      <c r="A68" s="9" t="s">
        <v>1167</v>
      </c>
      <c r="B68" s="38" t="s">
        <v>953</v>
      </c>
      <c r="C68" s="39">
        <v>20254.813859511261</v>
      </c>
      <c r="D68" s="45">
        <v>11.219218633749223</v>
      </c>
      <c r="E68" s="54" t="s">
        <v>1387</v>
      </c>
    </row>
    <row r="69" spans="1:5">
      <c r="A69" s="9" t="s">
        <v>1168</v>
      </c>
      <c r="B69" s="38" t="s">
        <v>953</v>
      </c>
      <c r="C69" s="39">
        <v>16029.076926365262</v>
      </c>
      <c r="D69" s="45">
        <v>9.7341379769090342</v>
      </c>
      <c r="E69" s="54" t="s">
        <v>1387</v>
      </c>
    </row>
    <row r="70" spans="1:5">
      <c r="A70" s="9" t="s">
        <v>1169</v>
      </c>
      <c r="B70" s="38" t="s">
        <v>953</v>
      </c>
      <c r="C70" s="39">
        <v>20748.525894278569</v>
      </c>
      <c r="D70" s="45">
        <v>8.3449218349600169</v>
      </c>
      <c r="E70" s="54" t="s">
        <v>1387</v>
      </c>
    </row>
    <row r="71" spans="1:5">
      <c r="A71" s="9" t="s">
        <v>1170</v>
      </c>
      <c r="B71" s="38" t="s">
        <v>953</v>
      </c>
      <c r="C71" s="39">
        <v>19127.932230268558</v>
      </c>
      <c r="D71" s="45">
        <v>6.5158023623377774</v>
      </c>
      <c r="E71" s="54" t="s">
        <v>1387</v>
      </c>
    </row>
    <row r="72" spans="1:5">
      <c r="A72" s="9" t="s">
        <v>1171</v>
      </c>
      <c r="B72" s="38" t="s">
        <v>953</v>
      </c>
      <c r="C72" s="39">
        <v>23552.659625059387</v>
      </c>
      <c r="D72" s="45">
        <v>5.7387805589323166</v>
      </c>
      <c r="E72" s="54" t="s">
        <v>1387</v>
      </c>
    </row>
    <row r="73" spans="1:5">
      <c r="A73" s="9" t="s">
        <v>1172</v>
      </c>
      <c r="B73" s="38" t="s">
        <v>953</v>
      </c>
      <c r="C73" s="39">
        <v>13795.690278566955</v>
      </c>
      <c r="D73" s="45">
        <v>10.711758506957832</v>
      </c>
      <c r="E73" s="54" t="s">
        <v>1387</v>
      </c>
    </row>
    <row r="74" spans="1:5">
      <c r="A74" s="9" t="s">
        <v>1173</v>
      </c>
      <c r="B74" s="38" t="s">
        <v>953</v>
      </c>
      <c r="C74" s="39">
        <v>21164.037334790293</v>
      </c>
      <c r="D74" s="45">
        <v>6.5175852914970172</v>
      </c>
      <c r="E74" s="54" t="s">
        <v>1387</v>
      </c>
    </row>
    <row r="75" spans="1:5">
      <c r="A75" s="9" t="s">
        <v>1174</v>
      </c>
      <c r="B75" s="38" t="s">
        <v>953</v>
      </c>
      <c r="C75" s="39">
        <v>20776.313847523361</v>
      </c>
      <c r="D75" s="45">
        <v>11.207207572225034</v>
      </c>
      <c r="E75" s="54" t="s">
        <v>1387</v>
      </c>
    </row>
    <row r="76" spans="1:5">
      <c r="A76" s="9" t="s">
        <v>1175</v>
      </c>
      <c r="B76" s="38" t="s">
        <v>953</v>
      </c>
      <c r="C76" s="39">
        <v>14942.006315684494</v>
      </c>
      <c r="D76" s="45">
        <v>10.25437474847902</v>
      </c>
      <c r="E76" s="54" t="s">
        <v>1387</v>
      </c>
    </row>
    <row r="77" spans="1:5">
      <c r="A77" s="9" t="s">
        <v>1176</v>
      </c>
      <c r="B77" s="38" t="s">
        <v>953</v>
      </c>
      <c r="C77" s="39">
        <v>16717.073925428849</v>
      </c>
      <c r="D77" s="45">
        <v>8.2021561756654524</v>
      </c>
      <c r="E77" s="54" t="s">
        <v>1387</v>
      </c>
    </row>
    <row r="78" spans="1:5">
      <c r="A78" s="9" t="s">
        <v>1177</v>
      </c>
      <c r="B78" s="38" t="s">
        <v>953</v>
      </c>
      <c r="C78" s="39">
        <v>21207.971158657754</v>
      </c>
      <c r="D78" s="45">
        <v>6.7904366483869874</v>
      </c>
      <c r="E78" s="54" t="s">
        <v>1387</v>
      </c>
    </row>
    <row r="79" spans="1:5">
      <c r="A79" s="9" t="s">
        <v>1178</v>
      </c>
      <c r="B79" s="38" t="s">
        <v>953</v>
      </c>
      <c r="C79" s="39">
        <v>22726.900054329308</v>
      </c>
      <c r="D79" s="45">
        <v>5.7001828782039379</v>
      </c>
      <c r="E79" s="54" t="s">
        <v>1387</v>
      </c>
    </row>
    <row r="80" spans="1:5">
      <c r="A80" s="9" t="s">
        <v>1179</v>
      </c>
      <c r="B80" s="38" t="s">
        <v>953</v>
      </c>
      <c r="C80" s="39">
        <v>20001.160777647769</v>
      </c>
      <c r="D80" s="45">
        <v>7.6517249621342129</v>
      </c>
      <c r="E80" s="54" t="s">
        <v>1387</v>
      </c>
    </row>
    <row r="81" spans="1:5">
      <c r="A81" s="9" t="s">
        <v>1180</v>
      </c>
      <c r="B81" s="38" t="s">
        <v>953</v>
      </c>
      <c r="C81" s="39">
        <v>22680.639824318681</v>
      </c>
      <c r="D81" s="45">
        <v>6.1205891954235696</v>
      </c>
      <c r="E81" s="54" t="s">
        <v>1387</v>
      </c>
    </row>
    <row r="82" spans="1:5">
      <c r="A82" s="9" t="s">
        <v>1181</v>
      </c>
      <c r="B82" s="38" t="s">
        <v>953</v>
      </c>
      <c r="C82" s="39">
        <v>18780.005758178573</v>
      </c>
      <c r="D82" s="45">
        <v>9.2023900445267177</v>
      </c>
      <c r="E82" s="54" t="s">
        <v>1387</v>
      </c>
    </row>
    <row r="83" spans="1:5">
      <c r="A83" s="9" t="s">
        <v>1182</v>
      </c>
      <c r="B83" s="38" t="s">
        <v>953</v>
      </c>
      <c r="C83" s="39">
        <v>3858.7324800238421</v>
      </c>
      <c r="D83" s="45">
        <v>14.745660493129426</v>
      </c>
      <c r="E83" s="54" t="s">
        <v>1387</v>
      </c>
    </row>
    <row r="84" spans="1:5">
      <c r="A84" s="9" t="s">
        <v>1183</v>
      </c>
      <c r="B84" s="38" t="s">
        <v>953</v>
      </c>
      <c r="C84" s="39">
        <v>20339.485466083166</v>
      </c>
      <c r="D84" s="45">
        <v>6.8888429599256575</v>
      </c>
      <c r="E84" s="54" t="s">
        <v>1387</v>
      </c>
    </row>
    <row r="85" spans="1:5">
      <c r="A85" s="9" t="s">
        <v>1184</v>
      </c>
      <c r="B85" s="38" t="s">
        <v>953</v>
      </c>
      <c r="C85" s="39">
        <v>11911.894600900272</v>
      </c>
      <c r="D85" s="45">
        <v>17.748041856391112</v>
      </c>
      <c r="E85" s="54" t="s">
        <v>1387</v>
      </c>
    </row>
    <row r="86" spans="1:5">
      <c r="A86" s="9" t="s">
        <v>1185</v>
      </c>
      <c r="B86" s="38" t="s">
        <v>953</v>
      </c>
      <c r="C86" s="39">
        <v>16354.675944374336</v>
      </c>
      <c r="D86" s="45">
        <v>9.1180190803913366</v>
      </c>
      <c r="E86" s="54" t="s">
        <v>1387</v>
      </c>
    </row>
    <row r="87" spans="1:5">
      <c r="A87" s="9" t="s">
        <v>1200</v>
      </c>
      <c r="B87" s="38" t="s">
        <v>953</v>
      </c>
      <c r="C87" s="39">
        <v>14317.149313822694</v>
      </c>
      <c r="D87" s="45">
        <v>5.3179803930492069</v>
      </c>
      <c r="E87" s="54" t="s">
        <v>1387</v>
      </c>
    </row>
    <row r="88" spans="1:5">
      <c r="A88" s="9" t="s">
        <v>1201</v>
      </c>
      <c r="B88" s="38" t="s">
        <v>953</v>
      </c>
      <c r="C88" s="39">
        <v>12456.20222134221</v>
      </c>
      <c r="D88" s="45">
        <v>7.030828610800441</v>
      </c>
      <c r="E88" s="54" t="s">
        <v>1387</v>
      </c>
    </row>
    <row r="89" spans="1:5">
      <c r="A89" s="9" t="s">
        <v>1202</v>
      </c>
      <c r="B89" s="38" t="s">
        <v>953</v>
      </c>
      <c r="C89" s="39">
        <v>17406.483015716985</v>
      </c>
      <c r="D89" s="45">
        <v>5.453423639418995</v>
      </c>
      <c r="E89" s="54" t="s">
        <v>1387</v>
      </c>
    </row>
    <row r="90" spans="1:5">
      <c r="A90" s="9" t="s">
        <v>1203</v>
      </c>
      <c r="B90" s="38" t="s">
        <v>953</v>
      </c>
      <c r="C90" s="39">
        <v>22175.459478938603</v>
      </c>
      <c r="D90" s="45">
        <v>4.1559912352430333</v>
      </c>
      <c r="E90" s="54" t="s">
        <v>1387</v>
      </c>
    </row>
    <row r="91" spans="1:5">
      <c r="A91" s="9" t="s">
        <v>1204</v>
      </c>
      <c r="B91" s="38" t="s">
        <v>953</v>
      </c>
      <c r="C91" s="39">
        <v>16970.555590557917</v>
      </c>
      <c r="D91" s="45">
        <v>5.40582334213497</v>
      </c>
      <c r="E91" s="54" t="s">
        <v>1387</v>
      </c>
    </row>
    <row r="92" spans="1:5">
      <c r="A92" s="9" t="s">
        <v>1205</v>
      </c>
      <c r="B92" s="38" t="s">
        <v>953</v>
      </c>
      <c r="C92" s="39">
        <v>11050.963655738282</v>
      </c>
      <c r="D92" s="45">
        <v>7.3967899888562716</v>
      </c>
      <c r="E92" s="54" t="s">
        <v>1387</v>
      </c>
    </row>
    <row r="93" spans="1:5">
      <c r="A93" s="9" t="s">
        <v>1206</v>
      </c>
      <c r="B93" s="38" t="s">
        <v>953</v>
      </c>
      <c r="C93" s="39">
        <v>20339.649454346782</v>
      </c>
      <c r="D93" s="45">
        <v>4.5375523853737763</v>
      </c>
      <c r="E93" s="54" t="s">
        <v>1387</v>
      </c>
    </row>
    <row r="94" spans="1:5">
      <c r="A94" s="9" t="s">
        <v>1207</v>
      </c>
      <c r="B94" s="38" t="s">
        <v>953</v>
      </c>
      <c r="C94" s="39">
        <v>14692.853942519561</v>
      </c>
      <c r="D94" s="45">
        <v>7.3330947054037692</v>
      </c>
      <c r="E94" s="54" t="s">
        <v>1387</v>
      </c>
    </row>
    <row r="95" spans="1:5">
      <c r="A95" s="9" t="s">
        <v>1208</v>
      </c>
      <c r="B95" s="38" t="s">
        <v>953</v>
      </c>
      <c r="C95" s="39">
        <v>18312.619167258952</v>
      </c>
      <c r="D95" s="45">
        <v>6.0102568549625213</v>
      </c>
      <c r="E95" s="54" t="s">
        <v>1387</v>
      </c>
    </row>
    <row r="96" spans="1:5">
      <c r="A96" s="9" t="s">
        <v>1209</v>
      </c>
      <c r="B96" s="38" t="s">
        <v>953</v>
      </c>
      <c r="C96" s="39">
        <v>12312.718691088483</v>
      </c>
      <c r="D96" s="45">
        <v>8.0548593016436101</v>
      </c>
      <c r="E96" s="54" t="s">
        <v>1387</v>
      </c>
    </row>
    <row r="97" spans="1:5">
      <c r="A97" s="9" t="s">
        <v>1210</v>
      </c>
      <c r="B97" s="38" t="s">
        <v>953</v>
      </c>
      <c r="C97" s="39">
        <v>18015.90621555406</v>
      </c>
      <c r="D97" s="45">
        <v>4.9175557127027325</v>
      </c>
      <c r="E97" s="54" t="s">
        <v>1387</v>
      </c>
    </row>
    <row r="98" spans="1:5">
      <c r="A98" s="9" t="s">
        <v>1211</v>
      </c>
      <c r="B98" s="38" t="s">
        <v>953</v>
      </c>
      <c r="C98" s="39">
        <v>10553.985277199859</v>
      </c>
      <c r="D98" s="45">
        <v>13.836356732502757</v>
      </c>
      <c r="E98" s="54" t="s">
        <v>1387</v>
      </c>
    </row>
    <row r="99" spans="1:5">
      <c r="A99" s="9" t="s">
        <v>1212</v>
      </c>
      <c r="B99" s="38" t="s">
        <v>953</v>
      </c>
      <c r="C99" s="39">
        <v>13417.84625847936</v>
      </c>
      <c r="D99" s="45">
        <v>7.3180625526178575</v>
      </c>
      <c r="E99" s="54" t="s">
        <v>1387</v>
      </c>
    </row>
    <row r="100" spans="1:5">
      <c r="A100" s="9" t="s">
        <v>1213</v>
      </c>
      <c r="B100" s="38" t="s">
        <v>953</v>
      </c>
      <c r="C100" s="39">
        <v>17712.168696426314</v>
      </c>
      <c r="D100" s="45">
        <v>5.8350491298910434</v>
      </c>
      <c r="E100" s="54" t="s">
        <v>1387</v>
      </c>
    </row>
    <row r="101" spans="1:5">
      <c r="A101" s="9" t="s">
        <v>1214</v>
      </c>
      <c r="B101" s="38" t="s">
        <v>953</v>
      </c>
      <c r="C101" s="39">
        <v>11157.355168804756</v>
      </c>
      <c r="D101" s="45">
        <v>6.2902337744854426</v>
      </c>
      <c r="E101" s="54" t="s">
        <v>1387</v>
      </c>
    </row>
    <row r="102" spans="1:5">
      <c r="A102" s="9" t="s">
        <v>1215</v>
      </c>
      <c r="B102" s="38" t="s">
        <v>953</v>
      </c>
      <c r="C102" s="39">
        <v>17636.004316918741</v>
      </c>
      <c r="D102" s="45">
        <v>5.246470160476477</v>
      </c>
      <c r="E102" s="54" t="s">
        <v>1387</v>
      </c>
    </row>
    <row r="103" spans="1:5">
      <c r="A103" s="9" t="s">
        <v>1216</v>
      </c>
      <c r="B103" s="38" t="s">
        <v>953</v>
      </c>
      <c r="C103" s="39">
        <v>17740.806593884248</v>
      </c>
      <c r="D103" s="45">
        <v>4.9617201506521207</v>
      </c>
      <c r="E103" s="54" t="s">
        <v>1387</v>
      </c>
    </row>
    <row r="104" spans="1:5">
      <c r="A104" s="9" t="s">
        <v>1217</v>
      </c>
      <c r="B104" s="38" t="s">
        <v>953</v>
      </c>
      <c r="C104" s="39">
        <v>19530.84194648097</v>
      </c>
      <c r="D104" s="45">
        <v>5.0487386533598624</v>
      </c>
      <c r="E104" s="54" t="s">
        <v>1387</v>
      </c>
    </row>
    <row r="105" spans="1:5">
      <c r="A105" s="9" t="s">
        <v>1218</v>
      </c>
      <c r="B105" s="38" t="s">
        <v>953</v>
      </c>
      <c r="C105" s="39">
        <v>15534.847480163127</v>
      </c>
      <c r="D105" s="45">
        <v>6.8088843000325348</v>
      </c>
      <c r="E105" s="54" t="s">
        <v>1387</v>
      </c>
    </row>
    <row r="106" spans="1:5">
      <c r="A106" s="9" t="s">
        <v>1219</v>
      </c>
      <c r="B106" s="38" t="s">
        <v>953</v>
      </c>
      <c r="C106" s="39">
        <v>17043.115304162115</v>
      </c>
      <c r="D106" s="45">
        <v>6.0045330803820134</v>
      </c>
      <c r="E106" s="54" t="s">
        <v>1387</v>
      </c>
    </row>
    <row r="107" spans="1:5">
      <c r="A107" s="9" t="s">
        <v>1220</v>
      </c>
      <c r="B107" s="38" t="s">
        <v>953</v>
      </c>
      <c r="C107" s="39">
        <v>19073.911241513342</v>
      </c>
      <c r="D107" s="45">
        <v>5.1016102756744504</v>
      </c>
      <c r="E107" s="54" t="s">
        <v>1387</v>
      </c>
    </row>
    <row r="108" spans="1:5">
      <c r="A108" s="9" t="s">
        <v>1221</v>
      </c>
      <c r="B108" s="38" t="s">
        <v>953</v>
      </c>
      <c r="C108" s="39">
        <v>8866.71379216879</v>
      </c>
      <c r="D108" s="45">
        <v>12.896771878873034</v>
      </c>
      <c r="E108" s="54" t="s">
        <v>1387</v>
      </c>
    </row>
    <row r="109" spans="1:5">
      <c r="A109" s="9" t="s">
        <v>1223</v>
      </c>
      <c r="B109" s="38" t="s">
        <v>953</v>
      </c>
      <c r="C109" s="39">
        <v>4125.4505286693357</v>
      </c>
      <c r="D109" s="45">
        <v>19.280751078781929</v>
      </c>
      <c r="E109" s="54" t="s">
        <v>1387</v>
      </c>
    </row>
    <row r="110" spans="1:5">
      <c r="A110" s="9" t="s">
        <v>1224</v>
      </c>
      <c r="B110" s="38" t="s">
        <v>953</v>
      </c>
      <c r="C110" s="39">
        <v>11461.771434734053</v>
      </c>
      <c r="D110" s="45">
        <v>3.3394758671379141</v>
      </c>
      <c r="E110" s="54" t="s">
        <v>1387</v>
      </c>
    </row>
    <row r="111" spans="1:5">
      <c r="A111" s="9" t="s">
        <v>1225</v>
      </c>
      <c r="B111" s="38" t="s">
        <v>953</v>
      </c>
      <c r="C111" s="39">
        <v>11898.827202012202</v>
      </c>
      <c r="D111" s="45">
        <v>4.9059159523235962</v>
      </c>
      <c r="E111" s="54" t="s">
        <v>1387</v>
      </c>
    </row>
    <row r="112" spans="1:5">
      <c r="A112" s="9" t="s">
        <v>1226</v>
      </c>
      <c r="B112" s="38" t="s">
        <v>953</v>
      </c>
      <c r="C112" s="39">
        <v>13416.561168173721</v>
      </c>
      <c r="D112" s="45">
        <v>9.5509837673424833</v>
      </c>
      <c r="E112" s="54" t="s">
        <v>1387</v>
      </c>
    </row>
    <row r="113" spans="1:5">
      <c r="A113" s="9" t="s">
        <v>1227</v>
      </c>
      <c r="B113" s="38" t="s">
        <v>953</v>
      </c>
      <c r="C113" s="39">
        <v>6256.5635747413326</v>
      </c>
      <c r="D113" s="45">
        <v>11.568668836891291</v>
      </c>
      <c r="E113" s="54" t="s">
        <v>1387</v>
      </c>
    </row>
    <row r="114" spans="1:5">
      <c r="A114" s="9" t="s">
        <v>1228</v>
      </c>
      <c r="B114" s="38" t="s">
        <v>953</v>
      </c>
      <c r="C114" s="39">
        <v>11045.253776895523</v>
      </c>
      <c r="D114" s="45">
        <v>15.297134556264137</v>
      </c>
      <c r="E114" s="54" t="s">
        <v>1387</v>
      </c>
    </row>
    <row r="115" spans="1:5">
      <c r="A115" s="9" t="s">
        <v>1229</v>
      </c>
      <c r="B115" s="38" t="s">
        <v>953</v>
      </c>
      <c r="C115" s="39">
        <v>13298.554588334078</v>
      </c>
      <c r="D115" s="45">
        <v>7.1821332224971988</v>
      </c>
      <c r="E115" s="54" t="s">
        <v>1387</v>
      </c>
    </row>
    <row r="116" spans="1:5">
      <c r="A116" s="9" t="s">
        <v>1230</v>
      </c>
      <c r="B116" s="38" t="s">
        <v>953</v>
      </c>
      <c r="C116" s="39">
        <v>15377.178725197806</v>
      </c>
      <c r="D116" s="45">
        <v>3.865868343566039</v>
      </c>
      <c r="E116" s="54" t="s">
        <v>1387</v>
      </c>
    </row>
    <row r="117" spans="1:5">
      <c r="A117" s="9" t="s">
        <v>1231</v>
      </c>
      <c r="B117" s="38" t="s">
        <v>953</v>
      </c>
      <c r="C117" s="39">
        <v>10202.980297913389</v>
      </c>
      <c r="D117" s="45">
        <v>7.6277832192988511</v>
      </c>
      <c r="E117" s="54" t="s">
        <v>1387</v>
      </c>
    </row>
    <row r="118" spans="1:5">
      <c r="A118" s="9" t="s">
        <v>1232</v>
      </c>
      <c r="B118" s="38" t="s">
        <v>953</v>
      </c>
      <c r="C118" s="39">
        <v>8104.4496592609348</v>
      </c>
      <c r="D118" s="45">
        <v>18.395248280489579</v>
      </c>
      <c r="E118" s="54" t="s">
        <v>1387</v>
      </c>
    </row>
    <row r="119" spans="1:5">
      <c r="A119" s="9" t="s">
        <v>1233</v>
      </c>
      <c r="B119" s="38" t="s">
        <v>953</v>
      </c>
      <c r="C119" s="39">
        <v>11126.192215924581</v>
      </c>
      <c r="D119" s="45">
        <v>5.6246174495455143</v>
      </c>
      <c r="E119" s="54" t="s">
        <v>1387</v>
      </c>
    </row>
    <row r="120" spans="1:5">
      <c r="A120" s="9" t="s">
        <v>1234</v>
      </c>
      <c r="B120" s="38" t="s">
        <v>953</v>
      </c>
      <c r="C120" s="39">
        <v>19318.641592907858</v>
      </c>
      <c r="D120" s="45">
        <v>3.4761654415119119</v>
      </c>
      <c r="E120" s="54" t="s">
        <v>1387</v>
      </c>
    </row>
    <row r="121" spans="1:5">
      <c r="A121" s="9" t="s">
        <v>1235</v>
      </c>
      <c r="B121" s="38" t="s">
        <v>953</v>
      </c>
      <c r="C121" s="39">
        <v>19935.460087492247</v>
      </c>
      <c r="D121" s="45">
        <v>3.5657806312542637</v>
      </c>
      <c r="E121" s="54" t="s">
        <v>1387</v>
      </c>
    </row>
    <row r="122" spans="1:5">
      <c r="A122" s="9" t="s">
        <v>1236</v>
      </c>
      <c r="B122" s="38" t="s">
        <v>953</v>
      </c>
      <c r="C122" s="39">
        <v>21152.76475239301</v>
      </c>
      <c r="D122" s="45">
        <v>3.3052939248442113</v>
      </c>
      <c r="E122" s="54" t="s">
        <v>1387</v>
      </c>
    </row>
    <row r="123" spans="1:5">
      <c r="A123" s="9" t="s">
        <v>1237</v>
      </c>
      <c r="B123" s="38" t="s">
        <v>953</v>
      </c>
      <c r="C123" s="39">
        <v>18219.767542660076</v>
      </c>
      <c r="D123" s="45">
        <v>3.8799895132860422</v>
      </c>
      <c r="E123" s="54" t="s">
        <v>1387</v>
      </c>
    </row>
    <row r="124" spans="1:5">
      <c r="A124" s="9" t="s">
        <v>1238</v>
      </c>
      <c r="B124" s="38" t="s">
        <v>953</v>
      </c>
      <c r="C124" s="39">
        <v>19121.259761423345</v>
      </c>
      <c r="D124" s="45">
        <v>3.9806033254099571</v>
      </c>
      <c r="E124" s="54" t="s">
        <v>1387</v>
      </c>
    </row>
    <row r="125" spans="1:5">
      <c r="A125" s="9" t="s">
        <v>1239</v>
      </c>
      <c r="B125" s="38" t="s">
        <v>953</v>
      </c>
      <c r="C125" s="39">
        <v>22256.69318434157</v>
      </c>
      <c r="D125" s="45">
        <v>3.6028623880571939</v>
      </c>
      <c r="E125" s="54" t="s">
        <v>1387</v>
      </c>
    </row>
    <row r="126" spans="1:5">
      <c r="A126" s="9" t="s">
        <v>1240</v>
      </c>
      <c r="B126" s="38" t="s">
        <v>953</v>
      </c>
      <c r="C126" s="39">
        <v>19391.318518411979</v>
      </c>
      <c r="D126" s="45">
        <v>4.5541759223550873</v>
      </c>
      <c r="E126" s="54" t="s">
        <v>1387</v>
      </c>
    </row>
    <row r="127" spans="1:5">
      <c r="A127" s="9" t="s">
        <v>1241</v>
      </c>
      <c r="B127" s="38" t="s">
        <v>953</v>
      </c>
      <c r="C127" s="39">
        <v>21766.762298339949</v>
      </c>
      <c r="D127" s="45">
        <v>3.6641689110229758</v>
      </c>
      <c r="E127" s="54" t="s">
        <v>1387</v>
      </c>
    </row>
    <row r="128" spans="1:5">
      <c r="A128" s="9" t="s">
        <v>1242</v>
      </c>
      <c r="B128" s="38" t="s">
        <v>953</v>
      </c>
      <c r="C128" s="39">
        <v>16930.829181613575</v>
      </c>
      <c r="D128" s="45">
        <v>5.0046479126970755</v>
      </c>
      <c r="E128" s="54" t="s">
        <v>1387</v>
      </c>
    </row>
    <row r="129" spans="1:5">
      <c r="A129" s="9" t="s">
        <v>1243</v>
      </c>
      <c r="B129" s="38" t="s">
        <v>953</v>
      </c>
      <c r="C129" s="39">
        <v>16690.394996902167</v>
      </c>
      <c r="D129" s="45">
        <v>4.7734181848652382</v>
      </c>
      <c r="E129" s="54" t="s">
        <v>1387</v>
      </c>
    </row>
    <row r="130" spans="1:5">
      <c r="A130" s="9" t="s">
        <v>1244</v>
      </c>
      <c r="B130" s="38" t="s">
        <v>953</v>
      </c>
      <c r="C130" s="39">
        <v>25428.477744777192</v>
      </c>
      <c r="D130" s="45">
        <v>3.6292742773271716</v>
      </c>
      <c r="E130" s="54" t="s">
        <v>1387</v>
      </c>
    </row>
    <row r="131" spans="1:5">
      <c r="A131" s="9" t="s">
        <v>1245</v>
      </c>
      <c r="B131" s="38" t="s">
        <v>953</v>
      </c>
      <c r="C131" s="39">
        <v>18715.930697768643</v>
      </c>
      <c r="D131" s="45">
        <v>3.6702935239886085</v>
      </c>
      <c r="E131" s="54" t="s">
        <v>1387</v>
      </c>
    </row>
    <row r="132" spans="1:5">
      <c r="A132" s="9" t="s">
        <v>1246</v>
      </c>
      <c r="B132" s="38" t="s">
        <v>953</v>
      </c>
      <c r="C132" s="39">
        <v>17917.423835379799</v>
      </c>
      <c r="D132" s="45">
        <v>4.6899866949977085</v>
      </c>
      <c r="E132" s="54" t="s">
        <v>1387</v>
      </c>
    </row>
    <row r="133" spans="1:5">
      <c r="A133" s="9" t="s">
        <v>1247</v>
      </c>
      <c r="B133" s="38" t="s">
        <v>953</v>
      </c>
      <c r="C133" s="39">
        <v>19460.586938844215</v>
      </c>
      <c r="D133" s="45">
        <v>3.7287493924438229</v>
      </c>
      <c r="E133" s="54" t="s">
        <v>1387</v>
      </c>
    </row>
    <row r="134" spans="1:5">
      <c r="A134" s="9" t="s">
        <v>1248</v>
      </c>
      <c r="B134" s="38" t="s">
        <v>953</v>
      </c>
      <c r="C134" s="39">
        <v>14351.018349547665</v>
      </c>
      <c r="D134" s="45">
        <v>4.3282764879254936</v>
      </c>
      <c r="E134" s="54" t="s">
        <v>1387</v>
      </c>
    </row>
    <row r="135" spans="1:5">
      <c r="A135" s="9" t="s">
        <v>1249</v>
      </c>
      <c r="B135" s="38" t="s">
        <v>953</v>
      </c>
      <c r="C135" s="39">
        <v>24833.454568634934</v>
      </c>
      <c r="D135" s="45">
        <v>3.652683789493012</v>
      </c>
      <c r="E135" s="54" t="s">
        <v>1387</v>
      </c>
    </row>
    <row r="136" spans="1:5">
      <c r="A136" s="9" t="s">
        <v>237</v>
      </c>
      <c r="B136" s="46" t="s">
        <v>234</v>
      </c>
      <c r="C136" s="39">
        <v>1814</v>
      </c>
      <c r="D136" s="45">
        <v>2.767412935323383E-2</v>
      </c>
      <c r="E136" s="54" t="s">
        <v>1387</v>
      </c>
    </row>
    <row r="137" spans="1:5">
      <c r="A137" s="9" t="s">
        <v>243</v>
      </c>
      <c r="B137" s="46" t="s">
        <v>234</v>
      </c>
      <c r="C137" s="39">
        <v>1348</v>
      </c>
      <c r="D137" s="45">
        <v>1.7970797454137027E-2</v>
      </c>
      <c r="E137" s="54" t="s">
        <v>1387</v>
      </c>
    </row>
    <row r="138" spans="1:5">
      <c r="A138" s="9" t="s">
        <v>245</v>
      </c>
      <c r="B138" s="46" t="s">
        <v>234</v>
      </c>
      <c r="C138" s="39">
        <v>2140</v>
      </c>
      <c r="D138" s="45">
        <v>2.5996533795493933E-2</v>
      </c>
      <c r="E138" s="54" t="s">
        <v>1387</v>
      </c>
    </row>
    <row r="139" spans="1:5">
      <c r="A139" s="29" t="s">
        <v>607</v>
      </c>
      <c r="B139" s="46" t="s">
        <v>234</v>
      </c>
      <c r="C139" s="39">
        <v>1098.0999999999999</v>
      </c>
      <c r="D139" s="45">
        <v>9.9929627023223083E-2</v>
      </c>
      <c r="E139" s="54" t="s">
        <v>1387</v>
      </c>
    </row>
    <row r="140" spans="1:5">
      <c r="A140" s="29" t="s">
        <v>608</v>
      </c>
      <c r="B140" s="46" t="s">
        <v>234</v>
      </c>
      <c r="C140" s="39">
        <v>2647.8999999999996</v>
      </c>
      <c r="D140" s="45">
        <v>0.16071103008204193</v>
      </c>
      <c r="E140" s="54" t="s">
        <v>1387</v>
      </c>
    </row>
    <row r="141" spans="1:5">
      <c r="A141" s="29" t="s">
        <v>609</v>
      </c>
      <c r="B141" s="46" t="s">
        <v>234</v>
      </c>
      <c r="C141" s="39">
        <v>721.3</v>
      </c>
      <c r="D141" s="45">
        <v>0.13016858917480034</v>
      </c>
      <c r="E141" s="54" t="s">
        <v>1387</v>
      </c>
    </row>
    <row r="142" spans="1:5">
      <c r="A142" s="29" t="s">
        <v>610</v>
      </c>
      <c r="B142" s="46" t="s">
        <v>234</v>
      </c>
      <c r="C142" s="39">
        <v>1651.2</v>
      </c>
      <c r="D142" s="45">
        <v>0.14941037735849058</v>
      </c>
      <c r="E142" s="54" t="s">
        <v>1387</v>
      </c>
    </row>
    <row r="143" spans="1:5">
      <c r="A143" s="29" t="s">
        <v>611</v>
      </c>
      <c r="B143" s="36" t="s">
        <v>234</v>
      </c>
      <c r="C143" s="39">
        <v>2626.7</v>
      </c>
      <c r="D143" s="45">
        <v>0.10819875776397515</v>
      </c>
      <c r="E143" s="54" t="s">
        <v>1387</v>
      </c>
    </row>
    <row r="144" spans="1:5">
      <c r="A144" s="29" t="s">
        <v>612</v>
      </c>
      <c r="B144" s="36" t="s">
        <v>234</v>
      </c>
      <c r="C144" s="39">
        <v>1253.9000000000001</v>
      </c>
      <c r="D144" s="45">
        <v>0.16435185185185186</v>
      </c>
      <c r="E144" s="54" t="s">
        <v>1387</v>
      </c>
    </row>
    <row r="145" spans="1:5">
      <c r="A145" s="29" t="s">
        <v>613</v>
      </c>
      <c r="B145" s="36" t="s">
        <v>234</v>
      </c>
      <c r="C145" s="39">
        <v>440.26</v>
      </c>
      <c r="D145" s="45">
        <v>3.3117505995203834E-2</v>
      </c>
      <c r="E145" s="54" t="s">
        <v>1387</v>
      </c>
    </row>
    <row r="146" spans="1:5">
      <c r="A146" s="29" t="s">
        <v>614</v>
      </c>
      <c r="B146" s="36" t="s">
        <v>234</v>
      </c>
      <c r="C146" s="39">
        <v>1661.8</v>
      </c>
      <c r="D146" s="45">
        <v>0.13485915492957748</v>
      </c>
      <c r="E146" s="54" t="s">
        <v>1387</v>
      </c>
    </row>
    <row r="147" spans="1:5">
      <c r="A147" s="29" t="s">
        <v>615</v>
      </c>
      <c r="B147" s="36" t="s">
        <v>234</v>
      </c>
      <c r="C147" s="39">
        <v>1640.6999999999998</v>
      </c>
      <c r="D147" s="45">
        <v>0.15594563986409965</v>
      </c>
      <c r="E147" s="54" t="s">
        <v>1387</v>
      </c>
    </row>
    <row r="148" spans="1:5">
      <c r="A148" s="29" t="s">
        <v>616</v>
      </c>
      <c r="B148" s="36" t="s">
        <v>234</v>
      </c>
      <c r="C148" s="39">
        <v>590.35</v>
      </c>
      <c r="D148" s="45">
        <v>0.1335929892891918</v>
      </c>
      <c r="E148" s="54" t="s">
        <v>1387</v>
      </c>
    </row>
    <row r="149" spans="1:5">
      <c r="A149" s="29" t="s">
        <v>617</v>
      </c>
      <c r="B149" s="36" t="s">
        <v>234</v>
      </c>
      <c r="C149" s="39">
        <v>2905.1000000000004</v>
      </c>
      <c r="D149" s="45">
        <v>0.14534883720930233</v>
      </c>
      <c r="E149" s="54" t="s">
        <v>1387</v>
      </c>
    </row>
    <row r="150" spans="1:5">
      <c r="A150" s="29" t="s">
        <v>618</v>
      </c>
      <c r="B150" s="36" t="s">
        <v>234</v>
      </c>
      <c r="C150" s="39">
        <v>1509.8</v>
      </c>
      <c r="D150" s="45">
        <v>5.7924944812362024E-2</v>
      </c>
      <c r="E150" s="54" t="s">
        <v>1387</v>
      </c>
    </row>
    <row r="151" spans="1:5">
      <c r="A151" s="29" t="s">
        <v>619</v>
      </c>
      <c r="B151" s="36" t="s">
        <v>234</v>
      </c>
      <c r="C151" s="39">
        <v>1534.3000000000002</v>
      </c>
      <c r="D151" s="45">
        <v>0.12703894195444526</v>
      </c>
      <c r="E151" s="54" t="s">
        <v>1387</v>
      </c>
    </row>
    <row r="152" spans="1:5">
      <c r="A152" s="29" t="s">
        <v>620</v>
      </c>
      <c r="B152" s="36" t="s">
        <v>234</v>
      </c>
      <c r="C152" s="39">
        <v>1586.3</v>
      </c>
      <c r="D152" s="45">
        <v>8.9536423841059601E-2</v>
      </c>
      <c r="E152" s="54" t="s">
        <v>1387</v>
      </c>
    </row>
    <row r="153" spans="1:5">
      <c r="A153" s="29" t="s">
        <v>621</v>
      </c>
      <c r="B153" s="36" t="s">
        <v>234</v>
      </c>
      <c r="C153" s="39">
        <v>977.4</v>
      </c>
      <c r="D153" s="45">
        <v>0.16954976303317534</v>
      </c>
      <c r="E153" s="54" t="s">
        <v>1387</v>
      </c>
    </row>
    <row r="154" spans="1:5">
      <c r="A154" s="29" t="s">
        <v>622</v>
      </c>
      <c r="B154" s="36" t="s">
        <v>234</v>
      </c>
      <c r="C154" s="39">
        <v>965.09999999999991</v>
      </c>
      <c r="D154" s="45">
        <v>0.12314730100640439</v>
      </c>
      <c r="E154" s="54" t="s">
        <v>1387</v>
      </c>
    </row>
    <row r="155" spans="1:5">
      <c r="A155" s="29" t="s">
        <v>623</v>
      </c>
      <c r="B155" s="36" t="s">
        <v>234</v>
      </c>
      <c r="C155" s="39">
        <v>1350.1</v>
      </c>
      <c r="D155" s="45">
        <v>0.12781844802342607</v>
      </c>
      <c r="E155" s="54" t="s">
        <v>1387</v>
      </c>
    </row>
    <row r="156" spans="1:5">
      <c r="A156" s="29" t="s">
        <v>624</v>
      </c>
      <c r="B156" s="36" t="s">
        <v>234</v>
      </c>
      <c r="C156" s="39">
        <v>655.52</v>
      </c>
      <c r="D156" s="45">
        <v>0.14457831325301204</v>
      </c>
      <c r="E156" s="54" t="s">
        <v>1387</v>
      </c>
    </row>
    <row r="157" spans="1:5">
      <c r="A157" s="29" t="s">
        <v>625</v>
      </c>
      <c r="B157" s="36" t="s">
        <v>234</v>
      </c>
      <c r="C157" s="39">
        <v>849.7</v>
      </c>
      <c r="D157" s="45">
        <v>0.124</v>
      </c>
      <c r="E157" s="54" t="s">
        <v>1387</v>
      </c>
    </row>
    <row r="158" spans="1:5">
      <c r="A158" s="29" t="s">
        <v>626</v>
      </c>
      <c r="B158" s="36" t="s">
        <v>234</v>
      </c>
      <c r="C158" s="39">
        <v>860.8</v>
      </c>
      <c r="D158" s="45">
        <v>0.166375</v>
      </c>
      <c r="E158" s="54" t="s">
        <v>1387</v>
      </c>
    </row>
    <row r="159" spans="1:5">
      <c r="A159" s="29" t="s">
        <v>627</v>
      </c>
      <c r="B159" s="36" t="s">
        <v>234</v>
      </c>
      <c r="C159" s="39">
        <v>740.40000000000009</v>
      </c>
      <c r="D159" s="45">
        <v>0.14559471365638765</v>
      </c>
      <c r="E159" s="54" t="s">
        <v>1387</v>
      </c>
    </row>
    <row r="160" spans="1:5">
      <c r="A160" s="29" t="s">
        <v>628</v>
      </c>
      <c r="B160" s="36" t="s">
        <v>234</v>
      </c>
      <c r="C160" s="39">
        <v>954</v>
      </c>
      <c r="D160" s="45">
        <v>0.16741293532338308</v>
      </c>
      <c r="E160" s="54" t="s">
        <v>1387</v>
      </c>
    </row>
    <row r="161" spans="1:5">
      <c r="A161" s="29" t="s">
        <v>629</v>
      </c>
      <c r="B161" s="36" t="s">
        <v>234</v>
      </c>
      <c r="C161" s="39">
        <v>1341.5</v>
      </c>
      <c r="D161" s="45">
        <v>0.13084479371316304</v>
      </c>
      <c r="E161" s="54" t="s">
        <v>1387</v>
      </c>
    </row>
    <row r="162" spans="1:5">
      <c r="A162" s="29" t="s">
        <v>630</v>
      </c>
      <c r="B162" s="36" t="s">
        <v>234</v>
      </c>
      <c r="C162" s="39">
        <v>1348.1999999999998</v>
      </c>
      <c r="D162" s="45">
        <v>0.1242817423540315</v>
      </c>
      <c r="E162" s="54" t="s">
        <v>1387</v>
      </c>
    </row>
    <row r="163" spans="1:5">
      <c r="A163" s="29" t="s">
        <v>631</v>
      </c>
      <c r="B163" s="36" t="s">
        <v>234</v>
      </c>
      <c r="C163" s="39">
        <v>1076</v>
      </c>
      <c r="D163" s="45">
        <v>0.15607142857142856</v>
      </c>
      <c r="E163" s="54" t="s">
        <v>1387</v>
      </c>
    </row>
    <row r="164" spans="1:5">
      <c r="A164" s="29" t="s">
        <v>632</v>
      </c>
      <c r="B164" s="36" t="s">
        <v>234</v>
      </c>
      <c r="C164" s="39">
        <v>1802</v>
      </c>
      <c r="D164" s="45">
        <v>0.12719751809720786</v>
      </c>
      <c r="E164" s="54" t="s">
        <v>1387</v>
      </c>
    </row>
    <row r="165" spans="1:5">
      <c r="A165" s="29" t="s">
        <v>633</v>
      </c>
      <c r="B165" s="36" t="s">
        <v>234</v>
      </c>
      <c r="C165" s="39">
        <v>806.8</v>
      </c>
      <c r="D165" s="45">
        <v>0.16370463078848563</v>
      </c>
      <c r="E165" s="54" t="s">
        <v>1387</v>
      </c>
    </row>
    <row r="166" spans="1:5">
      <c r="A166" s="29" t="s">
        <v>634</v>
      </c>
      <c r="B166" s="36" t="s">
        <v>234</v>
      </c>
      <c r="C166" s="39">
        <v>918.90000000000009</v>
      </c>
      <c r="D166" s="45">
        <v>0.14396728016359919</v>
      </c>
      <c r="E166" s="54" t="s">
        <v>1387</v>
      </c>
    </row>
    <row r="167" spans="1:5">
      <c r="A167" s="29" t="s">
        <v>635</v>
      </c>
      <c r="B167" s="36" t="s">
        <v>234</v>
      </c>
      <c r="C167" s="39">
        <v>1025.4000000000001</v>
      </c>
      <c r="D167" s="45">
        <v>0.18461538461538463</v>
      </c>
      <c r="E167" s="54" t="s">
        <v>1387</v>
      </c>
    </row>
    <row r="168" spans="1:5">
      <c r="A168" s="29" t="s">
        <v>636</v>
      </c>
      <c r="B168" s="36" t="s">
        <v>234</v>
      </c>
      <c r="C168" s="39">
        <v>1241</v>
      </c>
      <c r="D168" s="45">
        <v>0.18356545961002788</v>
      </c>
      <c r="E168" s="54" t="s">
        <v>1387</v>
      </c>
    </row>
    <row r="169" spans="1:5">
      <c r="A169" s="29" t="s">
        <v>637</v>
      </c>
      <c r="B169" s="36" t="s">
        <v>234</v>
      </c>
      <c r="C169" s="39">
        <v>1025.9000000000001</v>
      </c>
      <c r="D169" s="45">
        <v>0.13692946058091288</v>
      </c>
      <c r="E169" s="54" t="s">
        <v>1387</v>
      </c>
    </row>
    <row r="170" spans="1:5">
      <c r="A170" s="29" t="s">
        <v>638</v>
      </c>
      <c r="B170" s="36" t="s">
        <v>234</v>
      </c>
      <c r="C170" s="39">
        <v>1311.4</v>
      </c>
      <c r="D170" s="45">
        <v>0.17673521850899743</v>
      </c>
      <c r="E170" s="54" t="s">
        <v>1387</v>
      </c>
    </row>
    <row r="171" spans="1:5">
      <c r="A171" s="29" t="s">
        <v>639</v>
      </c>
      <c r="B171" s="36" t="s">
        <v>234</v>
      </c>
      <c r="C171" s="39">
        <v>1461.2</v>
      </c>
      <c r="D171" s="45">
        <v>0.17304116865869856</v>
      </c>
      <c r="E171" s="54" t="s">
        <v>1387</v>
      </c>
    </row>
    <row r="172" spans="1:5">
      <c r="A172" s="29" t="s">
        <v>640</v>
      </c>
      <c r="B172" s="36" t="s">
        <v>234</v>
      </c>
      <c r="C172" s="39">
        <v>538.51</v>
      </c>
      <c r="D172" s="45">
        <v>0.11084945332211944</v>
      </c>
      <c r="E172" s="54" t="s">
        <v>1387</v>
      </c>
    </row>
    <row r="173" spans="1:5">
      <c r="A173" s="29" t="s">
        <v>641</v>
      </c>
      <c r="B173" s="36" t="s">
        <v>234</v>
      </c>
      <c r="C173" s="39">
        <v>2837.6</v>
      </c>
      <c r="D173" s="45">
        <v>0.13708769106999197</v>
      </c>
      <c r="E173" s="54" t="s">
        <v>1387</v>
      </c>
    </row>
    <row r="174" spans="1:5">
      <c r="A174" s="29" t="s">
        <v>642</v>
      </c>
      <c r="B174" s="36" t="s">
        <v>234</v>
      </c>
      <c r="C174" s="39">
        <v>2110.1</v>
      </c>
      <c r="D174" s="45">
        <v>0.12487198244330651</v>
      </c>
      <c r="E174" s="54" t="s">
        <v>1387</v>
      </c>
    </row>
    <row r="175" spans="1:5">
      <c r="A175" s="29" t="s">
        <v>643</v>
      </c>
      <c r="B175" s="36" t="s">
        <v>234</v>
      </c>
      <c r="C175" s="39">
        <v>1257.8</v>
      </c>
      <c r="D175" s="45">
        <v>0.15560344827586209</v>
      </c>
      <c r="E175" s="54" t="s">
        <v>1387</v>
      </c>
    </row>
    <row r="176" spans="1:5">
      <c r="A176" s="29" t="s">
        <v>644</v>
      </c>
      <c r="B176" s="36" t="s">
        <v>234</v>
      </c>
      <c r="C176" s="39">
        <v>907.2</v>
      </c>
      <c r="D176" s="45">
        <v>0.11505376344086021</v>
      </c>
      <c r="E176" s="54" t="s">
        <v>1387</v>
      </c>
    </row>
    <row r="177" spans="1:5">
      <c r="A177" s="29" t="s">
        <v>645</v>
      </c>
      <c r="B177" s="36" t="s">
        <v>234</v>
      </c>
      <c r="C177" s="39">
        <v>2645.5</v>
      </c>
      <c r="D177" s="45">
        <v>0.12989214175654853</v>
      </c>
      <c r="E177" s="54" t="s">
        <v>1387</v>
      </c>
    </row>
    <row r="178" spans="1:5">
      <c r="A178" s="29" t="s">
        <v>646</v>
      </c>
      <c r="B178" s="36" t="s">
        <v>234</v>
      </c>
      <c r="C178" s="39">
        <v>1639.8</v>
      </c>
      <c r="D178" s="45">
        <v>0.14904137235116044</v>
      </c>
      <c r="E178" s="54" t="s">
        <v>1387</v>
      </c>
    </row>
    <row r="179" spans="1:5">
      <c r="A179" s="29" t="s">
        <v>647</v>
      </c>
      <c r="B179" s="36" t="s">
        <v>234</v>
      </c>
      <c r="C179" s="39">
        <v>1662.6999999999998</v>
      </c>
      <c r="D179" s="45">
        <v>0.15353418308227115</v>
      </c>
      <c r="E179" s="54" t="s">
        <v>1387</v>
      </c>
    </row>
    <row r="180" spans="1:5">
      <c r="A180" s="29" t="s">
        <v>648</v>
      </c>
      <c r="B180" s="36" t="s">
        <v>234</v>
      </c>
      <c r="C180" s="39">
        <v>2869.6000000000004</v>
      </c>
      <c r="D180" s="45">
        <v>0.1726461843409316</v>
      </c>
      <c r="E180" s="54" t="s">
        <v>1387</v>
      </c>
    </row>
    <row r="181" spans="1:5">
      <c r="A181" s="29" t="s">
        <v>649</v>
      </c>
      <c r="B181" s="36" t="s">
        <v>234</v>
      </c>
      <c r="C181" s="39">
        <v>900.54000000000008</v>
      </c>
      <c r="D181" s="45">
        <v>0.13649564375605033</v>
      </c>
      <c r="E181" s="54" t="s">
        <v>1387</v>
      </c>
    </row>
    <row r="182" spans="1:5">
      <c r="A182" s="29" t="s">
        <v>650</v>
      </c>
      <c r="B182" s="36" t="s">
        <v>234</v>
      </c>
      <c r="C182" s="39">
        <v>1668.6</v>
      </c>
      <c r="D182" s="45">
        <v>0.13910561370123692</v>
      </c>
      <c r="E182" s="54" t="s">
        <v>1387</v>
      </c>
    </row>
    <row r="183" spans="1:5">
      <c r="A183" s="29" t="s">
        <v>651</v>
      </c>
      <c r="B183" s="36" t="s">
        <v>234</v>
      </c>
      <c r="C183" s="39">
        <v>1456.8999999999999</v>
      </c>
      <c r="D183" s="45">
        <v>0.12025431425976385</v>
      </c>
      <c r="E183" s="54" t="s">
        <v>1387</v>
      </c>
    </row>
    <row r="184" spans="1:5">
      <c r="A184" s="29" t="s">
        <v>652</v>
      </c>
      <c r="B184" s="36" t="s">
        <v>234</v>
      </c>
      <c r="C184" s="39">
        <v>519.74</v>
      </c>
      <c r="D184" s="45">
        <v>0.15026795284030009</v>
      </c>
      <c r="E184" s="54" t="s">
        <v>1387</v>
      </c>
    </row>
    <row r="185" spans="1:5">
      <c r="A185" s="29" t="s">
        <v>653</v>
      </c>
      <c r="B185" s="36" t="s">
        <v>234</v>
      </c>
      <c r="C185" s="39">
        <v>733.81</v>
      </c>
      <c r="D185" s="45">
        <v>0.15395763656633221</v>
      </c>
      <c r="E185" s="54" t="s">
        <v>1387</v>
      </c>
    </row>
    <row r="186" spans="1:5">
      <c r="A186" s="29" t="s">
        <v>654</v>
      </c>
      <c r="B186" s="36" t="s">
        <v>234</v>
      </c>
      <c r="C186" s="39">
        <v>1461.3000000000002</v>
      </c>
      <c r="D186" s="45">
        <v>5.0286738351254481E-2</v>
      </c>
      <c r="E186" s="54" t="s">
        <v>1387</v>
      </c>
    </row>
    <row r="187" spans="1:5">
      <c r="A187" s="29" t="s">
        <v>655</v>
      </c>
      <c r="B187" s="36" t="s">
        <v>234</v>
      </c>
      <c r="C187" s="39">
        <v>547.30999999999995</v>
      </c>
      <c r="D187" s="45">
        <v>0.13630393996247656</v>
      </c>
      <c r="E187" s="54" t="s">
        <v>1387</v>
      </c>
    </row>
    <row r="188" spans="1:5">
      <c r="A188" s="29" t="s">
        <v>656</v>
      </c>
      <c r="B188" s="36" t="s">
        <v>234</v>
      </c>
      <c r="C188" s="39">
        <v>2541</v>
      </c>
      <c r="D188" s="45">
        <v>0.15533216783216783</v>
      </c>
      <c r="E188" s="54" t="s">
        <v>1387</v>
      </c>
    </row>
    <row r="189" spans="1:5">
      <c r="A189" s="29" t="s">
        <v>657</v>
      </c>
      <c r="B189" s="36" t="s">
        <v>234</v>
      </c>
      <c r="C189" s="39">
        <v>1414.1999999999998</v>
      </c>
      <c r="D189" s="45">
        <v>0.15895390070921986</v>
      </c>
      <c r="E189" s="54" t="s">
        <v>1387</v>
      </c>
    </row>
    <row r="190" spans="1:5">
      <c r="A190" s="29" t="s">
        <v>658</v>
      </c>
      <c r="B190" s="36" t="s">
        <v>234</v>
      </c>
      <c r="C190" s="39">
        <v>1683.1</v>
      </c>
      <c r="D190" s="45">
        <v>0.13718439173680186</v>
      </c>
      <c r="E190" s="54" t="s">
        <v>1387</v>
      </c>
    </row>
    <row r="191" spans="1:5">
      <c r="A191" s="29" t="s">
        <v>659</v>
      </c>
      <c r="B191" s="36" t="s">
        <v>234</v>
      </c>
      <c r="C191" s="39">
        <v>1820.9</v>
      </c>
      <c r="D191" s="45">
        <v>7.2224498156493247E-2</v>
      </c>
      <c r="E191" s="54" t="s">
        <v>1387</v>
      </c>
    </row>
    <row r="192" spans="1:5">
      <c r="A192" s="29" t="s">
        <v>660</v>
      </c>
      <c r="B192" s="36" t="s">
        <v>234</v>
      </c>
      <c r="C192" s="39">
        <v>2717.7</v>
      </c>
      <c r="D192" s="45">
        <v>0.1226546212647672</v>
      </c>
      <c r="E192" s="54" t="s">
        <v>1387</v>
      </c>
    </row>
    <row r="193" spans="1:5">
      <c r="A193" s="29" t="s">
        <v>661</v>
      </c>
      <c r="B193" s="36" t="s">
        <v>234</v>
      </c>
      <c r="C193" s="39">
        <v>2194.5</v>
      </c>
      <c r="D193" s="45">
        <v>0.15013100436681223</v>
      </c>
      <c r="E193" s="54" t="s">
        <v>1387</v>
      </c>
    </row>
    <row r="194" spans="1:5">
      <c r="A194" s="29" t="s">
        <v>662</v>
      </c>
      <c r="B194" s="36" t="s">
        <v>234</v>
      </c>
      <c r="C194" s="39">
        <v>1059</v>
      </c>
      <c r="D194" s="45">
        <v>4.7709201060204466E-2</v>
      </c>
      <c r="E194" s="54" t="s">
        <v>1387</v>
      </c>
    </row>
    <row r="195" spans="1:5">
      <c r="A195" s="29" t="s">
        <v>663</v>
      </c>
      <c r="B195" s="36" t="s">
        <v>234</v>
      </c>
      <c r="C195" s="39">
        <v>2066.1999999999998</v>
      </c>
      <c r="D195" s="45">
        <v>0.13906882591093117</v>
      </c>
      <c r="E195" s="54" t="s">
        <v>1387</v>
      </c>
    </row>
    <row r="196" spans="1:5">
      <c r="A196" s="29" t="s">
        <v>664</v>
      </c>
      <c r="B196" s="36" t="s">
        <v>234</v>
      </c>
      <c r="C196" s="39">
        <v>2382.6</v>
      </c>
      <c r="D196" s="45">
        <v>0.10872567482736974</v>
      </c>
      <c r="E196" s="54" t="s">
        <v>1387</v>
      </c>
    </row>
    <row r="197" spans="1:5">
      <c r="A197" s="29" t="s">
        <v>665</v>
      </c>
      <c r="B197" s="36" t="s">
        <v>234</v>
      </c>
      <c r="C197" s="39">
        <v>911.59</v>
      </c>
      <c r="D197" s="45">
        <v>0.17935656836461128</v>
      </c>
      <c r="E197" s="54" t="s">
        <v>1387</v>
      </c>
    </row>
    <row r="198" spans="1:5">
      <c r="A198" s="29" t="s">
        <v>666</v>
      </c>
      <c r="B198" s="36" t="s">
        <v>234</v>
      </c>
      <c r="C198" s="39">
        <v>2534.5</v>
      </c>
      <c r="D198" s="45">
        <v>0.15192143467122118</v>
      </c>
      <c r="E198" s="54" t="s">
        <v>1387</v>
      </c>
    </row>
    <row r="199" spans="1:5">
      <c r="A199" s="29" t="s">
        <v>667</v>
      </c>
      <c r="B199" s="36" t="s">
        <v>234</v>
      </c>
      <c r="C199" s="39">
        <v>789.5</v>
      </c>
      <c r="D199" s="45">
        <v>0.27972027972027974</v>
      </c>
      <c r="E199" s="54" t="s">
        <v>1387</v>
      </c>
    </row>
    <row r="200" spans="1:5">
      <c r="A200" s="29" t="s">
        <v>668</v>
      </c>
      <c r="B200" s="36" t="s">
        <v>234</v>
      </c>
      <c r="C200" s="39">
        <v>916.40000000000009</v>
      </c>
      <c r="D200" s="45">
        <v>0.18352402745995425</v>
      </c>
      <c r="E200" s="54" t="s">
        <v>1387</v>
      </c>
    </row>
    <row r="201" spans="1:5">
      <c r="A201" s="29" t="s">
        <v>669</v>
      </c>
      <c r="B201" s="36" t="s">
        <v>234</v>
      </c>
      <c r="C201" s="39">
        <v>2011.7</v>
      </c>
      <c r="D201" s="45">
        <v>1.416624937406109E-2</v>
      </c>
      <c r="E201" s="54" t="s">
        <v>1387</v>
      </c>
    </row>
    <row r="202" spans="1:5">
      <c r="A202" s="29" t="s">
        <v>670</v>
      </c>
      <c r="B202" s="36" t="s">
        <v>234</v>
      </c>
      <c r="C202" s="39">
        <v>1847</v>
      </c>
      <c r="D202" s="45">
        <v>0.22487352445193928</v>
      </c>
      <c r="E202" s="54" t="s">
        <v>1387</v>
      </c>
    </row>
    <row r="203" spans="1:5">
      <c r="A203" s="29" t="s">
        <v>671</v>
      </c>
      <c r="B203" s="36" t="s">
        <v>234</v>
      </c>
      <c r="C203" s="39">
        <v>702.94</v>
      </c>
      <c r="D203" s="45">
        <v>0.33184421534936998</v>
      </c>
      <c r="E203" s="54" t="s">
        <v>1387</v>
      </c>
    </row>
    <row r="204" spans="1:5">
      <c r="A204" s="29" t="s">
        <v>672</v>
      </c>
      <c r="B204" s="36" t="s">
        <v>234</v>
      </c>
      <c r="C204" s="39">
        <v>594.85</v>
      </c>
      <c r="D204" s="45">
        <v>0.30476190476190473</v>
      </c>
      <c r="E204" s="54" t="s">
        <v>1387</v>
      </c>
    </row>
    <row r="205" spans="1:5">
      <c r="A205" s="29" t="s">
        <v>673</v>
      </c>
      <c r="B205" s="36" t="s">
        <v>234</v>
      </c>
      <c r="C205" s="39">
        <v>610.12</v>
      </c>
      <c r="D205" s="45">
        <v>0.32860125260960338</v>
      </c>
      <c r="E205" s="54" t="s">
        <v>1387</v>
      </c>
    </row>
    <row r="206" spans="1:5">
      <c r="A206" s="29" t="s">
        <v>674</v>
      </c>
      <c r="B206" s="36" t="s">
        <v>234</v>
      </c>
      <c r="C206" s="39">
        <v>610.42000000000007</v>
      </c>
      <c r="D206" s="45">
        <v>0.31879866518353728</v>
      </c>
      <c r="E206" s="54" t="s">
        <v>1387</v>
      </c>
    </row>
    <row r="207" spans="1:5">
      <c r="A207" s="29" t="s">
        <v>675</v>
      </c>
      <c r="B207" s="36" t="s">
        <v>234</v>
      </c>
      <c r="C207" s="39">
        <v>601.25</v>
      </c>
      <c r="D207" s="45">
        <v>0.29853515624999999</v>
      </c>
      <c r="E207" s="54" t="s">
        <v>1387</v>
      </c>
    </row>
    <row r="208" spans="1:5">
      <c r="A208" s="29" t="s">
        <v>676</v>
      </c>
      <c r="B208" s="36" t="s">
        <v>234</v>
      </c>
      <c r="C208" s="39">
        <v>1058.3</v>
      </c>
      <c r="D208" s="45">
        <v>0.22397311426437638</v>
      </c>
      <c r="E208" s="54" t="s">
        <v>1387</v>
      </c>
    </row>
    <row r="209" spans="1:5">
      <c r="A209" s="29" t="s">
        <v>677</v>
      </c>
      <c r="B209" s="36" t="s">
        <v>234</v>
      </c>
      <c r="C209" s="39">
        <v>1751</v>
      </c>
      <c r="D209" s="45">
        <v>0.38166666666666665</v>
      </c>
      <c r="E209" s="54" t="s">
        <v>1387</v>
      </c>
    </row>
    <row r="210" spans="1:5">
      <c r="A210" s="29" t="s">
        <v>678</v>
      </c>
      <c r="B210" s="36" t="s">
        <v>234</v>
      </c>
      <c r="C210" s="39">
        <v>1920.3</v>
      </c>
      <c r="D210" s="45">
        <v>0.17885196374622359</v>
      </c>
      <c r="E210" s="54" t="s">
        <v>1387</v>
      </c>
    </row>
    <row r="211" spans="1:5">
      <c r="A211" s="29" t="s">
        <v>679</v>
      </c>
      <c r="B211" s="36" t="s">
        <v>234</v>
      </c>
      <c r="C211" s="39">
        <v>668</v>
      </c>
      <c r="D211" s="45">
        <v>0.31969072164948453</v>
      </c>
      <c r="E211" s="54" t="s">
        <v>1387</v>
      </c>
    </row>
    <row r="212" spans="1:5">
      <c r="A212" s="29" t="s">
        <v>680</v>
      </c>
      <c r="B212" s="36" t="s">
        <v>234</v>
      </c>
      <c r="C212" s="39">
        <v>701.5</v>
      </c>
      <c r="D212" s="45">
        <v>0.31337648327939588</v>
      </c>
      <c r="E212" s="54" t="s">
        <v>1387</v>
      </c>
    </row>
    <row r="213" spans="1:5">
      <c r="A213" s="29" t="s">
        <v>681</v>
      </c>
      <c r="B213" s="36" t="s">
        <v>234</v>
      </c>
      <c r="C213" s="39">
        <v>747.9</v>
      </c>
      <c r="D213" s="45">
        <v>0.26637856525496972</v>
      </c>
      <c r="E213" s="54" t="s">
        <v>1387</v>
      </c>
    </row>
    <row r="214" spans="1:5">
      <c r="A214" s="29" t="s">
        <v>682</v>
      </c>
      <c r="B214" s="36" t="s">
        <v>234</v>
      </c>
      <c r="C214" s="39">
        <v>653.48</v>
      </c>
      <c r="D214" s="45">
        <v>0.34766355140186916</v>
      </c>
      <c r="E214" s="54" t="s">
        <v>1387</v>
      </c>
    </row>
    <row r="215" spans="1:5">
      <c r="A215" s="29" t="s">
        <v>683</v>
      </c>
      <c r="B215" s="36" t="s">
        <v>234</v>
      </c>
      <c r="C215" s="39">
        <v>759.6</v>
      </c>
      <c r="D215" s="45">
        <v>0.2032520325203252</v>
      </c>
      <c r="E215" s="54" t="s">
        <v>1387</v>
      </c>
    </row>
    <row r="216" spans="1:5">
      <c r="A216" s="29" t="s">
        <v>684</v>
      </c>
      <c r="B216" s="36" t="s">
        <v>234</v>
      </c>
      <c r="C216" s="39">
        <v>1144.4000000000001</v>
      </c>
      <c r="D216" s="45">
        <v>0.30838445807770964</v>
      </c>
      <c r="E216" s="54" t="s">
        <v>1387</v>
      </c>
    </row>
    <row r="217" spans="1:5">
      <c r="A217" s="29" t="s">
        <v>685</v>
      </c>
      <c r="B217" s="36" t="s">
        <v>234</v>
      </c>
      <c r="C217" s="39">
        <v>1783.7</v>
      </c>
      <c r="D217" s="45">
        <v>0.16342562781712813</v>
      </c>
      <c r="E217" s="54" t="s">
        <v>1387</v>
      </c>
    </row>
    <row r="218" spans="1:5">
      <c r="A218" s="29" t="s">
        <v>686</v>
      </c>
      <c r="B218" s="36" t="s">
        <v>234</v>
      </c>
      <c r="C218" s="39">
        <v>574.51</v>
      </c>
      <c r="D218" s="45">
        <v>0.29627263045793395</v>
      </c>
      <c r="E218" s="54" t="s">
        <v>1387</v>
      </c>
    </row>
    <row r="219" spans="1:5">
      <c r="A219" s="29" t="s">
        <v>687</v>
      </c>
      <c r="B219" s="36" t="s">
        <v>234</v>
      </c>
      <c r="C219" s="39">
        <v>554.29999999999995</v>
      </c>
      <c r="D219" s="45">
        <v>0.29805825242718448</v>
      </c>
      <c r="E219" s="54" t="s">
        <v>1387</v>
      </c>
    </row>
    <row r="220" spans="1:5">
      <c r="A220" s="29" t="s">
        <v>688</v>
      </c>
      <c r="B220" s="36" t="s">
        <v>234</v>
      </c>
      <c r="C220" s="39">
        <v>591.61</v>
      </c>
      <c r="D220" s="45">
        <v>0.31473029045643153</v>
      </c>
      <c r="E220" s="54" t="s">
        <v>1387</v>
      </c>
    </row>
    <row r="221" spans="1:5">
      <c r="A221" s="29" t="s">
        <v>689</v>
      </c>
      <c r="B221" s="36" t="s">
        <v>234</v>
      </c>
      <c r="C221" s="39">
        <v>645.40000000000009</v>
      </c>
      <c r="D221" s="45">
        <v>0.29785447761194028</v>
      </c>
      <c r="E221" s="54" t="s">
        <v>1387</v>
      </c>
    </row>
    <row r="222" spans="1:5">
      <c r="A222" s="29" t="s">
        <v>690</v>
      </c>
      <c r="B222" s="36" t="s">
        <v>234</v>
      </c>
      <c r="C222" s="39">
        <v>724.2</v>
      </c>
      <c r="D222" s="45">
        <v>0.3261133603238866</v>
      </c>
      <c r="E222" s="54" t="s">
        <v>1387</v>
      </c>
    </row>
    <row r="223" spans="1:5">
      <c r="A223" s="29" t="s">
        <v>691</v>
      </c>
      <c r="B223" s="36" t="s">
        <v>234</v>
      </c>
      <c r="C223" s="39">
        <v>1580.1</v>
      </c>
      <c r="D223" s="45">
        <v>6.0270541082164328E-2</v>
      </c>
      <c r="E223" s="54" t="s">
        <v>1387</v>
      </c>
    </row>
    <row r="224" spans="1:5">
      <c r="A224" s="29" t="s">
        <v>692</v>
      </c>
      <c r="B224" s="36" t="s">
        <v>234</v>
      </c>
      <c r="C224" s="39">
        <v>1514.1</v>
      </c>
      <c r="D224" s="45">
        <v>4.9188727583262169E-2</v>
      </c>
      <c r="E224" s="54" t="s">
        <v>1387</v>
      </c>
    </row>
    <row r="225" spans="1:5">
      <c r="A225" s="29" t="s">
        <v>693</v>
      </c>
      <c r="B225" s="36" t="s">
        <v>234</v>
      </c>
      <c r="C225" s="39">
        <v>1239.5999999999999</v>
      </c>
      <c r="D225" s="45">
        <v>6.6534541336353337E-2</v>
      </c>
      <c r="E225" s="54" t="s">
        <v>1387</v>
      </c>
    </row>
    <row r="226" spans="1:5">
      <c r="A226" s="29" t="s">
        <v>694</v>
      </c>
      <c r="B226" s="36" t="s">
        <v>234</v>
      </c>
      <c r="C226" s="39">
        <v>2409.4</v>
      </c>
      <c r="D226" s="45">
        <v>3.5680612846199174E-2</v>
      </c>
      <c r="E226" s="54" t="s">
        <v>1387</v>
      </c>
    </row>
    <row r="227" spans="1:5">
      <c r="A227" s="29" t="s">
        <v>695</v>
      </c>
      <c r="B227" s="36" t="s">
        <v>234</v>
      </c>
      <c r="C227" s="39">
        <v>1724.6000000000001</v>
      </c>
      <c r="D227" s="45">
        <v>4.4608797197353056E-2</v>
      </c>
      <c r="E227" s="54" t="s">
        <v>1387</v>
      </c>
    </row>
    <row r="228" spans="1:5">
      <c r="A228" s="29" t="s">
        <v>696</v>
      </c>
      <c r="B228" s="36" t="s">
        <v>234</v>
      </c>
      <c r="C228" s="39">
        <v>1806.2</v>
      </c>
      <c r="D228" s="45">
        <v>4.8584512905911745E-2</v>
      </c>
      <c r="E228" s="54" t="s">
        <v>1387</v>
      </c>
    </row>
    <row r="229" spans="1:5">
      <c r="A229" s="29" t="s">
        <v>697</v>
      </c>
      <c r="B229" s="36" t="s">
        <v>234</v>
      </c>
      <c r="C229" s="39">
        <v>1302.4000000000001</v>
      </c>
      <c r="D229" s="45">
        <v>6.1271975180972077E-2</v>
      </c>
      <c r="E229" s="54" t="s">
        <v>1387</v>
      </c>
    </row>
    <row r="230" spans="1:5">
      <c r="A230" s="29" t="s">
        <v>698</v>
      </c>
      <c r="B230" s="36" t="s">
        <v>234</v>
      </c>
      <c r="C230" s="39">
        <v>1990.1</v>
      </c>
      <c r="D230" s="45">
        <v>4.1320293398533006E-2</v>
      </c>
      <c r="E230" s="54" t="s">
        <v>1387</v>
      </c>
    </row>
    <row r="231" spans="1:5">
      <c r="A231" s="29" t="s">
        <v>699</v>
      </c>
      <c r="B231" s="36" t="s">
        <v>234</v>
      </c>
      <c r="C231" s="39">
        <v>1392.4</v>
      </c>
      <c r="D231" s="45">
        <v>5.7094100438810337E-2</v>
      </c>
      <c r="E231" s="54" t="s">
        <v>1387</v>
      </c>
    </row>
    <row r="232" spans="1:5">
      <c r="A232" s="29" t="s">
        <v>700</v>
      </c>
      <c r="B232" s="36" t="s">
        <v>234</v>
      </c>
      <c r="C232" s="39">
        <v>2723.6</v>
      </c>
      <c r="D232" s="45">
        <v>3.1629227988639298E-2</v>
      </c>
      <c r="E232" s="54" t="s">
        <v>1387</v>
      </c>
    </row>
    <row r="233" spans="1:5">
      <c r="A233" s="29" t="s">
        <v>701</v>
      </c>
      <c r="B233" s="36" t="s">
        <v>234</v>
      </c>
      <c r="C233" s="39">
        <v>1417.9</v>
      </c>
      <c r="D233" s="45">
        <v>6.3108320251177394E-2</v>
      </c>
      <c r="E233" s="54" t="s">
        <v>1387</v>
      </c>
    </row>
    <row r="234" spans="1:5">
      <c r="A234" s="29" t="s">
        <v>702</v>
      </c>
      <c r="B234" s="36" t="s">
        <v>234</v>
      </c>
      <c r="C234" s="39">
        <v>1695.1999999999998</v>
      </c>
      <c r="D234" s="45">
        <v>4.4221479004087696E-2</v>
      </c>
      <c r="E234" s="54" t="s">
        <v>1387</v>
      </c>
    </row>
    <row r="235" spans="1:5">
      <c r="A235" s="29" t="s">
        <v>703</v>
      </c>
      <c r="B235" s="36" t="s">
        <v>234</v>
      </c>
      <c r="C235" s="39">
        <v>1787.2</v>
      </c>
      <c r="D235" s="45">
        <v>4.83454398708636E-2</v>
      </c>
      <c r="E235" s="54" t="s">
        <v>1387</v>
      </c>
    </row>
    <row r="236" spans="1:5">
      <c r="A236" s="29" t="s">
        <v>704</v>
      </c>
      <c r="B236" s="36" t="s">
        <v>234</v>
      </c>
      <c r="C236" s="39">
        <v>2303.6999999999998</v>
      </c>
      <c r="D236" s="45">
        <v>3.7499999999999999E-2</v>
      </c>
      <c r="E236" s="54" t="s">
        <v>1387</v>
      </c>
    </row>
    <row r="237" spans="1:5">
      <c r="A237" s="29" t="s">
        <v>705</v>
      </c>
      <c r="B237" s="36" t="s">
        <v>234</v>
      </c>
      <c r="C237" s="39">
        <v>2317</v>
      </c>
      <c r="D237" s="45">
        <v>3.351063829787234E-2</v>
      </c>
      <c r="E237" s="54" t="s">
        <v>1387</v>
      </c>
    </row>
    <row r="238" spans="1:5">
      <c r="A238" s="29" t="s">
        <v>706</v>
      </c>
      <c r="B238" s="36" t="s">
        <v>234</v>
      </c>
      <c r="C238" s="39">
        <v>2079.1999999999998</v>
      </c>
      <c r="D238" s="45">
        <v>3.8974854932301746E-2</v>
      </c>
      <c r="E238" s="54" t="s">
        <v>1387</v>
      </c>
    </row>
    <row r="239" spans="1:5">
      <c r="A239" s="29" t="s">
        <v>707</v>
      </c>
      <c r="B239" s="36" t="s">
        <v>234</v>
      </c>
      <c r="C239" s="39">
        <v>1478.2</v>
      </c>
      <c r="D239" s="45">
        <v>5.4541241890639483E-2</v>
      </c>
      <c r="E239" s="54" t="s">
        <v>1387</v>
      </c>
    </row>
    <row r="240" spans="1:5">
      <c r="A240" s="29" t="s">
        <v>708</v>
      </c>
      <c r="B240" s="36" t="s">
        <v>234</v>
      </c>
      <c r="C240" s="39">
        <v>2012.1000000000001</v>
      </c>
      <c r="D240" s="45">
        <v>4.2930029154518948E-2</v>
      </c>
      <c r="E240" s="54" t="s">
        <v>1387</v>
      </c>
    </row>
    <row r="241" spans="1:5">
      <c r="A241" s="29" t="s">
        <v>709</v>
      </c>
      <c r="B241" s="36" t="s">
        <v>234</v>
      </c>
      <c r="C241" s="39">
        <v>1383.7</v>
      </c>
      <c r="D241" s="45">
        <v>6.5718972115910337E-2</v>
      </c>
      <c r="E241" s="54" t="s">
        <v>1387</v>
      </c>
    </row>
    <row r="242" spans="1:5">
      <c r="A242" s="29" t="s">
        <v>710</v>
      </c>
      <c r="B242" s="36" t="s">
        <v>234</v>
      </c>
      <c r="C242" s="39">
        <v>1862.8</v>
      </c>
      <c r="D242" s="45">
        <v>5.547882136279926E-2</v>
      </c>
      <c r="E242" s="54" t="s">
        <v>1387</v>
      </c>
    </row>
    <row r="243" spans="1:5">
      <c r="A243" s="29" t="s">
        <v>711</v>
      </c>
      <c r="B243" s="36" t="s">
        <v>234</v>
      </c>
      <c r="C243" s="39">
        <v>1779.6999999999998</v>
      </c>
      <c r="D243" s="45">
        <v>5.0905077262693159E-2</v>
      </c>
      <c r="E243" s="54" t="s">
        <v>1387</v>
      </c>
    </row>
    <row r="244" spans="1:5">
      <c r="A244" s="29" t="s">
        <v>712</v>
      </c>
      <c r="B244" s="36" t="s">
        <v>234</v>
      </c>
      <c r="C244" s="39">
        <v>1641.2</v>
      </c>
      <c r="D244" s="45">
        <v>5.2160760587726882E-2</v>
      </c>
      <c r="E244" s="54" t="s">
        <v>1387</v>
      </c>
    </row>
    <row r="245" spans="1:5">
      <c r="A245" s="29" t="s">
        <v>713</v>
      </c>
      <c r="B245" s="36" t="s">
        <v>234</v>
      </c>
      <c r="C245" s="39">
        <v>1444.7</v>
      </c>
      <c r="D245" s="45">
        <v>5.909090909090909E-2</v>
      </c>
      <c r="E245" s="54" t="s">
        <v>1387</v>
      </c>
    </row>
    <row r="246" spans="1:5">
      <c r="A246" s="29" t="s">
        <v>714</v>
      </c>
      <c r="B246" s="36" t="s">
        <v>234</v>
      </c>
      <c r="C246" s="39">
        <v>1332.1</v>
      </c>
      <c r="D246" s="45">
        <v>6.6628571428571426E-2</v>
      </c>
      <c r="E246" s="54" t="s">
        <v>1387</v>
      </c>
    </row>
    <row r="247" spans="1:5">
      <c r="A247" s="29" t="s">
        <v>715</v>
      </c>
      <c r="B247" s="36" t="s">
        <v>234</v>
      </c>
      <c r="C247" s="39">
        <v>1806.1000000000001</v>
      </c>
      <c r="D247" s="45">
        <v>5.7635933806146573E-2</v>
      </c>
      <c r="E247" s="54" t="s">
        <v>1387</v>
      </c>
    </row>
    <row r="248" spans="1:5">
      <c r="A248" s="29" t="s">
        <v>716</v>
      </c>
      <c r="B248" s="36" t="s">
        <v>234</v>
      </c>
      <c r="C248" s="39">
        <v>1904</v>
      </c>
      <c r="D248" s="45">
        <v>5.2240104393214436E-2</v>
      </c>
      <c r="E248" s="54" t="s">
        <v>1387</v>
      </c>
    </row>
    <row r="249" spans="1:5">
      <c r="A249" s="29" t="s">
        <v>717</v>
      </c>
      <c r="B249" s="36" t="s">
        <v>234</v>
      </c>
      <c r="C249" s="39">
        <v>5322.7000000000007</v>
      </c>
      <c r="D249" s="45">
        <v>1.0811153358681876E-2</v>
      </c>
      <c r="E249" s="54" t="s">
        <v>1387</v>
      </c>
    </row>
    <row r="250" spans="1:5">
      <c r="A250" s="29" t="s">
        <v>718</v>
      </c>
      <c r="B250" s="36" t="s">
        <v>234</v>
      </c>
      <c r="C250" s="39">
        <v>1762</v>
      </c>
      <c r="D250" s="45">
        <v>3.4326018808777427E-2</v>
      </c>
      <c r="E250" s="54" t="s">
        <v>1387</v>
      </c>
    </row>
    <row r="251" spans="1:5">
      <c r="A251" s="29" t="s">
        <v>719</v>
      </c>
      <c r="B251" s="36" t="s">
        <v>234</v>
      </c>
      <c r="C251" s="39">
        <v>1460.8</v>
      </c>
      <c r="D251" s="45">
        <v>2.610250297973778E-2</v>
      </c>
      <c r="E251" s="54" t="s">
        <v>1387</v>
      </c>
    </row>
    <row r="252" spans="1:5">
      <c r="A252" s="29" t="s">
        <v>720</v>
      </c>
      <c r="B252" s="36" t="s">
        <v>234</v>
      </c>
      <c r="C252" s="39">
        <v>1966.7</v>
      </c>
      <c r="D252" s="45">
        <v>3.3154670750382843E-2</v>
      </c>
      <c r="E252" s="54" t="s">
        <v>1387</v>
      </c>
    </row>
    <row r="253" spans="1:5">
      <c r="A253" s="29" t="s">
        <v>721</v>
      </c>
      <c r="B253" s="36" t="s">
        <v>234</v>
      </c>
      <c r="C253" s="39">
        <v>1141.3</v>
      </c>
      <c r="D253" s="45">
        <v>6.0653409090909098E-2</v>
      </c>
      <c r="E253" s="54" t="s">
        <v>1387</v>
      </c>
    </row>
    <row r="254" spans="1:5">
      <c r="A254" s="29" t="s">
        <v>722</v>
      </c>
      <c r="B254" s="36" t="s">
        <v>234</v>
      </c>
      <c r="C254" s="39">
        <v>1202</v>
      </c>
      <c r="D254" s="45">
        <v>5.5176767676767678E-2</v>
      </c>
      <c r="E254" s="54" t="s">
        <v>1387</v>
      </c>
    </row>
    <row r="255" spans="1:5">
      <c r="A255" s="29" t="s">
        <v>723</v>
      </c>
      <c r="B255" s="36" t="s">
        <v>234</v>
      </c>
      <c r="C255" s="39">
        <v>1345.2</v>
      </c>
      <c r="D255" s="45">
        <v>5.1222351571594875E-2</v>
      </c>
      <c r="E255" s="54" t="s">
        <v>1387</v>
      </c>
    </row>
    <row r="256" spans="1:5">
      <c r="A256" s="29" t="s">
        <v>724</v>
      </c>
      <c r="B256" s="36" t="s">
        <v>234</v>
      </c>
      <c r="C256" s="39">
        <v>1603.8</v>
      </c>
      <c r="D256" s="45">
        <v>3.8545111006140761E-2</v>
      </c>
      <c r="E256" s="54" t="s">
        <v>1387</v>
      </c>
    </row>
    <row r="257" spans="1:5">
      <c r="A257" s="29" t="s">
        <v>725</v>
      </c>
      <c r="B257" s="36" t="s">
        <v>234</v>
      </c>
      <c r="C257" s="39">
        <v>1318.6</v>
      </c>
      <c r="D257" s="45">
        <v>4.77408818726184E-2</v>
      </c>
      <c r="E257" s="54" t="s">
        <v>1387</v>
      </c>
    </row>
    <row r="258" spans="1:5">
      <c r="A258" s="29" t="s">
        <v>726</v>
      </c>
      <c r="B258" s="36" t="s">
        <v>234</v>
      </c>
      <c r="C258" s="39">
        <v>1778.7</v>
      </c>
      <c r="D258" s="45">
        <v>3.5426195426195427E-2</v>
      </c>
      <c r="E258" s="54" t="s">
        <v>1387</v>
      </c>
    </row>
    <row r="259" spans="1:5">
      <c r="A259" s="29" t="s">
        <v>727</v>
      </c>
      <c r="B259" s="36" t="s">
        <v>234</v>
      </c>
      <c r="C259" s="39">
        <v>2093.8999999999996</v>
      </c>
      <c r="D259" s="45">
        <v>3.259447674418605E-2</v>
      </c>
      <c r="E259" s="54" t="s">
        <v>1387</v>
      </c>
    </row>
    <row r="260" spans="1:5">
      <c r="A260" s="29" t="s">
        <v>728</v>
      </c>
      <c r="B260" s="36" t="s">
        <v>234</v>
      </c>
      <c r="C260" s="39">
        <v>1160.5999999999999</v>
      </c>
      <c r="D260" s="45">
        <v>5.2442996742671007E-2</v>
      </c>
      <c r="E260" s="54" t="s">
        <v>1387</v>
      </c>
    </row>
    <row r="261" spans="1:5">
      <c r="A261" s="29" t="s">
        <v>729</v>
      </c>
      <c r="B261" s="36" t="s">
        <v>234</v>
      </c>
      <c r="C261" s="39">
        <v>1962.8000000000002</v>
      </c>
      <c r="D261" s="45">
        <v>3.2861400894187778E-2</v>
      </c>
      <c r="E261" s="54" t="s">
        <v>1387</v>
      </c>
    </row>
    <row r="262" spans="1:5">
      <c r="A262" s="29" t="s">
        <v>730</v>
      </c>
      <c r="B262" s="36" t="s">
        <v>234</v>
      </c>
      <c r="C262" s="39">
        <v>1638.3</v>
      </c>
      <c r="D262" s="45">
        <v>3.7939698492462308E-2</v>
      </c>
      <c r="E262" s="54" t="s">
        <v>1387</v>
      </c>
    </row>
    <row r="263" spans="1:5">
      <c r="A263" s="29" t="s">
        <v>731</v>
      </c>
      <c r="B263" s="36" t="s">
        <v>234</v>
      </c>
      <c r="C263" s="39">
        <v>1123.7</v>
      </c>
      <c r="D263" s="45">
        <v>5.5570560432140446E-2</v>
      </c>
      <c r="E263" s="54" t="s">
        <v>1387</v>
      </c>
    </row>
    <row r="264" spans="1:5">
      <c r="A264" s="29" t="s">
        <v>732</v>
      </c>
      <c r="B264" s="36" t="s">
        <v>234</v>
      </c>
      <c r="C264" s="39">
        <v>1156.1999999999998</v>
      </c>
      <c r="D264" s="45">
        <v>5.4452054794520546E-2</v>
      </c>
      <c r="E264" s="54" t="s">
        <v>1387</v>
      </c>
    </row>
    <row r="265" spans="1:5">
      <c r="A265" s="29" t="s">
        <v>733</v>
      </c>
      <c r="B265" s="36" t="s">
        <v>234</v>
      </c>
      <c r="C265" s="39">
        <v>1823.2</v>
      </c>
      <c r="D265" s="45">
        <v>2.9708029197080293E-2</v>
      </c>
      <c r="E265" s="54" t="s">
        <v>1387</v>
      </c>
    </row>
    <row r="266" spans="1:5">
      <c r="A266" s="29" t="s">
        <v>734</v>
      </c>
      <c r="B266" s="36" t="s">
        <v>234</v>
      </c>
      <c r="C266" s="39">
        <v>1359.3000000000002</v>
      </c>
      <c r="D266" s="45">
        <v>4.6276595744680848E-2</v>
      </c>
      <c r="E266" s="54" t="s">
        <v>1387</v>
      </c>
    </row>
    <row r="267" spans="1:5">
      <c r="A267" s="29" t="s">
        <v>735</v>
      </c>
      <c r="B267" s="36" t="s">
        <v>234</v>
      </c>
      <c r="C267" s="39">
        <v>1808.4</v>
      </c>
      <c r="D267" s="45">
        <v>3.1991134096786111E-2</v>
      </c>
      <c r="E267" s="54" t="s">
        <v>1387</v>
      </c>
    </row>
    <row r="268" spans="1:5">
      <c r="A268" s="29" t="s">
        <v>736</v>
      </c>
      <c r="B268" s="36" t="s">
        <v>234</v>
      </c>
      <c r="C268" s="39">
        <v>2437.1000000000004</v>
      </c>
      <c r="D268" s="45">
        <v>2.3326799215905906E-2</v>
      </c>
      <c r="E268" s="54" t="s">
        <v>1387</v>
      </c>
    </row>
    <row r="269" spans="1:5">
      <c r="A269" s="29" t="s">
        <v>737</v>
      </c>
      <c r="B269" s="36" t="s">
        <v>234</v>
      </c>
      <c r="C269" s="39">
        <v>1576.4</v>
      </c>
      <c r="D269" s="45">
        <v>3.8236597252990695E-2</v>
      </c>
      <c r="E269" s="54" t="s">
        <v>1387</v>
      </c>
    </row>
    <row r="270" spans="1:5">
      <c r="A270" s="29" t="s">
        <v>738</v>
      </c>
      <c r="B270" s="36" t="s">
        <v>234</v>
      </c>
      <c r="C270" s="39">
        <v>1560.6999999999998</v>
      </c>
      <c r="D270" s="45">
        <v>3.5588865096359744E-2</v>
      </c>
      <c r="E270" s="54" t="s">
        <v>1387</v>
      </c>
    </row>
    <row r="271" spans="1:5">
      <c r="A271" s="29" t="s">
        <v>739</v>
      </c>
      <c r="B271" s="36" t="s">
        <v>234</v>
      </c>
      <c r="C271" s="39">
        <v>1613.6999999999998</v>
      </c>
      <c r="D271" s="45">
        <v>3.6790439607341019E-2</v>
      </c>
      <c r="E271" s="54" t="s">
        <v>1387</v>
      </c>
    </row>
    <row r="272" spans="1:5">
      <c r="A272" s="29" t="s">
        <v>740</v>
      </c>
      <c r="B272" s="36" t="s">
        <v>234</v>
      </c>
      <c r="C272" s="39">
        <v>1380.6</v>
      </c>
      <c r="D272" s="45">
        <v>4.4589833920483136E-2</v>
      </c>
      <c r="E272" s="54" t="s">
        <v>1387</v>
      </c>
    </row>
    <row r="273" spans="1:5">
      <c r="A273" s="29" t="s">
        <v>741</v>
      </c>
      <c r="B273" s="36" t="s">
        <v>234</v>
      </c>
      <c r="C273" s="39">
        <v>1981</v>
      </c>
      <c r="D273" s="45">
        <v>2.7539936102236422E-2</v>
      </c>
      <c r="E273" s="54" t="s">
        <v>1387</v>
      </c>
    </row>
    <row r="274" spans="1:5">
      <c r="A274" s="29" t="s">
        <v>742</v>
      </c>
      <c r="B274" s="36" t="s">
        <v>234</v>
      </c>
      <c r="C274" s="39">
        <v>1350.1999999999998</v>
      </c>
      <c r="D274" s="45">
        <v>4.0966682308775225E-2</v>
      </c>
      <c r="E274" s="54" t="s">
        <v>1387</v>
      </c>
    </row>
    <row r="275" spans="1:5">
      <c r="A275" s="29" t="s">
        <v>743</v>
      </c>
      <c r="B275" s="36" t="s">
        <v>234</v>
      </c>
      <c r="C275" s="39">
        <v>2947.3</v>
      </c>
      <c r="D275" s="45">
        <v>1.9597434195974341E-2</v>
      </c>
      <c r="E275" s="54" t="s">
        <v>1387</v>
      </c>
    </row>
    <row r="276" spans="1:5">
      <c r="A276" s="29" t="s">
        <v>744</v>
      </c>
      <c r="B276" s="36" t="s">
        <v>234</v>
      </c>
      <c r="C276" s="39">
        <v>1707.1</v>
      </c>
      <c r="D276" s="45">
        <v>3.4192037470725994E-2</v>
      </c>
      <c r="E276" s="54" t="s">
        <v>1387</v>
      </c>
    </row>
    <row r="277" spans="1:5">
      <c r="A277" s="9" t="s">
        <v>830</v>
      </c>
      <c r="B277" s="36" t="s">
        <v>234</v>
      </c>
      <c r="C277" s="39">
        <v>1266.5999999999999</v>
      </c>
      <c r="D277" s="45">
        <v>7.9412369015820827E-2</v>
      </c>
      <c r="E277" s="54" t="s">
        <v>1387</v>
      </c>
    </row>
    <row r="278" spans="1:5">
      <c r="A278" s="9" t="s">
        <v>832</v>
      </c>
      <c r="B278" s="36" t="s">
        <v>234</v>
      </c>
      <c r="C278" s="39">
        <v>1916.8000000000002</v>
      </c>
      <c r="D278" s="45">
        <v>0.11641816190716874</v>
      </c>
      <c r="E278" s="54" t="s">
        <v>1387</v>
      </c>
    </row>
    <row r="279" spans="1:5">
      <c r="A279" s="9" t="s">
        <v>833</v>
      </c>
      <c r="B279" s="36" t="s">
        <v>234</v>
      </c>
      <c r="C279" s="39">
        <v>1597.9</v>
      </c>
      <c r="D279" s="45">
        <v>6.6868861929520518E-2</v>
      </c>
      <c r="E279" s="54" t="s">
        <v>1387</v>
      </c>
    </row>
    <row r="280" spans="1:5">
      <c r="A280" s="9" t="s">
        <v>834</v>
      </c>
      <c r="B280" s="36" t="s">
        <v>234</v>
      </c>
      <c r="C280" s="39">
        <v>995.6</v>
      </c>
      <c r="D280" s="45">
        <v>0.11753633009562534</v>
      </c>
      <c r="E280" s="54" t="s">
        <v>1387</v>
      </c>
    </row>
    <row r="281" spans="1:5">
      <c r="A281" s="9" t="s">
        <v>835</v>
      </c>
      <c r="B281" s="36" t="s">
        <v>234</v>
      </c>
      <c r="C281" s="39">
        <v>870.90000000000009</v>
      </c>
      <c r="D281" s="45">
        <v>0.17404686258935664</v>
      </c>
      <c r="E281" s="54" t="s">
        <v>1387</v>
      </c>
    </row>
    <row r="282" spans="1:5">
      <c r="A282" s="9" t="s">
        <v>836</v>
      </c>
      <c r="B282" s="36" t="s">
        <v>234</v>
      </c>
      <c r="C282" s="39">
        <v>979</v>
      </c>
      <c r="D282" s="45">
        <v>0.16526080220347736</v>
      </c>
      <c r="E282" s="54" t="s">
        <v>1387</v>
      </c>
    </row>
    <row r="283" spans="1:5">
      <c r="A283" s="9" t="s">
        <v>837</v>
      </c>
      <c r="B283" s="36" t="s">
        <v>234</v>
      </c>
      <c r="C283" s="39">
        <v>902.19999999999993</v>
      </c>
      <c r="D283" s="45">
        <v>0.20181050090525043</v>
      </c>
      <c r="E283" s="54" t="s">
        <v>1387</v>
      </c>
    </row>
    <row r="284" spans="1:5">
      <c r="A284" s="9" t="s">
        <v>838</v>
      </c>
      <c r="B284" s="36" t="s">
        <v>234</v>
      </c>
      <c r="C284" s="39">
        <v>766.4</v>
      </c>
      <c r="D284" s="45">
        <v>0.19122009096302156</v>
      </c>
      <c r="E284" s="54" t="s">
        <v>1387</v>
      </c>
    </row>
    <row r="285" spans="1:5">
      <c r="A285" s="9" t="s">
        <v>840</v>
      </c>
      <c r="B285" s="36" t="s">
        <v>234</v>
      </c>
      <c r="C285" s="39">
        <v>896.8</v>
      </c>
      <c r="D285" s="45">
        <v>0.22093533385978767</v>
      </c>
      <c r="E285" s="54" t="s">
        <v>1387</v>
      </c>
    </row>
    <row r="286" spans="1:5">
      <c r="A286" s="9" t="s">
        <v>841</v>
      </c>
      <c r="B286" s="36" t="s">
        <v>234</v>
      </c>
      <c r="C286" s="39">
        <v>1070.4000000000001</v>
      </c>
      <c r="D286" s="45">
        <v>0.17172923352488989</v>
      </c>
      <c r="E286" s="54" t="s">
        <v>1387</v>
      </c>
    </row>
    <row r="287" spans="1:5">
      <c r="A287" s="9" t="s">
        <v>842</v>
      </c>
      <c r="B287" s="36" t="s">
        <v>234</v>
      </c>
      <c r="C287" s="39">
        <v>910.2</v>
      </c>
      <c r="D287" s="45">
        <v>0.19363557105492588</v>
      </c>
      <c r="E287" s="54" t="s">
        <v>1387</v>
      </c>
    </row>
    <row r="288" spans="1:5">
      <c r="A288" s="9" t="s">
        <v>843</v>
      </c>
      <c r="B288" s="36" t="s">
        <v>234</v>
      </c>
      <c r="C288" s="39">
        <v>889.8</v>
      </c>
      <c r="D288" s="45">
        <v>0.24142574968576044</v>
      </c>
      <c r="E288" s="54" t="s">
        <v>1387</v>
      </c>
    </row>
    <row r="289" spans="1:5">
      <c r="A289" s="9" t="s">
        <v>844</v>
      </c>
      <c r="B289" s="36" t="s">
        <v>234</v>
      </c>
      <c r="C289" s="39">
        <v>774.2</v>
      </c>
      <c r="D289" s="45">
        <v>0.26614188919888404</v>
      </c>
      <c r="E289" s="54" t="s">
        <v>1387</v>
      </c>
    </row>
    <row r="290" spans="1:5">
      <c r="A290" s="9" t="s">
        <v>845</v>
      </c>
      <c r="B290" s="36" t="s">
        <v>234</v>
      </c>
      <c r="C290" s="39">
        <v>1119.7</v>
      </c>
      <c r="D290" s="45">
        <v>0.1902697141177335</v>
      </c>
      <c r="E290" s="54" t="s">
        <v>1387</v>
      </c>
    </row>
    <row r="291" spans="1:5">
      <c r="A291" s="9" t="s">
        <v>846</v>
      </c>
      <c r="B291" s="36" t="s">
        <v>234</v>
      </c>
      <c r="C291" s="39">
        <v>1093.8</v>
      </c>
      <c r="D291" s="45">
        <v>0.19352459620915993</v>
      </c>
      <c r="E291" s="54" t="s">
        <v>1387</v>
      </c>
    </row>
    <row r="292" spans="1:5">
      <c r="A292" s="9" t="s">
        <v>847</v>
      </c>
      <c r="B292" s="36" t="s">
        <v>234</v>
      </c>
      <c r="C292" s="39">
        <v>926</v>
      </c>
      <c r="D292" s="45">
        <v>0.24623672951988593</v>
      </c>
      <c r="E292" s="54" t="s">
        <v>1387</v>
      </c>
    </row>
    <row r="293" spans="1:5">
      <c r="A293" s="9" t="s">
        <v>848</v>
      </c>
      <c r="B293" s="36" t="s">
        <v>234</v>
      </c>
      <c r="C293" s="39">
        <v>840.3</v>
      </c>
      <c r="D293" s="45">
        <v>0.21783846085645889</v>
      </c>
      <c r="E293" s="54" t="s">
        <v>1387</v>
      </c>
    </row>
    <row r="294" spans="1:5">
      <c r="A294" s="9" t="s">
        <v>849</v>
      </c>
      <c r="B294" s="36" t="s">
        <v>234</v>
      </c>
      <c r="C294" s="39">
        <v>900</v>
      </c>
      <c r="D294" s="45">
        <v>0.30601272767171384</v>
      </c>
      <c r="E294" s="54" t="s">
        <v>1387</v>
      </c>
    </row>
    <row r="295" spans="1:5">
      <c r="A295" s="9" t="s">
        <v>850</v>
      </c>
      <c r="B295" s="36" t="s">
        <v>234</v>
      </c>
      <c r="C295" s="39">
        <v>1003.7</v>
      </c>
      <c r="D295" s="45">
        <v>0.17002859571837081</v>
      </c>
      <c r="E295" s="54" t="s">
        <v>1387</v>
      </c>
    </row>
    <row r="296" spans="1:5">
      <c r="A296" s="9" t="s">
        <v>28</v>
      </c>
      <c r="B296" s="11" t="s">
        <v>1341</v>
      </c>
      <c r="C296" s="39">
        <v>8091</v>
      </c>
      <c r="D296" s="45">
        <v>0.13987473903966596</v>
      </c>
      <c r="E296" s="54" t="s">
        <v>1387</v>
      </c>
    </row>
    <row r="297" spans="1:5">
      <c r="A297" s="9" t="s">
        <v>32</v>
      </c>
      <c r="B297" s="11" t="s">
        <v>1341</v>
      </c>
      <c r="C297" s="39">
        <v>7348</v>
      </c>
      <c r="D297" s="45">
        <v>0.12442396313364056</v>
      </c>
      <c r="E297" s="54" t="s">
        <v>1387</v>
      </c>
    </row>
    <row r="298" spans="1:5">
      <c r="A298" s="9" t="s">
        <v>33</v>
      </c>
      <c r="B298" s="11" t="s">
        <v>1341</v>
      </c>
      <c r="C298" s="39">
        <v>7764</v>
      </c>
      <c r="D298" s="45">
        <v>8.3491461100569264E-2</v>
      </c>
      <c r="E298" s="54" t="s">
        <v>1387</v>
      </c>
    </row>
    <row r="299" spans="1:5">
      <c r="A299" s="9" t="s">
        <v>34</v>
      </c>
      <c r="B299" s="11" t="s">
        <v>1341</v>
      </c>
      <c r="C299" s="39">
        <v>8250</v>
      </c>
      <c r="D299" s="45">
        <v>1.8875047187617969E-2</v>
      </c>
      <c r="E299" s="54" t="s">
        <v>1387</v>
      </c>
    </row>
    <row r="300" spans="1:5">
      <c r="A300" s="9" t="s">
        <v>35</v>
      </c>
      <c r="B300" s="11" t="s">
        <v>1341</v>
      </c>
      <c r="C300" s="39">
        <v>10359</v>
      </c>
      <c r="D300" s="45">
        <v>0.26296743063932448</v>
      </c>
      <c r="E300" s="54" t="s">
        <v>1387</v>
      </c>
    </row>
    <row r="301" spans="1:5">
      <c r="A301" s="9" t="s">
        <v>36</v>
      </c>
      <c r="B301" s="11" t="s">
        <v>1341</v>
      </c>
      <c r="C301" s="39">
        <v>11778</v>
      </c>
      <c r="D301" s="45">
        <v>2.5626740947075208E-2</v>
      </c>
      <c r="E301" s="54" t="s">
        <v>1387</v>
      </c>
    </row>
    <row r="302" spans="1:5">
      <c r="A302" s="9" t="s">
        <v>37</v>
      </c>
      <c r="B302" s="11" t="s">
        <v>1341</v>
      </c>
      <c r="C302" s="39">
        <v>7857</v>
      </c>
      <c r="D302" s="45">
        <v>0.1751207729468599</v>
      </c>
      <c r="E302" s="54" t="s">
        <v>1387</v>
      </c>
    </row>
    <row r="303" spans="1:5">
      <c r="A303" s="9" t="s">
        <v>38</v>
      </c>
      <c r="B303" s="11" t="s">
        <v>1341</v>
      </c>
      <c r="C303" s="39">
        <v>6485</v>
      </c>
      <c r="D303" s="45">
        <v>0.1810436634717785</v>
      </c>
      <c r="E303" s="54" t="s">
        <v>1387</v>
      </c>
    </row>
    <row r="304" spans="1:5">
      <c r="A304" s="9" t="s">
        <v>39</v>
      </c>
      <c r="B304" s="11" t="s">
        <v>1341</v>
      </c>
      <c r="C304" s="39">
        <v>3936</v>
      </c>
      <c r="D304" s="45">
        <v>1.2808988764044944</v>
      </c>
      <c r="E304" s="54" t="s">
        <v>1387</v>
      </c>
    </row>
    <row r="305" spans="1:5">
      <c r="A305" s="9" t="s">
        <v>40</v>
      </c>
      <c r="B305" s="11" t="s">
        <v>1341</v>
      </c>
      <c r="C305" s="39">
        <v>7289</v>
      </c>
      <c r="D305" s="45">
        <v>0.24330357142857142</v>
      </c>
      <c r="E305" s="54" t="s">
        <v>1387</v>
      </c>
    </row>
    <row r="306" spans="1:5">
      <c r="A306" s="9" t="s">
        <v>41</v>
      </c>
      <c r="B306" s="11" t="s">
        <v>1341</v>
      </c>
      <c r="C306" s="39">
        <v>5480</v>
      </c>
      <c r="D306" s="45">
        <v>0.44379844961240311</v>
      </c>
      <c r="E306" s="54" t="s">
        <v>1387</v>
      </c>
    </row>
    <row r="307" spans="1:5">
      <c r="A307" s="9" t="s">
        <v>42</v>
      </c>
      <c r="B307" s="11" t="s">
        <v>1341</v>
      </c>
      <c r="C307" s="39">
        <v>12335</v>
      </c>
      <c r="D307" s="45">
        <v>0.22727272727272727</v>
      </c>
      <c r="E307" s="54" t="s">
        <v>1387</v>
      </c>
    </row>
    <row r="308" spans="1:5">
      <c r="A308" s="9" t="s">
        <v>51</v>
      </c>
      <c r="B308" s="11" t="s">
        <v>1341</v>
      </c>
      <c r="C308" s="39">
        <v>6185</v>
      </c>
      <c r="D308" s="45">
        <v>0.36670071501532175</v>
      </c>
      <c r="E308" s="54" t="s">
        <v>1387</v>
      </c>
    </row>
    <row r="309" spans="1:5">
      <c r="A309" s="9" t="s">
        <v>52</v>
      </c>
      <c r="B309" s="11" t="s">
        <v>1341</v>
      </c>
      <c r="C309" s="39">
        <v>7545</v>
      </c>
      <c r="D309" s="45">
        <v>0.29607609988109396</v>
      </c>
      <c r="E309" s="54" t="s">
        <v>1387</v>
      </c>
    </row>
    <row r="310" spans="1:5">
      <c r="A310" s="9" t="s">
        <v>53</v>
      </c>
      <c r="B310" s="11" t="s">
        <v>1341</v>
      </c>
      <c r="C310" s="39">
        <v>5861</v>
      </c>
      <c r="D310" s="45">
        <v>0.13719943422913719</v>
      </c>
      <c r="E310" s="54" t="s">
        <v>1387</v>
      </c>
    </row>
    <row r="311" spans="1:5">
      <c r="A311" s="9" t="s">
        <v>54</v>
      </c>
      <c r="B311" s="11" t="s">
        <v>1341</v>
      </c>
      <c r="C311" s="39">
        <v>4437</v>
      </c>
      <c r="D311" s="45">
        <v>2.3688811188811189E-2</v>
      </c>
      <c r="E311" s="54" t="s">
        <v>1387</v>
      </c>
    </row>
    <row r="312" spans="1:5">
      <c r="A312" s="9" t="s">
        <v>55</v>
      </c>
      <c r="B312" s="11" t="s">
        <v>1341</v>
      </c>
      <c r="C312" s="39">
        <v>11347</v>
      </c>
      <c r="D312" s="45">
        <v>0.35812672176308541</v>
      </c>
      <c r="E312" s="54" t="s">
        <v>1387</v>
      </c>
    </row>
    <row r="313" spans="1:5">
      <c r="A313" s="9" t="s">
        <v>56</v>
      </c>
      <c r="B313" s="11" t="s">
        <v>1341</v>
      </c>
      <c r="C313" s="39">
        <v>7204</v>
      </c>
      <c r="D313" s="45">
        <v>2.8335373317013461E-2</v>
      </c>
      <c r="E313" s="54" t="s">
        <v>1387</v>
      </c>
    </row>
    <row r="314" spans="1:5">
      <c r="A314" s="9" t="s">
        <v>57</v>
      </c>
      <c r="B314" s="11" t="s">
        <v>1341</v>
      </c>
      <c r="C314" s="39">
        <v>4630</v>
      </c>
      <c r="D314" s="45">
        <v>0.16483516483516483</v>
      </c>
      <c r="E314" s="54" t="s">
        <v>1387</v>
      </c>
    </row>
    <row r="315" spans="1:5">
      <c r="A315" s="9" t="s">
        <v>58</v>
      </c>
      <c r="B315" s="11" t="s">
        <v>1341</v>
      </c>
      <c r="C315" s="39">
        <v>3049</v>
      </c>
      <c r="D315" s="45">
        <v>0.22135416666666666</v>
      </c>
      <c r="E315" s="54" t="s">
        <v>1387</v>
      </c>
    </row>
    <row r="316" spans="1:5">
      <c r="A316" s="9" t="s">
        <v>59</v>
      </c>
      <c r="B316" s="11" t="s">
        <v>1341</v>
      </c>
      <c r="C316" s="39">
        <v>2777</v>
      </c>
      <c r="D316" s="45">
        <v>1.1722031309660175E-2</v>
      </c>
      <c r="E316" s="54" t="s">
        <v>1387</v>
      </c>
    </row>
    <row r="317" spans="1:5">
      <c r="A317" s="9" t="s">
        <v>70</v>
      </c>
      <c r="B317" s="11" t="s">
        <v>1341</v>
      </c>
      <c r="C317" s="39">
        <v>5750</v>
      </c>
      <c r="D317" s="45">
        <v>0.43533697632058288</v>
      </c>
      <c r="E317" s="54" t="s">
        <v>1387</v>
      </c>
    </row>
    <row r="318" spans="1:5">
      <c r="A318" s="9" t="s">
        <v>71</v>
      </c>
      <c r="B318" s="11" t="s">
        <v>1341</v>
      </c>
      <c r="C318" s="39">
        <v>13216</v>
      </c>
      <c r="D318" s="45">
        <v>2.4895688456189148E-2</v>
      </c>
      <c r="E318" s="54" t="s">
        <v>1387</v>
      </c>
    </row>
    <row r="319" spans="1:5">
      <c r="A319" s="9" t="s">
        <v>72</v>
      </c>
      <c r="B319" s="11" t="s">
        <v>1341</v>
      </c>
      <c r="C319" s="39">
        <v>5007</v>
      </c>
      <c r="D319" s="45">
        <v>0.63950617283950617</v>
      </c>
      <c r="E319" s="54" t="s">
        <v>1387</v>
      </c>
    </row>
    <row r="320" spans="1:5">
      <c r="A320" s="9" t="s">
        <v>73</v>
      </c>
      <c r="B320" s="11" t="s">
        <v>1341</v>
      </c>
      <c r="C320" s="39">
        <v>15484</v>
      </c>
      <c r="D320" s="45">
        <v>0.25499524262607043</v>
      </c>
      <c r="E320" s="54" t="s">
        <v>1387</v>
      </c>
    </row>
    <row r="321" spans="1:5">
      <c r="A321" s="9" t="s">
        <v>107</v>
      </c>
      <c r="B321" s="11" t="s">
        <v>1341</v>
      </c>
      <c r="C321" s="39">
        <v>6548</v>
      </c>
      <c r="D321" s="45">
        <v>0.17184643510054845</v>
      </c>
      <c r="E321" s="54" t="s">
        <v>1387</v>
      </c>
    </row>
    <row r="322" spans="1:5">
      <c r="A322" s="9" t="s">
        <v>109</v>
      </c>
      <c r="B322" s="11" t="s">
        <v>1341</v>
      </c>
      <c r="C322" s="39">
        <v>2890</v>
      </c>
      <c r="D322" s="45">
        <v>0.7668539325842697</v>
      </c>
      <c r="E322" s="54" t="s">
        <v>1387</v>
      </c>
    </row>
    <row r="323" spans="1:5">
      <c r="A323" s="9" t="s">
        <v>110</v>
      </c>
      <c r="B323" s="11" t="s">
        <v>1341</v>
      </c>
      <c r="C323" s="39">
        <v>4799</v>
      </c>
      <c r="D323" s="45">
        <v>1.0363636363636364</v>
      </c>
      <c r="E323" s="54" t="s">
        <v>1387</v>
      </c>
    </row>
    <row r="324" spans="1:5">
      <c r="A324" s="9" t="s">
        <v>111</v>
      </c>
      <c r="B324" s="11" t="s">
        <v>1341</v>
      </c>
      <c r="C324" s="39">
        <v>3780</v>
      </c>
      <c r="D324" s="45">
        <v>0.83646112600536193</v>
      </c>
      <c r="E324" s="54" t="s">
        <v>1387</v>
      </c>
    </row>
    <row r="325" spans="1:5">
      <c r="A325" s="9" t="s">
        <v>112</v>
      </c>
      <c r="B325" s="11" t="s">
        <v>1341</v>
      </c>
      <c r="C325" s="39">
        <v>8240</v>
      </c>
      <c r="D325" s="45">
        <v>0.21169590643274855</v>
      </c>
      <c r="E325" s="54" t="s">
        <v>1387</v>
      </c>
    </row>
    <row r="326" spans="1:5">
      <c r="A326" s="9" t="s">
        <v>113</v>
      </c>
      <c r="B326" s="11" t="s">
        <v>1341</v>
      </c>
      <c r="C326" s="39">
        <v>4715</v>
      </c>
      <c r="D326" s="45">
        <v>0.44952380952380955</v>
      </c>
      <c r="E326" s="54" t="s">
        <v>1387</v>
      </c>
    </row>
    <row r="327" spans="1:5">
      <c r="A327" s="9" t="s">
        <v>114</v>
      </c>
      <c r="B327" s="11" t="s">
        <v>1341</v>
      </c>
      <c r="C327" s="39">
        <v>9413</v>
      </c>
      <c r="D327" s="45">
        <v>0.21420118343195266</v>
      </c>
      <c r="E327" s="54" t="s">
        <v>1387</v>
      </c>
    </row>
    <row r="328" spans="1:5">
      <c r="A328" s="9" t="s">
        <v>115</v>
      </c>
      <c r="B328" s="11" t="s">
        <v>1341</v>
      </c>
      <c r="C328" s="39">
        <v>2603</v>
      </c>
      <c r="D328" s="45">
        <v>0.28295819935691319</v>
      </c>
      <c r="E328" s="54" t="s">
        <v>1387</v>
      </c>
    </row>
    <row r="329" spans="1:5">
      <c r="A329" s="9" t="s">
        <v>116</v>
      </c>
      <c r="B329" s="11" t="s">
        <v>1341</v>
      </c>
      <c r="C329" s="39">
        <v>3890</v>
      </c>
      <c r="D329" s="45">
        <v>0.99096385542168675</v>
      </c>
      <c r="E329" s="54" t="s">
        <v>1387</v>
      </c>
    </row>
    <row r="330" spans="1:5">
      <c r="A330" s="9" t="s">
        <v>117</v>
      </c>
      <c r="B330" s="11" t="s">
        <v>1341</v>
      </c>
      <c r="C330" s="39">
        <v>3173</v>
      </c>
      <c r="D330" s="45">
        <v>0.82849604221635886</v>
      </c>
      <c r="E330" s="54" t="s">
        <v>1387</v>
      </c>
    </row>
    <row r="331" spans="1:5">
      <c r="A331" s="9" t="s">
        <v>163</v>
      </c>
      <c r="B331" s="11" t="s">
        <v>1341</v>
      </c>
      <c r="C331" s="39">
        <v>3899</v>
      </c>
      <c r="D331" s="45">
        <v>1.1705128205128206</v>
      </c>
      <c r="E331" s="54" t="s">
        <v>1387</v>
      </c>
    </row>
    <row r="332" spans="1:5">
      <c r="A332" s="9" t="s">
        <v>166</v>
      </c>
      <c r="B332" s="11" t="s">
        <v>1341</v>
      </c>
      <c r="C332" s="39">
        <v>3762</v>
      </c>
      <c r="D332" s="45">
        <v>1.1678035470668486</v>
      </c>
      <c r="E332" s="54" t="s">
        <v>1387</v>
      </c>
    </row>
    <row r="333" spans="1:5">
      <c r="A333" s="9" t="s">
        <v>167</v>
      </c>
      <c r="B333" s="11" t="s">
        <v>1341</v>
      </c>
      <c r="C333" s="39">
        <v>4288</v>
      </c>
      <c r="D333" s="45">
        <v>0.98980891719745223</v>
      </c>
      <c r="E333" s="54" t="s">
        <v>1387</v>
      </c>
    </row>
    <row r="334" spans="1:5">
      <c r="A334" s="9" t="s">
        <v>168</v>
      </c>
      <c r="B334" s="11" t="s">
        <v>1341</v>
      </c>
      <c r="C334" s="39">
        <v>4183</v>
      </c>
      <c r="D334" s="45">
        <v>1.0400485436893203</v>
      </c>
      <c r="E334" s="54" t="s">
        <v>1387</v>
      </c>
    </row>
    <row r="335" spans="1:5">
      <c r="A335" s="9" t="s">
        <v>169</v>
      </c>
      <c r="B335" s="11" t="s">
        <v>1341</v>
      </c>
      <c r="C335" s="39">
        <v>2090</v>
      </c>
      <c r="D335" s="45">
        <v>0.83359746434231374</v>
      </c>
      <c r="E335" s="54" t="s">
        <v>1387</v>
      </c>
    </row>
    <row r="336" spans="1:5">
      <c r="A336" s="9" t="s">
        <v>170</v>
      </c>
      <c r="B336" s="11" t="s">
        <v>1341</v>
      </c>
      <c r="C336" s="39">
        <v>3236</v>
      </c>
      <c r="D336" s="45">
        <v>1.517774343122102</v>
      </c>
      <c r="E336" s="54" t="s">
        <v>1387</v>
      </c>
    </row>
    <row r="337" spans="1:5">
      <c r="A337" s="9" t="s">
        <v>171</v>
      </c>
      <c r="B337" s="11" t="s">
        <v>1341</v>
      </c>
      <c r="C337" s="39">
        <v>2684</v>
      </c>
      <c r="D337" s="45">
        <v>1.1720867208672088</v>
      </c>
      <c r="E337" s="54" t="s">
        <v>1387</v>
      </c>
    </row>
    <row r="338" spans="1:5">
      <c r="A338" s="9" t="s">
        <v>172</v>
      </c>
      <c r="B338" s="11" t="s">
        <v>1341</v>
      </c>
      <c r="C338" s="39">
        <v>2444</v>
      </c>
      <c r="D338" s="45">
        <v>1.2034188034188034</v>
      </c>
      <c r="E338" s="54" t="s">
        <v>1387</v>
      </c>
    </row>
    <row r="339" spans="1:5">
      <c r="A339" s="9" t="s">
        <v>173</v>
      </c>
      <c r="B339" s="11" t="s">
        <v>1341</v>
      </c>
      <c r="C339" s="39">
        <v>2819</v>
      </c>
      <c r="D339" s="45">
        <v>1.6199701937406856</v>
      </c>
      <c r="E339" s="54" t="s">
        <v>1387</v>
      </c>
    </row>
    <row r="340" spans="1:5">
      <c r="A340" s="9" t="s">
        <v>174</v>
      </c>
      <c r="B340" s="11" t="s">
        <v>1341</v>
      </c>
      <c r="C340" s="39">
        <v>1675</v>
      </c>
      <c r="D340" s="45">
        <v>2.1534090909090908</v>
      </c>
      <c r="E340" s="54" t="s">
        <v>1387</v>
      </c>
    </row>
    <row r="341" spans="1:5">
      <c r="A341" s="9" t="s">
        <v>175</v>
      </c>
      <c r="B341" s="11" t="s">
        <v>1341</v>
      </c>
      <c r="C341" s="39">
        <v>1961</v>
      </c>
      <c r="D341" s="45">
        <v>1.8466522678185746</v>
      </c>
      <c r="E341" s="54" t="s">
        <v>1387</v>
      </c>
    </row>
    <row r="342" spans="1:5">
      <c r="A342" s="9" t="s">
        <v>176</v>
      </c>
      <c r="B342" s="11" t="s">
        <v>1341</v>
      </c>
      <c r="C342" s="39">
        <v>1689</v>
      </c>
      <c r="D342" s="45">
        <v>1.3529411764705883</v>
      </c>
      <c r="E342" s="54" t="s">
        <v>1387</v>
      </c>
    </row>
    <row r="343" spans="1:5">
      <c r="A343" s="9" t="s">
        <v>241</v>
      </c>
      <c r="B343" s="11" t="s">
        <v>1341</v>
      </c>
      <c r="C343" s="39">
        <v>2375</v>
      </c>
      <c r="D343" s="45">
        <v>0.2673611111111111</v>
      </c>
      <c r="E343" s="54" t="s">
        <v>1387</v>
      </c>
    </row>
    <row r="344" spans="1:5">
      <c r="A344" s="9" t="s">
        <v>246</v>
      </c>
      <c r="B344" s="11" t="s">
        <v>1341</v>
      </c>
      <c r="C344" s="39">
        <v>2047</v>
      </c>
      <c r="D344" s="45">
        <v>0.29586563307493541</v>
      </c>
      <c r="E344" s="54" t="s">
        <v>1387</v>
      </c>
    </row>
    <row r="345" spans="1:5">
      <c r="A345" s="9" t="s">
        <v>247</v>
      </c>
      <c r="B345" s="11" t="s">
        <v>1341</v>
      </c>
      <c r="C345" s="39">
        <v>2777</v>
      </c>
      <c r="D345" s="45">
        <v>0.27936145952109465</v>
      </c>
      <c r="E345" s="54" t="s">
        <v>1387</v>
      </c>
    </row>
    <row r="346" spans="1:5">
      <c r="A346" s="9" t="s">
        <v>303</v>
      </c>
      <c r="B346" s="28" t="s">
        <v>1341</v>
      </c>
      <c r="C346" s="39">
        <v>2529.59</v>
      </c>
      <c r="D346" s="45">
        <v>0.89636864284301643</v>
      </c>
      <c r="E346" s="54" t="s">
        <v>1387</v>
      </c>
    </row>
    <row r="347" spans="1:5">
      <c r="A347" s="9" t="s">
        <v>305</v>
      </c>
      <c r="B347" s="28" t="s">
        <v>1341</v>
      </c>
      <c r="C347" s="39">
        <v>3146.22</v>
      </c>
      <c r="D347" s="45">
        <v>0.68808764833516378</v>
      </c>
      <c r="E347" s="54" t="s">
        <v>1387</v>
      </c>
    </row>
    <row r="348" spans="1:5">
      <c r="A348" s="9" t="s">
        <v>306</v>
      </c>
      <c r="B348" s="28" t="s">
        <v>1341</v>
      </c>
      <c r="C348" s="39">
        <v>2888.2</v>
      </c>
      <c r="D348" s="45">
        <v>1.1168065726022505</v>
      </c>
      <c r="E348" s="54" t="s">
        <v>1387</v>
      </c>
    </row>
    <row r="349" spans="1:5">
      <c r="A349" s="9" t="s">
        <v>307</v>
      </c>
      <c r="B349" s="28" t="s">
        <v>1341</v>
      </c>
      <c r="C349" s="39">
        <v>3295.74</v>
      </c>
      <c r="D349" s="45">
        <v>1.5794386912802043</v>
      </c>
      <c r="E349" s="54" t="s">
        <v>1387</v>
      </c>
    </row>
    <row r="350" spans="1:5">
      <c r="A350" s="9" t="s">
        <v>308</v>
      </c>
      <c r="B350" s="28" t="s">
        <v>1341</v>
      </c>
      <c r="C350" s="39">
        <v>2583.4300000000003</v>
      </c>
      <c r="D350" s="45">
        <v>0.82444357289930381</v>
      </c>
      <c r="E350" s="54" t="s">
        <v>1387</v>
      </c>
    </row>
    <row r="351" spans="1:5">
      <c r="A351" s="9" t="s">
        <v>309</v>
      </c>
      <c r="B351" s="28" t="s">
        <v>1341</v>
      </c>
      <c r="C351" s="39">
        <v>3060.12</v>
      </c>
      <c r="D351" s="45">
        <v>0.84267577643832026</v>
      </c>
      <c r="E351" s="54" t="s">
        <v>1387</v>
      </c>
    </row>
    <row r="352" spans="1:5">
      <c r="A352" s="9" t="s">
        <v>310</v>
      </c>
      <c r="B352" s="28" t="s">
        <v>1341</v>
      </c>
      <c r="C352" s="39">
        <v>5957.39</v>
      </c>
      <c r="D352" s="45">
        <v>1.2926292629262925</v>
      </c>
      <c r="E352" s="54" t="s">
        <v>1387</v>
      </c>
    </row>
    <row r="353" spans="1:5">
      <c r="A353" s="9" t="s">
        <v>311</v>
      </c>
      <c r="B353" s="28" t="s">
        <v>1341</v>
      </c>
      <c r="C353" s="39">
        <v>6760.4400000000005</v>
      </c>
      <c r="D353" s="45">
        <v>0.87359630695816815</v>
      </c>
      <c r="E353" s="54" t="s">
        <v>1387</v>
      </c>
    </row>
    <row r="354" spans="1:5">
      <c r="A354" s="9" t="s">
        <v>312</v>
      </c>
      <c r="B354" s="28" t="s">
        <v>1341</v>
      </c>
      <c r="C354" s="39">
        <v>3059.48</v>
      </c>
      <c r="D354" s="45">
        <v>2.1922911150791209</v>
      </c>
      <c r="E354" s="54" t="s">
        <v>1387</v>
      </c>
    </row>
    <row r="355" spans="1:5">
      <c r="A355" s="9" t="s">
        <v>313</v>
      </c>
      <c r="B355" s="28" t="s">
        <v>1341</v>
      </c>
      <c r="C355" s="39">
        <v>6003.69</v>
      </c>
      <c r="D355" s="45">
        <v>1.4570428630564858</v>
      </c>
      <c r="E355" s="54" t="s">
        <v>1387</v>
      </c>
    </row>
    <row r="356" spans="1:5">
      <c r="A356" s="9" t="s">
        <v>314</v>
      </c>
      <c r="B356" s="28" t="s">
        <v>1341</v>
      </c>
      <c r="C356" s="39">
        <v>1926.1799999999998</v>
      </c>
      <c r="D356" s="45">
        <v>4.5537023265696375</v>
      </c>
      <c r="E356" s="54" t="s">
        <v>1387</v>
      </c>
    </row>
    <row r="357" spans="1:5">
      <c r="A357" s="9" t="s">
        <v>315</v>
      </c>
      <c r="B357" s="28" t="s">
        <v>1341</v>
      </c>
      <c r="C357" s="39">
        <v>4481.67</v>
      </c>
      <c r="D357" s="45">
        <v>1.0020301260683224</v>
      </c>
      <c r="E357" s="54" t="s">
        <v>1387</v>
      </c>
    </row>
    <row r="358" spans="1:5">
      <c r="A358" s="9" t="s">
        <v>316</v>
      </c>
      <c r="B358" s="28" t="s">
        <v>1341</v>
      </c>
      <c r="C358" s="39">
        <v>3556.57</v>
      </c>
      <c r="D358" s="45">
        <v>1.9711441196826918</v>
      </c>
      <c r="E358" s="54" t="s">
        <v>1387</v>
      </c>
    </row>
    <row r="359" spans="1:5">
      <c r="A359" s="9" t="s">
        <v>317</v>
      </c>
      <c r="B359" s="28" t="s">
        <v>1341</v>
      </c>
      <c r="C359" s="39">
        <v>5717.02</v>
      </c>
      <c r="D359" s="45">
        <v>1.3013878963403167</v>
      </c>
      <c r="E359" s="54" t="s">
        <v>1387</v>
      </c>
    </row>
    <row r="360" spans="1:5">
      <c r="A360" s="9" t="s">
        <v>318</v>
      </c>
      <c r="B360" s="28" t="s">
        <v>1341</v>
      </c>
      <c r="C360" s="39">
        <v>5332.9000000000005</v>
      </c>
      <c r="D360" s="45">
        <v>0.76188413396867383</v>
      </c>
      <c r="E360" s="54" t="s">
        <v>1387</v>
      </c>
    </row>
    <row r="361" spans="1:5">
      <c r="A361" s="9" t="s">
        <v>319</v>
      </c>
      <c r="B361" s="28" t="s">
        <v>1341</v>
      </c>
      <c r="C361" s="39">
        <v>4833.04</v>
      </c>
      <c r="D361" s="45">
        <v>1.0749109998189827</v>
      </c>
      <c r="E361" s="54" t="s">
        <v>1387</v>
      </c>
    </row>
    <row r="362" spans="1:5">
      <c r="A362" s="9" t="s">
        <v>320</v>
      </c>
      <c r="B362" s="28" t="s">
        <v>1341</v>
      </c>
      <c r="C362" s="39">
        <v>4375.9799999999996</v>
      </c>
      <c r="D362" s="45">
        <v>0.53794861737595612</v>
      </c>
      <c r="E362" s="54" t="s">
        <v>1387</v>
      </c>
    </row>
    <row r="363" spans="1:5">
      <c r="A363" s="9" t="s">
        <v>321</v>
      </c>
      <c r="B363" s="28" t="s">
        <v>1341</v>
      </c>
      <c r="C363" s="39">
        <v>5275.119999999999</v>
      </c>
      <c r="D363" s="45">
        <v>0.81976350957389743</v>
      </c>
      <c r="E363" s="54" t="s">
        <v>1387</v>
      </c>
    </row>
    <row r="364" spans="1:5">
      <c r="A364" s="9" t="s">
        <v>322</v>
      </c>
      <c r="B364" s="28" t="s">
        <v>1341</v>
      </c>
      <c r="C364" s="39">
        <v>3103.36</v>
      </c>
      <c r="D364" s="45">
        <v>0.6095265640295453</v>
      </c>
      <c r="E364" s="54" t="s">
        <v>1387</v>
      </c>
    </row>
    <row r="365" spans="1:5">
      <c r="A365" s="9" t="s">
        <v>323</v>
      </c>
      <c r="B365" s="28" t="s">
        <v>1341</v>
      </c>
      <c r="C365" s="39">
        <v>2266.77</v>
      </c>
      <c r="D365" s="45">
        <v>0.76097979561588258</v>
      </c>
      <c r="E365" s="54" t="s">
        <v>1387</v>
      </c>
    </row>
    <row r="366" spans="1:5">
      <c r="A366" s="9" t="s">
        <v>324</v>
      </c>
      <c r="B366" s="28" t="s">
        <v>1341</v>
      </c>
      <c r="C366" s="39">
        <v>5240.6399999999994</v>
      </c>
      <c r="D366" s="45">
        <v>0.79473436065411041</v>
      </c>
      <c r="E366" s="54" t="s">
        <v>1387</v>
      </c>
    </row>
    <row r="367" spans="1:5">
      <c r="A367" s="9" t="s">
        <v>325</v>
      </c>
      <c r="B367" s="28" t="s">
        <v>1341</v>
      </c>
      <c r="C367" s="39">
        <v>5068.8500000000004</v>
      </c>
      <c r="D367" s="45">
        <v>0.79180218208659148</v>
      </c>
      <c r="E367" s="54" t="s">
        <v>1387</v>
      </c>
    </row>
    <row r="368" spans="1:5">
      <c r="A368" s="9" t="s">
        <v>326</v>
      </c>
      <c r="B368" s="28" t="s">
        <v>1341</v>
      </c>
      <c r="C368" s="39">
        <v>4987.7300000000005</v>
      </c>
      <c r="D368" s="45">
        <v>2.0180944755804644</v>
      </c>
      <c r="E368" s="54" t="s">
        <v>1387</v>
      </c>
    </row>
    <row r="369" spans="1:5">
      <c r="A369" s="9" t="s">
        <v>327</v>
      </c>
      <c r="B369" s="28" t="s">
        <v>1341</v>
      </c>
      <c r="C369" s="39">
        <v>5212.5600000000004</v>
      </c>
      <c r="D369" s="45">
        <v>2.1140409478523994</v>
      </c>
      <c r="E369" s="54" t="s">
        <v>1387</v>
      </c>
    </row>
    <row r="370" spans="1:5">
      <c r="A370" s="9" t="s">
        <v>328</v>
      </c>
      <c r="B370" s="28" t="s">
        <v>1341</v>
      </c>
      <c r="C370" s="39">
        <v>1172.6400000000001</v>
      </c>
      <c r="D370" s="45">
        <v>9.2408730925246267</v>
      </c>
      <c r="E370" s="54" t="s">
        <v>1387</v>
      </c>
    </row>
    <row r="371" spans="1:5">
      <c r="A371" s="9" t="s">
        <v>329</v>
      </c>
      <c r="B371" s="28" t="s">
        <v>1341</v>
      </c>
      <c r="C371" s="39">
        <v>3083.8</v>
      </c>
      <c r="D371" s="45">
        <v>3.4041643297812678</v>
      </c>
      <c r="E371" s="54" t="s">
        <v>1387</v>
      </c>
    </row>
    <row r="372" spans="1:5">
      <c r="A372" s="9" t="s">
        <v>330</v>
      </c>
      <c r="B372" s="28" t="s">
        <v>1341</v>
      </c>
      <c r="C372" s="39">
        <v>3499.6099999999997</v>
      </c>
      <c r="D372" s="45">
        <v>3.2083752515090542</v>
      </c>
      <c r="E372" s="54" t="s">
        <v>1387</v>
      </c>
    </row>
    <row r="373" spans="1:5">
      <c r="A373" s="9" t="s">
        <v>331</v>
      </c>
      <c r="B373" s="28" t="s">
        <v>1341</v>
      </c>
      <c r="C373" s="39">
        <v>3544.31</v>
      </c>
      <c r="D373" s="45">
        <v>3.7317933697244046</v>
      </c>
      <c r="E373" s="54" t="s">
        <v>1387</v>
      </c>
    </row>
    <row r="374" spans="1:5">
      <c r="A374" s="9" t="s">
        <v>332</v>
      </c>
      <c r="B374" s="28" t="s">
        <v>1341</v>
      </c>
      <c r="C374" s="39">
        <v>4306.4799999999996</v>
      </c>
      <c r="D374" s="45">
        <v>2.5457083042568041</v>
      </c>
      <c r="E374" s="54" t="s">
        <v>1387</v>
      </c>
    </row>
    <row r="375" spans="1:5">
      <c r="A375" s="9" t="s">
        <v>333</v>
      </c>
      <c r="B375" s="28" t="s">
        <v>1341</v>
      </c>
      <c r="C375" s="39">
        <v>3632.98</v>
      </c>
      <c r="D375" s="45">
        <v>3.0157368514464888</v>
      </c>
      <c r="E375" s="54" t="s">
        <v>1387</v>
      </c>
    </row>
    <row r="376" spans="1:5">
      <c r="A376" s="9" t="s">
        <v>334</v>
      </c>
      <c r="B376" s="28" t="s">
        <v>1341</v>
      </c>
      <c r="C376" s="39">
        <v>3646.4399999999996</v>
      </c>
      <c r="D376" s="45">
        <v>2.9979851019660519</v>
      </c>
      <c r="E376" s="54" t="s">
        <v>1387</v>
      </c>
    </row>
    <row r="377" spans="1:5">
      <c r="A377" s="9" t="s">
        <v>335</v>
      </c>
      <c r="B377" s="28" t="s">
        <v>1341</v>
      </c>
      <c r="C377" s="39">
        <v>1457.18</v>
      </c>
      <c r="D377" s="45">
        <v>8.8896737302388171</v>
      </c>
      <c r="E377" s="54" t="s">
        <v>1387</v>
      </c>
    </row>
    <row r="378" spans="1:5">
      <c r="A378" s="9" t="s">
        <v>326</v>
      </c>
      <c r="B378" s="28" t="s">
        <v>1341</v>
      </c>
      <c r="C378" s="39">
        <v>1955.73</v>
      </c>
      <c r="D378" s="45">
        <v>6.1170572461233528</v>
      </c>
      <c r="E378" s="54" t="s">
        <v>1387</v>
      </c>
    </row>
    <row r="379" spans="1:5">
      <c r="A379" s="9" t="s">
        <v>336</v>
      </c>
      <c r="B379" s="28" t="s">
        <v>1341</v>
      </c>
      <c r="C379" s="39">
        <v>7415.48</v>
      </c>
      <c r="D379" s="45">
        <v>1.5287213769321517</v>
      </c>
      <c r="E379" s="54" t="s">
        <v>1387</v>
      </c>
    </row>
    <row r="380" spans="1:5">
      <c r="A380" s="9" t="s">
        <v>337</v>
      </c>
      <c r="B380" s="28" t="s">
        <v>1341</v>
      </c>
      <c r="C380" s="39">
        <v>2606.96</v>
      </c>
      <c r="D380" s="45">
        <v>2.9311931883557699E-2</v>
      </c>
      <c r="E380" s="54" t="s">
        <v>1387</v>
      </c>
    </row>
    <row r="381" spans="1:5">
      <c r="A381" s="9" t="s">
        <v>338</v>
      </c>
      <c r="B381" s="28" t="s">
        <v>1341</v>
      </c>
      <c r="C381" s="39">
        <v>1952.92</v>
      </c>
      <c r="D381" s="45">
        <v>0.43758203295901998</v>
      </c>
      <c r="E381" s="54" t="s">
        <v>1387</v>
      </c>
    </row>
    <row r="382" spans="1:5">
      <c r="A382" s="9" t="s">
        <v>339</v>
      </c>
      <c r="B382" s="28" t="s">
        <v>1341</v>
      </c>
      <c r="C382" s="39">
        <v>2394.31</v>
      </c>
      <c r="D382" s="45">
        <v>0.24417224371175375</v>
      </c>
      <c r="E382" s="54" t="s">
        <v>1387</v>
      </c>
    </row>
    <row r="383" spans="1:5">
      <c r="A383" s="9" t="s">
        <v>340</v>
      </c>
      <c r="B383" s="28" t="s">
        <v>1341</v>
      </c>
      <c r="C383" s="39">
        <v>8015.15</v>
      </c>
      <c r="D383" s="45">
        <v>2.6365434308729481</v>
      </c>
      <c r="E383" s="54" t="s">
        <v>1387</v>
      </c>
    </row>
    <row r="384" spans="1:5">
      <c r="A384" s="9" t="s">
        <v>341</v>
      </c>
      <c r="B384" s="28" t="s">
        <v>1341</v>
      </c>
      <c r="C384" s="39">
        <v>7484.88</v>
      </c>
      <c r="D384" s="45">
        <v>2.4295063284582044E-2</v>
      </c>
      <c r="E384" s="54" t="s">
        <v>1387</v>
      </c>
    </row>
    <row r="385" spans="1:5">
      <c r="A385" s="9" t="s">
        <v>342</v>
      </c>
      <c r="B385" s="28" t="s">
        <v>1341</v>
      </c>
      <c r="C385" s="39">
        <v>3252.62</v>
      </c>
      <c r="D385" s="45">
        <v>0.14892331001579576</v>
      </c>
      <c r="E385" s="54" t="s">
        <v>1387</v>
      </c>
    </row>
    <row r="386" spans="1:5">
      <c r="A386" s="9" t="s">
        <v>343</v>
      </c>
      <c r="B386" s="11" t="s">
        <v>1341</v>
      </c>
      <c r="C386" s="39">
        <v>7062.9299999999994</v>
      </c>
      <c r="D386" s="45">
        <v>0.85082783882783886</v>
      </c>
      <c r="E386" s="54" t="s">
        <v>1387</v>
      </c>
    </row>
    <row r="387" spans="1:5">
      <c r="A387" s="9" t="s">
        <v>344</v>
      </c>
      <c r="B387" s="11" t="s">
        <v>1341</v>
      </c>
      <c r="C387" s="39">
        <v>7745.4699999999993</v>
      </c>
      <c r="D387" s="45">
        <v>1.2305080872872087</v>
      </c>
      <c r="E387" s="54" t="s">
        <v>1387</v>
      </c>
    </row>
    <row r="388" spans="1:5">
      <c r="A388" s="9" t="s">
        <v>345</v>
      </c>
      <c r="B388" s="11" t="s">
        <v>1341</v>
      </c>
      <c r="C388" s="39">
        <v>7904.99</v>
      </c>
      <c r="D388" s="45">
        <v>0.84285536556033236</v>
      </c>
      <c r="E388" s="54" t="s">
        <v>1387</v>
      </c>
    </row>
    <row r="389" spans="1:5">
      <c r="A389" s="9" t="s">
        <v>346</v>
      </c>
      <c r="B389" s="11" t="s">
        <v>1341</v>
      </c>
      <c r="C389" s="39">
        <v>7726.66</v>
      </c>
      <c r="D389" s="45">
        <v>0.87902436255799765</v>
      </c>
      <c r="E389" s="54" t="s">
        <v>1387</v>
      </c>
    </row>
    <row r="390" spans="1:5">
      <c r="A390" s="9" t="s">
        <v>347</v>
      </c>
      <c r="B390" s="11" t="s">
        <v>1341</v>
      </c>
      <c r="C390" s="39">
        <v>8451.5399999999991</v>
      </c>
      <c r="D390" s="45">
        <v>0.75523970127680085</v>
      </c>
      <c r="E390" s="54" t="s">
        <v>1387</v>
      </c>
    </row>
    <row r="391" spans="1:5">
      <c r="A391" s="9" t="s">
        <v>348</v>
      </c>
      <c r="B391" s="11" t="s">
        <v>1341</v>
      </c>
      <c r="C391" s="39">
        <v>8450.68</v>
      </c>
      <c r="D391" s="45">
        <v>1.0042501116274454</v>
      </c>
      <c r="E391" s="54" t="s">
        <v>1387</v>
      </c>
    </row>
    <row r="392" spans="1:5">
      <c r="A392" s="9" t="s">
        <v>349</v>
      </c>
      <c r="B392" s="11" t="s">
        <v>1341</v>
      </c>
      <c r="C392" s="39">
        <v>8892.35</v>
      </c>
      <c r="D392" s="45">
        <v>0.66383542509705651</v>
      </c>
      <c r="E392" s="54" t="s">
        <v>1387</v>
      </c>
    </row>
    <row r="393" spans="1:5">
      <c r="A393" s="9" t="s">
        <v>350</v>
      </c>
      <c r="B393" s="11" t="s">
        <v>1341</v>
      </c>
      <c r="C393" s="39">
        <v>6931.1200000000008</v>
      </c>
      <c r="D393" s="45">
        <v>1.1572947420516408</v>
      </c>
      <c r="E393" s="54" t="s">
        <v>1387</v>
      </c>
    </row>
    <row r="394" spans="1:5">
      <c r="A394" s="9" t="s">
        <v>351</v>
      </c>
      <c r="B394" s="11" t="s">
        <v>1341</v>
      </c>
      <c r="C394" s="39">
        <v>4928.5</v>
      </c>
      <c r="D394" s="45">
        <v>0.91825643300798576</v>
      </c>
      <c r="E394" s="54" t="s">
        <v>1387</v>
      </c>
    </row>
    <row r="395" spans="1:5">
      <c r="A395" s="9" t="s">
        <v>352</v>
      </c>
      <c r="B395" s="11" t="s">
        <v>1341</v>
      </c>
      <c r="C395" s="39">
        <v>6109.37</v>
      </c>
      <c r="D395" s="45">
        <v>0.13972489786739628</v>
      </c>
      <c r="E395" s="54" t="s">
        <v>1387</v>
      </c>
    </row>
    <row r="396" spans="1:5">
      <c r="A396" s="9" t="s">
        <v>353</v>
      </c>
      <c r="B396" s="11" t="s">
        <v>1341</v>
      </c>
      <c r="C396" s="39">
        <v>4906.5</v>
      </c>
      <c r="D396" s="45">
        <v>0.45091138309607603</v>
      </c>
      <c r="E396" s="54" t="s">
        <v>1387</v>
      </c>
    </row>
    <row r="397" spans="1:5">
      <c r="A397" s="9" t="s">
        <v>354</v>
      </c>
      <c r="B397" s="11" t="s">
        <v>1341</v>
      </c>
      <c r="C397" s="39">
        <v>6153.2</v>
      </c>
      <c r="D397" s="45">
        <v>0.30224661612168008</v>
      </c>
      <c r="E397" s="54" t="s">
        <v>1387</v>
      </c>
    </row>
    <row r="398" spans="1:5">
      <c r="A398" s="9" t="s">
        <v>355</v>
      </c>
      <c r="B398" s="11" t="s">
        <v>1341</v>
      </c>
      <c r="C398" s="39">
        <v>4844.4800000000005</v>
      </c>
      <c r="D398" s="45">
        <v>0.21337369010072235</v>
      </c>
      <c r="E398" s="54" t="s">
        <v>1387</v>
      </c>
    </row>
    <row r="399" spans="1:5">
      <c r="A399" s="9" t="s">
        <v>356</v>
      </c>
      <c r="B399" s="11" t="s">
        <v>1341</v>
      </c>
      <c r="C399" s="39">
        <v>5082.17</v>
      </c>
      <c r="D399" s="45">
        <v>1.0373731418705521</v>
      </c>
      <c r="E399" s="54" t="s">
        <v>1387</v>
      </c>
    </row>
    <row r="400" spans="1:5">
      <c r="A400" s="9" t="s">
        <v>357</v>
      </c>
      <c r="B400" s="11" t="s">
        <v>1341</v>
      </c>
      <c r="C400" s="39">
        <v>4839.22</v>
      </c>
      <c r="D400" s="45">
        <v>1.147511911064055</v>
      </c>
      <c r="E400" s="54" t="s">
        <v>1387</v>
      </c>
    </row>
    <row r="401" spans="1:5">
      <c r="A401" s="9" t="s">
        <v>358</v>
      </c>
      <c r="B401" s="11" t="s">
        <v>1341</v>
      </c>
      <c r="C401" s="39">
        <v>5612.2300000000005</v>
      </c>
      <c r="D401" s="45">
        <v>0.96999491813782901</v>
      </c>
      <c r="E401" s="54" t="s">
        <v>1387</v>
      </c>
    </row>
    <row r="402" spans="1:5">
      <c r="A402" s="9" t="s">
        <v>359</v>
      </c>
      <c r="B402" s="11" t="s">
        <v>1341</v>
      </c>
      <c r="C402" s="39">
        <v>4946.66</v>
      </c>
      <c r="D402" s="45">
        <v>0.92376653501347883</v>
      </c>
      <c r="E402" s="54" t="s">
        <v>1387</v>
      </c>
    </row>
    <row r="403" spans="1:5">
      <c r="A403" s="9" t="s">
        <v>360</v>
      </c>
      <c r="B403" s="11" t="s">
        <v>1341</v>
      </c>
      <c r="C403" s="39">
        <v>4970.9400000000005</v>
      </c>
      <c r="D403" s="45">
        <v>0.88567708333333339</v>
      </c>
      <c r="E403" s="54" t="s">
        <v>1387</v>
      </c>
    </row>
    <row r="404" spans="1:5">
      <c r="A404" s="9" t="s">
        <v>361</v>
      </c>
      <c r="B404" s="11" t="s">
        <v>1341</v>
      </c>
      <c r="C404" s="39">
        <v>5177.42</v>
      </c>
      <c r="D404" s="45">
        <v>0.93640614275909395</v>
      </c>
      <c r="E404" s="54" t="s">
        <v>1387</v>
      </c>
    </row>
    <row r="405" spans="1:5">
      <c r="A405" s="9" t="s">
        <v>362</v>
      </c>
      <c r="B405" s="11" t="s">
        <v>1341</v>
      </c>
      <c r="C405" s="39">
        <v>5062.1099999999997</v>
      </c>
      <c r="D405" s="45">
        <v>1.6493950257674208</v>
      </c>
      <c r="E405" s="54" t="s">
        <v>1387</v>
      </c>
    </row>
    <row r="406" spans="1:5">
      <c r="A406" s="9" t="s">
        <v>363</v>
      </c>
      <c r="B406" s="11" t="s">
        <v>1341</v>
      </c>
      <c r="C406" s="39">
        <v>4802.5200000000004</v>
      </c>
      <c r="D406" s="45">
        <v>1.1535104546326491</v>
      </c>
      <c r="E406" s="54" t="s">
        <v>1387</v>
      </c>
    </row>
    <row r="407" spans="1:5">
      <c r="A407" s="9" t="s">
        <v>364</v>
      </c>
      <c r="B407" s="11" t="s">
        <v>1341</v>
      </c>
      <c r="C407" s="39">
        <v>2723.85</v>
      </c>
      <c r="D407" s="45">
        <v>6.618350038550501</v>
      </c>
      <c r="E407" s="54" t="s">
        <v>1387</v>
      </c>
    </row>
    <row r="408" spans="1:5">
      <c r="A408" s="9" t="s">
        <v>365</v>
      </c>
      <c r="B408" s="11" t="s">
        <v>1341</v>
      </c>
      <c r="C408" s="39">
        <v>3648.4</v>
      </c>
      <c r="D408" s="45">
        <v>4.7871218879247417</v>
      </c>
      <c r="E408" s="54" t="s">
        <v>1387</v>
      </c>
    </row>
    <row r="409" spans="1:5">
      <c r="A409" s="9" t="s">
        <v>366</v>
      </c>
      <c r="B409" s="11" t="s">
        <v>1341</v>
      </c>
      <c r="C409" s="39">
        <v>2985.2799999999997</v>
      </c>
      <c r="D409" s="45">
        <v>3.0843850267379676</v>
      </c>
      <c r="E409" s="54" t="s">
        <v>1387</v>
      </c>
    </row>
    <row r="410" spans="1:5">
      <c r="A410" s="9" t="s">
        <v>367</v>
      </c>
      <c r="B410" s="11" t="s">
        <v>1341</v>
      </c>
      <c r="C410" s="39">
        <v>2402.19</v>
      </c>
      <c r="D410" s="45">
        <v>3.3533057851239665</v>
      </c>
      <c r="E410" s="54" t="s">
        <v>1387</v>
      </c>
    </row>
    <row r="411" spans="1:5">
      <c r="A411" s="9" t="s">
        <v>368</v>
      </c>
      <c r="B411" s="11" t="s">
        <v>1341</v>
      </c>
      <c r="C411" s="39">
        <v>4388.3500000000004</v>
      </c>
      <c r="D411" s="45">
        <v>4.0456573260839255</v>
      </c>
      <c r="E411" s="54" t="s">
        <v>1387</v>
      </c>
    </row>
    <row r="412" spans="1:5">
      <c r="A412" s="9" t="s">
        <v>369</v>
      </c>
      <c r="B412" s="11" t="s">
        <v>1341</v>
      </c>
      <c r="C412" s="39">
        <v>3070.65</v>
      </c>
      <c r="D412" s="45">
        <v>5.7307933849696457</v>
      </c>
      <c r="E412" s="54" t="s">
        <v>1387</v>
      </c>
    </row>
    <row r="413" spans="1:5">
      <c r="A413" s="9" t="s">
        <v>370</v>
      </c>
      <c r="B413" s="11" t="s">
        <v>1341</v>
      </c>
      <c r="C413" s="39">
        <v>3842.0200000000004</v>
      </c>
      <c r="D413" s="45">
        <v>4.2201571047832793</v>
      </c>
      <c r="E413" s="54" t="s">
        <v>1387</v>
      </c>
    </row>
    <row r="414" spans="1:5">
      <c r="A414" s="9" t="s">
        <v>371</v>
      </c>
      <c r="B414" s="11" t="s">
        <v>1341</v>
      </c>
      <c r="C414" s="39">
        <v>4863.87</v>
      </c>
      <c r="D414" s="45">
        <v>2.7118501461340889</v>
      </c>
      <c r="E414" s="54" t="s">
        <v>1387</v>
      </c>
    </row>
    <row r="415" spans="1:5">
      <c r="A415" s="9" t="s">
        <v>372</v>
      </c>
      <c r="B415" s="11" t="s">
        <v>1341</v>
      </c>
      <c r="C415" s="39">
        <v>3965.3999999999996</v>
      </c>
      <c r="D415" s="45">
        <v>5.4961651358772849</v>
      </c>
      <c r="E415" s="54" t="s">
        <v>1387</v>
      </c>
    </row>
    <row r="416" spans="1:5">
      <c r="A416" s="9" t="s">
        <v>373</v>
      </c>
      <c r="B416" s="11" t="s">
        <v>1341</v>
      </c>
      <c r="C416" s="39">
        <v>3982.92</v>
      </c>
      <c r="D416" s="45">
        <v>3.2917157440125639</v>
      </c>
      <c r="E416" s="54" t="s">
        <v>1387</v>
      </c>
    </row>
    <row r="417" spans="1:5">
      <c r="A417" s="9" t="s">
        <v>374</v>
      </c>
      <c r="B417" s="11" t="s">
        <v>1341</v>
      </c>
      <c r="C417" s="39">
        <v>3043.3199999999997</v>
      </c>
      <c r="D417" s="45">
        <v>1.2013888888888891</v>
      </c>
      <c r="E417" s="54" t="s">
        <v>1387</v>
      </c>
    </row>
    <row r="418" spans="1:5">
      <c r="A418" s="9" t="s">
        <v>375</v>
      </c>
      <c r="B418" s="11" t="s">
        <v>1341</v>
      </c>
      <c r="C418" s="39">
        <v>3283.25</v>
      </c>
      <c r="D418" s="45">
        <v>1.1677223629817308</v>
      </c>
      <c r="E418" s="54" t="s">
        <v>1387</v>
      </c>
    </row>
    <row r="419" spans="1:5">
      <c r="A419" s="9" t="s">
        <v>376</v>
      </c>
      <c r="B419" s="11" t="s">
        <v>1341</v>
      </c>
      <c r="C419" s="39">
        <v>4568.83</v>
      </c>
      <c r="D419" s="45">
        <v>0.60295048530032358</v>
      </c>
      <c r="E419" s="54" t="s">
        <v>1387</v>
      </c>
    </row>
    <row r="420" spans="1:5">
      <c r="A420" s="9" t="s">
        <v>377</v>
      </c>
      <c r="B420" s="11" t="s">
        <v>1341</v>
      </c>
      <c r="C420" s="39">
        <v>7773.6200000000008</v>
      </c>
      <c r="D420" s="45">
        <v>0.66285191514335517</v>
      </c>
      <c r="E420" s="54" t="s">
        <v>1387</v>
      </c>
    </row>
    <row r="421" spans="1:5">
      <c r="A421" s="9" t="s">
        <v>378</v>
      </c>
      <c r="B421" s="11" t="s">
        <v>1341</v>
      </c>
      <c r="C421" s="39">
        <v>3373.4300000000003</v>
      </c>
      <c r="D421" s="45">
        <v>1.470177687568992</v>
      </c>
      <c r="E421" s="54" t="s">
        <v>1387</v>
      </c>
    </row>
    <row r="422" spans="1:5">
      <c r="A422" s="9" t="s">
        <v>379</v>
      </c>
      <c r="B422" s="11" t="s">
        <v>1341</v>
      </c>
      <c r="C422" s="39">
        <v>4645.79</v>
      </c>
      <c r="D422" s="45">
        <v>0.83298338870431898</v>
      </c>
      <c r="E422" s="54" t="s">
        <v>1387</v>
      </c>
    </row>
    <row r="423" spans="1:5">
      <c r="A423" s="9" t="s">
        <v>380</v>
      </c>
      <c r="B423" s="11" t="s">
        <v>1341</v>
      </c>
      <c r="C423" s="39">
        <v>1777.6599999999999</v>
      </c>
      <c r="D423" s="45">
        <v>0.49983869233250888</v>
      </c>
      <c r="E423" s="54" t="s">
        <v>1387</v>
      </c>
    </row>
    <row r="424" spans="1:5">
      <c r="A424" s="9" t="s">
        <v>381</v>
      </c>
      <c r="B424" s="11" t="s">
        <v>1341</v>
      </c>
      <c r="C424" s="39">
        <v>1864.95</v>
      </c>
      <c r="D424" s="45">
        <v>0.73488648924411193</v>
      </c>
      <c r="E424" s="54" t="s">
        <v>1387</v>
      </c>
    </row>
    <row r="425" spans="1:5">
      <c r="A425" s="9" t="s">
        <v>382</v>
      </c>
      <c r="B425" s="11" t="s">
        <v>1341</v>
      </c>
      <c r="C425" s="39">
        <v>1889.5900000000001</v>
      </c>
      <c r="D425" s="45">
        <v>0.57061045282864509</v>
      </c>
      <c r="E425" s="54" t="s">
        <v>1387</v>
      </c>
    </row>
    <row r="426" spans="1:5">
      <c r="A426" s="9" t="s">
        <v>383</v>
      </c>
      <c r="B426" s="11" t="s">
        <v>1341</v>
      </c>
      <c r="C426" s="39">
        <v>1912.73</v>
      </c>
      <c r="D426" s="45">
        <v>0.54587337628049426</v>
      </c>
      <c r="E426" s="54" t="s">
        <v>1387</v>
      </c>
    </row>
    <row r="427" spans="1:5">
      <c r="A427" s="9" t="s">
        <v>380</v>
      </c>
      <c r="B427" s="11" t="s">
        <v>1341</v>
      </c>
      <c r="C427" s="39">
        <v>1777.6599999999999</v>
      </c>
      <c r="D427" s="45">
        <v>0.49983869233250888</v>
      </c>
      <c r="E427" s="54" t="s">
        <v>1387</v>
      </c>
    </row>
    <row r="428" spans="1:5">
      <c r="A428" s="9" t="s">
        <v>381</v>
      </c>
      <c r="B428" s="11" t="s">
        <v>1341</v>
      </c>
      <c r="C428" s="39">
        <v>1864.95</v>
      </c>
      <c r="D428" s="45">
        <v>0.73488648924411193</v>
      </c>
      <c r="E428" s="54" t="s">
        <v>1387</v>
      </c>
    </row>
    <row r="429" spans="1:5">
      <c r="A429" s="9" t="s">
        <v>382</v>
      </c>
      <c r="B429" s="11" t="s">
        <v>1341</v>
      </c>
      <c r="C429" s="39">
        <v>1889.5900000000001</v>
      </c>
      <c r="D429" s="45">
        <v>0.57061045282864509</v>
      </c>
      <c r="E429" s="54" t="s">
        <v>1387</v>
      </c>
    </row>
    <row r="430" spans="1:5">
      <c r="A430" s="9" t="s">
        <v>383</v>
      </c>
      <c r="B430" s="11" t="s">
        <v>1341</v>
      </c>
      <c r="C430" s="39">
        <v>1912.73</v>
      </c>
      <c r="D430" s="45">
        <v>0.54587337628049426</v>
      </c>
      <c r="E430" s="54" t="s">
        <v>1387</v>
      </c>
    </row>
    <row r="431" spans="1:5">
      <c r="A431" s="9" t="s">
        <v>384</v>
      </c>
      <c r="B431" s="11" t="s">
        <v>1341</v>
      </c>
      <c r="C431" s="39">
        <v>2006.6</v>
      </c>
      <c r="D431" s="45">
        <v>0.75699902779837525</v>
      </c>
      <c r="E431" s="54" t="s">
        <v>1387</v>
      </c>
    </row>
    <row r="432" spans="1:5">
      <c r="A432" s="9" t="s">
        <v>385</v>
      </c>
      <c r="B432" s="11" t="s">
        <v>1341</v>
      </c>
      <c r="C432" s="39">
        <v>1923.8600000000001</v>
      </c>
      <c r="D432" s="45">
        <v>0.51542692541686841</v>
      </c>
      <c r="E432" s="54" t="s">
        <v>1387</v>
      </c>
    </row>
    <row r="433" spans="1:5">
      <c r="A433" s="9" t="s">
        <v>386</v>
      </c>
      <c r="B433" s="11" t="s">
        <v>1341</v>
      </c>
      <c r="C433" s="39">
        <v>5569.56</v>
      </c>
      <c r="D433" s="45">
        <v>0.27730455075845972</v>
      </c>
      <c r="E433" s="54" t="s">
        <v>1387</v>
      </c>
    </row>
    <row r="434" spans="1:5">
      <c r="A434" s="9" t="s">
        <v>387</v>
      </c>
      <c r="B434" s="11" t="s">
        <v>1341</v>
      </c>
      <c r="C434" s="39">
        <v>5464.8499999999995</v>
      </c>
      <c r="D434" s="45">
        <v>0.3008067986230637</v>
      </c>
      <c r="E434" s="54" t="s">
        <v>1387</v>
      </c>
    </row>
    <row r="435" spans="1:5">
      <c r="A435" s="9" t="s">
        <v>388</v>
      </c>
      <c r="B435" s="11" t="s">
        <v>1341</v>
      </c>
      <c r="C435" s="39">
        <v>5513.7199999999993</v>
      </c>
      <c r="D435" s="45">
        <v>0.26140285934389162</v>
      </c>
      <c r="E435" s="54" t="s">
        <v>1387</v>
      </c>
    </row>
    <row r="436" spans="1:5">
      <c r="A436" s="9" t="s">
        <v>389</v>
      </c>
      <c r="B436" s="11" t="s">
        <v>1341</v>
      </c>
      <c r="C436" s="39">
        <v>5255.91</v>
      </c>
      <c r="D436" s="45">
        <v>0.40025893395712875</v>
      </c>
      <c r="E436" s="54" t="s">
        <v>1387</v>
      </c>
    </row>
    <row r="437" spans="1:5">
      <c r="A437" s="9" t="s">
        <v>390</v>
      </c>
      <c r="B437" s="11" t="s">
        <v>1341</v>
      </c>
      <c r="C437" s="39">
        <v>5349.57</v>
      </c>
      <c r="D437" s="45">
        <v>0.36687147636247319</v>
      </c>
      <c r="E437" s="54" t="s">
        <v>1387</v>
      </c>
    </row>
    <row r="438" spans="1:5">
      <c r="A438" s="9" t="s">
        <v>391</v>
      </c>
      <c r="B438" s="11" t="s">
        <v>1341</v>
      </c>
      <c r="C438" s="39">
        <v>4352.17</v>
      </c>
      <c r="D438" s="45">
        <v>0.22772414751024375</v>
      </c>
      <c r="E438" s="54" t="s">
        <v>1387</v>
      </c>
    </row>
    <row r="439" spans="1:5">
      <c r="A439" s="9" t="s">
        <v>392</v>
      </c>
      <c r="B439" s="11" t="s">
        <v>1341</v>
      </c>
      <c r="C439" s="39">
        <v>5571.27</v>
      </c>
      <c r="D439" s="45">
        <v>0.16734337773900207</v>
      </c>
      <c r="E439" s="54" t="s">
        <v>1387</v>
      </c>
    </row>
    <row r="440" spans="1:5">
      <c r="A440" s="9" t="s">
        <v>393</v>
      </c>
      <c r="B440" s="11" t="s">
        <v>1341</v>
      </c>
      <c r="C440" s="39">
        <v>1519.36</v>
      </c>
      <c r="D440" s="45">
        <v>2.5946801474062178</v>
      </c>
      <c r="E440" s="54" t="s">
        <v>1387</v>
      </c>
    </row>
    <row r="441" spans="1:5">
      <c r="A441" s="9" t="s">
        <v>394</v>
      </c>
      <c r="B441" s="11" t="s">
        <v>1341</v>
      </c>
      <c r="C441" s="39">
        <v>1660.6100000000001</v>
      </c>
      <c r="D441" s="45">
        <v>2.2601735855236225</v>
      </c>
      <c r="E441" s="54" t="s">
        <v>1387</v>
      </c>
    </row>
    <row r="442" spans="1:5">
      <c r="A442" s="9" t="s">
        <v>395</v>
      </c>
      <c r="B442" s="11" t="s">
        <v>1341</v>
      </c>
      <c r="C442" s="39">
        <v>1639.7299999999998</v>
      </c>
      <c r="D442" s="45">
        <v>2.7653689542159103</v>
      </c>
      <c r="E442" s="54" t="s">
        <v>1387</v>
      </c>
    </row>
    <row r="443" spans="1:5">
      <c r="A443" s="9" t="s">
        <v>396</v>
      </c>
      <c r="B443" s="11" t="s">
        <v>1341</v>
      </c>
      <c r="C443" s="39">
        <v>1739.9</v>
      </c>
      <c r="D443" s="45">
        <v>2.5425135581230838</v>
      </c>
      <c r="E443" s="54" t="s">
        <v>1387</v>
      </c>
    </row>
    <row r="444" spans="1:5">
      <c r="A444" s="9" t="s">
        <v>397</v>
      </c>
      <c r="B444" s="11" t="s">
        <v>1341</v>
      </c>
      <c r="C444" s="39">
        <v>1029.9700000000003</v>
      </c>
      <c r="D444" s="45">
        <v>1.68840190496652</v>
      </c>
      <c r="E444" s="54" t="s">
        <v>1387</v>
      </c>
    </row>
    <row r="445" spans="1:5">
      <c r="A445" s="9" t="s">
        <v>398</v>
      </c>
      <c r="B445" s="11" t="s">
        <v>1341</v>
      </c>
      <c r="C445" s="39">
        <v>14162.460000000001</v>
      </c>
      <c r="D445" s="45">
        <v>0.65177696904344706</v>
      </c>
      <c r="E445" s="54" t="s">
        <v>1387</v>
      </c>
    </row>
    <row r="446" spans="1:5">
      <c r="A446" s="9" t="s">
        <v>399</v>
      </c>
      <c r="B446" s="11" t="s">
        <v>1341</v>
      </c>
      <c r="C446" s="39">
        <v>2690.46</v>
      </c>
      <c r="D446" s="45">
        <v>0.80947368421052635</v>
      </c>
      <c r="E446" s="54" t="s">
        <v>1387</v>
      </c>
    </row>
    <row r="447" spans="1:5">
      <c r="A447" s="9" t="s">
        <v>400</v>
      </c>
      <c r="B447" s="11" t="s">
        <v>1341</v>
      </c>
      <c r="C447" s="39">
        <v>2990.13</v>
      </c>
      <c r="D447" s="45">
        <v>0.70803455212400901</v>
      </c>
      <c r="E447" s="54" t="s">
        <v>1387</v>
      </c>
    </row>
    <row r="448" spans="1:5">
      <c r="A448" s="9" t="s">
        <v>401</v>
      </c>
      <c r="B448" s="11" t="s">
        <v>1341</v>
      </c>
      <c r="C448" s="39">
        <v>2405.98</v>
      </c>
      <c r="D448" s="45">
        <v>0.98291934989267082</v>
      </c>
      <c r="E448" s="54" t="s">
        <v>1387</v>
      </c>
    </row>
    <row r="449" spans="1:5">
      <c r="A449" s="9" t="s">
        <v>402</v>
      </c>
      <c r="B449" s="11" t="s">
        <v>1341</v>
      </c>
      <c r="C449" s="39">
        <v>2908.93</v>
      </c>
      <c r="D449" s="45">
        <v>1.0504156183317939</v>
      </c>
      <c r="E449" s="54" t="s">
        <v>1387</v>
      </c>
    </row>
    <row r="450" spans="1:5">
      <c r="A450" s="9" t="s">
        <v>403</v>
      </c>
      <c r="B450" s="11" t="s">
        <v>1341</v>
      </c>
      <c r="C450" s="39">
        <v>15611.09</v>
      </c>
      <c r="D450" s="45">
        <v>0.73942976644028491</v>
      </c>
      <c r="E450" s="54" t="s">
        <v>1387</v>
      </c>
    </row>
    <row r="451" spans="1:5">
      <c r="A451" s="9" t="s">
        <v>404</v>
      </c>
      <c r="B451" s="11" t="s">
        <v>1341</v>
      </c>
      <c r="C451" s="39">
        <v>2455.9300000000003</v>
      </c>
      <c r="D451" s="45">
        <v>3.6660880220565706</v>
      </c>
      <c r="E451" s="54" t="s">
        <v>1387</v>
      </c>
    </row>
    <row r="452" spans="1:5">
      <c r="A452" s="9" t="s">
        <v>406</v>
      </c>
      <c r="B452" s="11" t="s">
        <v>1341</v>
      </c>
      <c r="C452" s="39">
        <v>5001.78</v>
      </c>
      <c r="D452" s="45">
        <v>3.4941428680805449</v>
      </c>
      <c r="E452" s="54" t="s">
        <v>1387</v>
      </c>
    </row>
    <row r="453" spans="1:5">
      <c r="A453" s="9" t="s">
        <v>407</v>
      </c>
      <c r="B453" s="11" t="s">
        <v>1341</v>
      </c>
      <c r="C453" s="39">
        <v>2613.73</v>
      </c>
      <c r="D453" s="45">
        <v>2.0581041281884889</v>
      </c>
      <c r="E453" s="54" t="s">
        <v>1387</v>
      </c>
    </row>
    <row r="454" spans="1:5">
      <c r="A454" s="9" t="s">
        <v>408</v>
      </c>
      <c r="B454" s="11" t="s">
        <v>1341</v>
      </c>
      <c r="C454" s="39">
        <v>3533.92</v>
      </c>
      <c r="D454" s="45">
        <v>2.3010985528678569</v>
      </c>
      <c r="E454" s="54" t="s">
        <v>1387</v>
      </c>
    </row>
    <row r="455" spans="1:5">
      <c r="A455" s="9" t="s">
        <v>409</v>
      </c>
      <c r="B455" s="11" t="s">
        <v>1341</v>
      </c>
      <c r="C455" s="39">
        <v>2806.75</v>
      </c>
      <c r="D455" s="45">
        <v>3.2618919127283941</v>
      </c>
      <c r="E455" s="54" t="s">
        <v>1387</v>
      </c>
    </row>
    <row r="456" spans="1:5">
      <c r="A456" s="9" t="s">
        <v>410</v>
      </c>
      <c r="B456" s="11" t="s">
        <v>1341</v>
      </c>
      <c r="C456" s="39">
        <v>3366.79</v>
      </c>
      <c r="D456" s="45">
        <v>2.6415630326368285</v>
      </c>
      <c r="E456" s="54" t="s">
        <v>1387</v>
      </c>
    </row>
    <row r="457" spans="1:5">
      <c r="A457" s="9" t="s">
        <v>411</v>
      </c>
      <c r="B457" s="11" t="s">
        <v>1341</v>
      </c>
      <c r="C457" s="39">
        <v>2843.3599999999997</v>
      </c>
      <c r="D457" s="45">
        <v>2.6410593415259251</v>
      </c>
      <c r="E457" s="54" t="s">
        <v>1387</v>
      </c>
    </row>
    <row r="458" spans="1:5">
      <c r="A458" s="9" t="s">
        <v>412</v>
      </c>
      <c r="B458" s="11" t="s">
        <v>1341</v>
      </c>
      <c r="C458" s="39">
        <v>2553.5500000000002</v>
      </c>
      <c r="D458" s="45">
        <v>3.6036850031003631</v>
      </c>
      <c r="E458" s="54" t="s">
        <v>1387</v>
      </c>
    </row>
    <row r="459" spans="1:5">
      <c r="A459" s="9" t="s">
        <v>415</v>
      </c>
      <c r="B459" s="11" t="s">
        <v>1341</v>
      </c>
      <c r="C459" s="39">
        <v>2671.9400000000005</v>
      </c>
      <c r="D459" s="45">
        <v>2.9088254617125338</v>
      </c>
      <c r="E459" s="54" t="s">
        <v>1387</v>
      </c>
    </row>
    <row r="460" spans="1:5">
      <c r="A460" s="9" t="s">
        <v>416</v>
      </c>
      <c r="B460" s="11" t="s">
        <v>1341</v>
      </c>
      <c r="C460" s="39">
        <v>3604.89</v>
      </c>
      <c r="D460" s="45">
        <v>3.3036923470039605</v>
      </c>
      <c r="E460" s="54" t="s">
        <v>1387</v>
      </c>
    </row>
    <row r="461" spans="1:5">
      <c r="A461" s="9" t="s">
        <v>417</v>
      </c>
      <c r="B461" s="11" t="s">
        <v>1341</v>
      </c>
      <c r="C461" s="39">
        <v>2101.08</v>
      </c>
      <c r="D461" s="45">
        <v>0.17419446851927023</v>
      </c>
      <c r="E461" s="54" t="s">
        <v>1387</v>
      </c>
    </row>
    <row r="462" spans="1:5">
      <c r="A462" s="9" t="s">
        <v>418</v>
      </c>
      <c r="B462" s="11" t="s">
        <v>1341</v>
      </c>
      <c r="C462" s="39">
        <v>928.56000000000006</v>
      </c>
      <c r="D462" s="45">
        <v>0.24038312031594986</v>
      </c>
      <c r="E462" s="54" t="s">
        <v>1387</v>
      </c>
    </row>
    <row r="463" spans="1:5">
      <c r="A463" s="9" t="s">
        <v>419</v>
      </c>
      <c r="B463" s="11" t="s">
        <v>1341</v>
      </c>
      <c r="C463" s="39">
        <v>2339.6</v>
      </c>
      <c r="D463" s="45">
        <v>2.8077531145260228</v>
      </c>
      <c r="E463" s="54" t="s">
        <v>1387</v>
      </c>
    </row>
    <row r="464" spans="1:5">
      <c r="A464" s="9" t="s">
        <v>420</v>
      </c>
      <c r="B464" s="11" t="s">
        <v>1341</v>
      </c>
      <c r="C464" s="39">
        <v>1508.98</v>
      </c>
      <c r="D464" s="45">
        <v>5.1831222682954161</v>
      </c>
      <c r="E464" s="54" t="s">
        <v>1387</v>
      </c>
    </row>
    <row r="465" spans="1:5">
      <c r="A465" s="9" t="s">
        <v>421</v>
      </c>
      <c r="B465" s="11" t="s">
        <v>1341</v>
      </c>
      <c r="C465" s="39">
        <v>2240.64</v>
      </c>
      <c r="D465" s="45">
        <v>4.0179894179894182</v>
      </c>
      <c r="E465" s="54" t="s">
        <v>1387</v>
      </c>
    </row>
    <row r="466" spans="1:5">
      <c r="A466" s="9" t="s">
        <v>422</v>
      </c>
      <c r="B466" s="11" t="s">
        <v>1341</v>
      </c>
      <c r="C466" s="39">
        <v>4061.83</v>
      </c>
      <c r="D466" s="45">
        <v>2.8399069292321659</v>
      </c>
      <c r="E466" s="54" t="s">
        <v>1387</v>
      </c>
    </row>
    <row r="467" spans="1:5">
      <c r="A467" s="9" t="s">
        <v>423</v>
      </c>
      <c r="B467" s="11" t="s">
        <v>1341</v>
      </c>
      <c r="C467" s="39">
        <v>4885.78</v>
      </c>
      <c r="D467" s="45">
        <v>2.9245896717373903</v>
      </c>
      <c r="E467" s="54" t="s">
        <v>1387</v>
      </c>
    </row>
    <row r="468" spans="1:5">
      <c r="A468" s="9" t="s">
        <v>424</v>
      </c>
      <c r="B468" s="11" t="s">
        <v>1341</v>
      </c>
      <c r="C468" s="39">
        <v>4306.7299999999996</v>
      </c>
      <c r="D468" s="45">
        <v>3.9097174832810153</v>
      </c>
      <c r="E468" s="54" t="s">
        <v>1387</v>
      </c>
    </row>
    <row r="469" spans="1:5">
      <c r="A469" s="9" t="s">
        <v>425</v>
      </c>
      <c r="B469" s="11" t="s">
        <v>1341</v>
      </c>
      <c r="C469" s="39">
        <v>4028.6800000000003</v>
      </c>
      <c r="D469" s="45">
        <v>2.1323611542041574</v>
      </c>
      <c r="E469" s="54" t="s">
        <v>1387</v>
      </c>
    </row>
    <row r="470" spans="1:5">
      <c r="A470" s="9" t="s">
        <v>426</v>
      </c>
      <c r="B470" s="11" t="s">
        <v>1341</v>
      </c>
      <c r="C470" s="39">
        <v>5580.34</v>
      </c>
      <c r="D470" s="45">
        <v>3.1076186901857756</v>
      </c>
      <c r="E470" s="54" t="s">
        <v>1387</v>
      </c>
    </row>
    <row r="471" spans="1:5">
      <c r="A471" s="9" t="s">
        <v>427</v>
      </c>
      <c r="B471" s="11" t="s">
        <v>1341</v>
      </c>
      <c r="C471" s="39">
        <v>7730.7199999999993</v>
      </c>
      <c r="D471" s="45">
        <v>1.8327229642395519</v>
      </c>
      <c r="E471" s="54" t="s">
        <v>1387</v>
      </c>
    </row>
    <row r="472" spans="1:5">
      <c r="A472" s="9" t="s">
        <v>428</v>
      </c>
      <c r="B472" s="11" t="s">
        <v>1341</v>
      </c>
      <c r="C472" s="39">
        <v>5918.2599999999993</v>
      </c>
      <c r="D472" s="45">
        <v>2.4386968963240152</v>
      </c>
      <c r="E472" s="54" t="s">
        <v>1387</v>
      </c>
    </row>
    <row r="473" spans="1:5">
      <c r="A473" s="9" t="s">
        <v>429</v>
      </c>
      <c r="B473" s="11" t="s">
        <v>1341</v>
      </c>
      <c r="C473" s="39">
        <v>4868.3200000000006</v>
      </c>
      <c r="D473" s="45">
        <v>3.323747768066911</v>
      </c>
      <c r="E473" s="54" t="s">
        <v>1387</v>
      </c>
    </row>
    <row r="474" spans="1:5">
      <c r="A474" s="9" t="s">
        <v>430</v>
      </c>
      <c r="B474" s="11" t="s">
        <v>1341</v>
      </c>
      <c r="C474" s="39">
        <v>6047.17</v>
      </c>
      <c r="D474" s="45">
        <v>1.9428523168740497</v>
      </c>
      <c r="E474" s="54" t="s">
        <v>1387</v>
      </c>
    </row>
    <row r="475" spans="1:5">
      <c r="A475" s="9" t="s">
        <v>431</v>
      </c>
      <c r="B475" s="11" t="s">
        <v>1341</v>
      </c>
      <c r="C475" s="39">
        <v>5637.85</v>
      </c>
      <c r="D475" s="45">
        <v>6.7877725856697824</v>
      </c>
      <c r="E475" s="54" t="s">
        <v>1387</v>
      </c>
    </row>
    <row r="476" spans="1:5">
      <c r="A476" s="9" t="s">
        <v>432</v>
      </c>
      <c r="B476" s="11" t="s">
        <v>1341</v>
      </c>
      <c r="C476" s="39">
        <v>6207.0899999999992</v>
      </c>
      <c r="D476" s="45">
        <v>1.9817259503728151</v>
      </c>
      <c r="E476" s="54" t="s">
        <v>1387</v>
      </c>
    </row>
    <row r="477" spans="1:5">
      <c r="A477" s="9" t="s">
        <v>433</v>
      </c>
      <c r="B477" s="11" t="s">
        <v>1341</v>
      </c>
      <c r="C477" s="39">
        <v>9364.26</v>
      </c>
      <c r="D477" s="45">
        <v>1.995772027735498</v>
      </c>
      <c r="E477" s="54" t="s">
        <v>1387</v>
      </c>
    </row>
    <row r="478" spans="1:5">
      <c r="A478" s="9" t="s">
        <v>434</v>
      </c>
      <c r="B478" s="11" t="s">
        <v>1341</v>
      </c>
      <c r="C478" s="39">
        <v>5732.35</v>
      </c>
      <c r="D478" s="45">
        <v>1.5835336538461537</v>
      </c>
      <c r="E478" s="54" t="s">
        <v>1387</v>
      </c>
    </row>
    <row r="479" spans="1:5">
      <c r="A479" s="9" t="s">
        <v>435</v>
      </c>
      <c r="B479" s="11" t="s">
        <v>1341</v>
      </c>
      <c r="C479" s="39">
        <v>6231</v>
      </c>
      <c r="D479" s="45">
        <v>2.6787992802224765</v>
      </c>
      <c r="E479" s="54" t="s">
        <v>1387</v>
      </c>
    </row>
    <row r="480" spans="1:5">
      <c r="A480" s="9" t="s">
        <v>436</v>
      </c>
      <c r="B480" s="11" t="s">
        <v>1341</v>
      </c>
      <c r="C480" s="39">
        <v>4394.380000000001</v>
      </c>
      <c r="D480" s="45">
        <v>3.3424862132352939</v>
      </c>
      <c r="E480" s="54" t="s">
        <v>1387</v>
      </c>
    </row>
    <row r="481" spans="1:5">
      <c r="A481" s="9" t="s">
        <v>437</v>
      </c>
      <c r="B481" s="11" t="s">
        <v>1341</v>
      </c>
      <c r="C481" s="39">
        <v>6561.89</v>
      </c>
      <c r="D481" s="45">
        <v>2.8060495263420311</v>
      </c>
      <c r="E481" s="54" t="s">
        <v>1387</v>
      </c>
    </row>
    <row r="482" spans="1:5">
      <c r="A482" s="9" t="s">
        <v>851</v>
      </c>
      <c r="B482" s="11" t="s">
        <v>1341</v>
      </c>
      <c r="C482" s="39">
        <v>5725.1399999999994</v>
      </c>
      <c r="D482" s="45">
        <v>2.3641264065763763</v>
      </c>
      <c r="E482" s="54" t="s">
        <v>1387</v>
      </c>
    </row>
    <row r="483" spans="1:5">
      <c r="A483" s="9" t="s">
        <v>853</v>
      </c>
      <c r="B483" s="11" t="s">
        <v>1341</v>
      </c>
      <c r="C483" s="39">
        <v>5689.8099999999995</v>
      </c>
      <c r="D483" s="45">
        <v>2.3969152932736781</v>
      </c>
      <c r="E483" s="54" t="s">
        <v>1387</v>
      </c>
    </row>
    <row r="484" spans="1:5">
      <c r="A484" s="9" t="s">
        <v>854</v>
      </c>
      <c r="B484" s="11" t="s">
        <v>1341</v>
      </c>
      <c r="C484" s="39">
        <v>5961.6900000000005</v>
      </c>
      <c r="D484" s="45">
        <v>2.2583029115840088</v>
      </c>
      <c r="E484" s="54" t="s">
        <v>1387</v>
      </c>
    </row>
    <row r="485" spans="1:5">
      <c r="A485" s="9" t="s">
        <v>855</v>
      </c>
      <c r="B485" s="11" t="s">
        <v>1341</v>
      </c>
      <c r="C485" s="39">
        <v>6159.17</v>
      </c>
      <c r="D485" s="45">
        <v>2.1725617751741284</v>
      </c>
      <c r="E485" s="54" t="s">
        <v>1387</v>
      </c>
    </row>
    <row r="486" spans="1:5">
      <c r="A486" s="9" t="s">
        <v>856</v>
      </c>
      <c r="B486" s="11" t="s">
        <v>1341</v>
      </c>
      <c r="C486" s="39">
        <v>6616.37</v>
      </c>
      <c r="D486" s="45">
        <v>2.3771631766100358</v>
      </c>
      <c r="E486" s="54" t="s">
        <v>1387</v>
      </c>
    </row>
    <row r="487" spans="1:5">
      <c r="A487" s="9" t="s">
        <v>857</v>
      </c>
      <c r="B487" s="11" t="s">
        <v>1341</v>
      </c>
      <c r="C487" s="39">
        <v>6558.09</v>
      </c>
      <c r="D487" s="45">
        <v>2.1485094273583614</v>
      </c>
      <c r="E487" s="54" t="s">
        <v>1387</v>
      </c>
    </row>
    <row r="488" spans="1:5">
      <c r="A488" s="9" t="s">
        <v>858</v>
      </c>
      <c r="B488" s="11" t="s">
        <v>1341</v>
      </c>
      <c r="C488" s="39">
        <v>6618.1399999999994</v>
      </c>
      <c r="D488" s="45">
        <v>2.1029101717761725</v>
      </c>
      <c r="E488" s="54" t="s">
        <v>1387</v>
      </c>
    </row>
    <row r="489" spans="1:5">
      <c r="A489" s="9" t="s">
        <v>859</v>
      </c>
      <c r="B489" s="11" t="s">
        <v>1341</v>
      </c>
      <c r="C489" s="39">
        <v>5983.24</v>
      </c>
      <c r="D489" s="45">
        <v>2.2380411567278027</v>
      </c>
      <c r="E489" s="54" t="s">
        <v>1387</v>
      </c>
    </row>
    <row r="490" spans="1:5">
      <c r="A490" s="9" t="s">
        <v>860</v>
      </c>
      <c r="B490" s="11" t="s">
        <v>1341</v>
      </c>
      <c r="C490" s="39">
        <v>6002.67</v>
      </c>
      <c r="D490" s="45">
        <v>2.1968573382771157</v>
      </c>
      <c r="E490" s="54" t="s">
        <v>1387</v>
      </c>
    </row>
    <row r="491" spans="1:5">
      <c r="A491" s="9" t="s">
        <v>861</v>
      </c>
      <c r="B491" s="11" t="s">
        <v>1341</v>
      </c>
      <c r="C491" s="39">
        <v>4840.8100000000004</v>
      </c>
      <c r="D491" s="45">
        <v>2.7613561553653723</v>
      </c>
      <c r="E491" s="54" t="s">
        <v>1387</v>
      </c>
    </row>
    <row r="492" spans="1:5">
      <c r="A492" s="9" t="s">
        <v>862</v>
      </c>
      <c r="B492" s="11" t="s">
        <v>1341</v>
      </c>
      <c r="C492" s="39">
        <v>4633.84</v>
      </c>
      <c r="D492" s="45">
        <v>2.4723647252721741</v>
      </c>
      <c r="E492" s="54" t="s">
        <v>1387</v>
      </c>
    </row>
    <row r="493" spans="1:5">
      <c r="A493" s="9" t="s">
        <v>863</v>
      </c>
      <c r="B493" s="11" t="s">
        <v>1341</v>
      </c>
      <c r="C493" s="39">
        <v>4818.5700000000006</v>
      </c>
      <c r="D493" s="45">
        <v>2.4465862119103501</v>
      </c>
      <c r="E493" s="54" t="s">
        <v>1387</v>
      </c>
    </row>
    <row r="494" spans="1:5">
      <c r="A494" s="9" t="s">
        <v>864</v>
      </c>
      <c r="B494" s="11" t="s">
        <v>1341</v>
      </c>
      <c r="C494" s="39">
        <v>4776.82</v>
      </c>
      <c r="D494" s="45">
        <v>2.5092197103864984</v>
      </c>
      <c r="E494" s="54" t="s">
        <v>1387</v>
      </c>
    </row>
    <row r="495" spans="1:5">
      <c r="A495" s="9" t="s">
        <v>865</v>
      </c>
      <c r="B495" s="11" t="s">
        <v>1341</v>
      </c>
      <c r="C495" s="39">
        <v>5986.0899999999992</v>
      </c>
      <c r="D495" s="45">
        <v>1.665050972543624</v>
      </c>
      <c r="E495" s="54" t="s">
        <v>1387</v>
      </c>
    </row>
    <row r="496" spans="1:5">
      <c r="A496" s="9" t="s">
        <v>866</v>
      </c>
      <c r="B496" s="11" t="s">
        <v>1341</v>
      </c>
      <c r="C496" s="39">
        <v>5167.26</v>
      </c>
      <c r="D496" s="45">
        <v>1.8377617562477218</v>
      </c>
      <c r="E496" s="54" t="s">
        <v>1387</v>
      </c>
    </row>
    <row r="497" spans="1:5">
      <c r="A497" s="9" t="s">
        <v>867</v>
      </c>
      <c r="B497" s="11" t="s">
        <v>1341</v>
      </c>
      <c r="C497" s="39">
        <v>6377.7800000000007</v>
      </c>
      <c r="D497" s="45">
        <v>1.8690199335548174</v>
      </c>
      <c r="E497" s="54" t="s">
        <v>1387</v>
      </c>
    </row>
    <row r="498" spans="1:5">
      <c r="A498" s="9" t="s">
        <v>868</v>
      </c>
      <c r="B498" s="11" t="s">
        <v>1341</v>
      </c>
      <c r="C498" s="39">
        <v>5674.96</v>
      </c>
      <c r="D498" s="45">
        <v>1.8597351473609696</v>
      </c>
      <c r="E498" s="54" t="s">
        <v>1387</v>
      </c>
    </row>
    <row r="499" spans="1:5">
      <c r="A499" s="9" t="s">
        <v>869</v>
      </c>
      <c r="B499" s="11" t="s">
        <v>1341</v>
      </c>
      <c r="C499" s="39">
        <v>5686.71</v>
      </c>
      <c r="D499" s="45">
        <v>1.9608799183580903</v>
      </c>
      <c r="E499" s="54" t="s">
        <v>1387</v>
      </c>
    </row>
    <row r="500" spans="1:5">
      <c r="A500" s="9" t="s">
        <v>870</v>
      </c>
      <c r="B500" s="11" t="s">
        <v>1341</v>
      </c>
      <c r="C500" s="39">
        <v>5606.9000000000005</v>
      </c>
      <c r="D500" s="45">
        <v>1.9398951451898263</v>
      </c>
      <c r="E500" s="54" t="s">
        <v>1387</v>
      </c>
    </row>
    <row r="501" spans="1:5">
      <c r="A501" s="9" t="s">
        <v>871</v>
      </c>
      <c r="B501" s="11" t="s">
        <v>1341</v>
      </c>
      <c r="C501" s="39">
        <v>5594.97</v>
      </c>
      <c r="D501" s="45">
        <v>2.2224997047061401</v>
      </c>
      <c r="E501" s="54" t="s">
        <v>1387</v>
      </c>
    </row>
    <row r="502" spans="1:5">
      <c r="A502" s="9" t="s">
        <v>872</v>
      </c>
      <c r="B502" s="11" t="s">
        <v>1341</v>
      </c>
      <c r="C502" s="39">
        <v>5526.25</v>
      </c>
      <c r="D502" s="45">
        <v>2.1763904731098589</v>
      </c>
      <c r="E502" s="54" t="s">
        <v>1387</v>
      </c>
    </row>
    <row r="503" spans="1:5">
      <c r="A503" s="9" t="s">
        <v>873</v>
      </c>
      <c r="B503" s="11" t="s">
        <v>1341</v>
      </c>
      <c r="C503" s="39">
        <v>5876.72</v>
      </c>
      <c r="D503" s="45">
        <v>2.2227652772654616</v>
      </c>
      <c r="E503" s="54" t="s">
        <v>1387</v>
      </c>
    </row>
    <row r="504" spans="1:5">
      <c r="A504" s="9" t="s">
        <v>874</v>
      </c>
      <c r="B504" s="11" t="s">
        <v>1341</v>
      </c>
      <c r="C504" s="39">
        <v>3729.2</v>
      </c>
      <c r="D504" s="45">
        <v>3.0274003180892324</v>
      </c>
      <c r="E504" s="54" t="s">
        <v>1387</v>
      </c>
    </row>
    <row r="505" spans="1:5">
      <c r="A505" s="9" t="s">
        <v>875</v>
      </c>
      <c r="B505" s="11" t="s">
        <v>1341</v>
      </c>
      <c r="C505" s="39">
        <v>3737.91</v>
      </c>
      <c r="D505" s="45">
        <v>3.1054347826086954</v>
      </c>
      <c r="E505" s="54" t="s">
        <v>1387</v>
      </c>
    </row>
    <row r="506" spans="1:5">
      <c r="A506" s="9" t="s">
        <v>876</v>
      </c>
      <c r="B506" s="11" t="s">
        <v>1341</v>
      </c>
      <c r="C506" s="39">
        <v>4329.6000000000004</v>
      </c>
      <c r="D506" s="45">
        <v>2.6498788983495216</v>
      </c>
      <c r="E506" s="54" t="s">
        <v>1387</v>
      </c>
    </row>
    <row r="507" spans="1:5">
      <c r="A507" s="9" t="s">
        <v>877</v>
      </c>
      <c r="B507" s="11" t="s">
        <v>1341</v>
      </c>
      <c r="C507" s="39">
        <v>3887.3900000000003</v>
      </c>
      <c r="D507" s="45">
        <v>2.8408840669226842</v>
      </c>
      <c r="E507" s="54" t="s">
        <v>1387</v>
      </c>
    </row>
    <row r="508" spans="1:5">
      <c r="A508" s="9" t="s">
        <v>878</v>
      </c>
      <c r="B508" s="11" t="s">
        <v>1341</v>
      </c>
      <c r="C508" s="39">
        <v>8999.0600000000013</v>
      </c>
      <c r="D508" s="45">
        <v>0.45380522681895757</v>
      </c>
      <c r="E508" s="54" t="s">
        <v>1387</v>
      </c>
    </row>
    <row r="509" spans="1:5">
      <c r="A509" s="9" t="s">
        <v>879</v>
      </c>
      <c r="B509" s="11" t="s">
        <v>1341</v>
      </c>
      <c r="C509" s="39">
        <v>8182.42</v>
      </c>
      <c r="D509" s="45">
        <v>0.47377169153673448</v>
      </c>
      <c r="E509" s="54" t="s">
        <v>1387</v>
      </c>
    </row>
    <row r="510" spans="1:5">
      <c r="A510" s="9" t="s">
        <v>880</v>
      </c>
      <c r="B510" s="11" t="s">
        <v>1341</v>
      </c>
      <c r="C510" s="39">
        <v>11674.589999999998</v>
      </c>
      <c r="D510" s="45">
        <v>0.31834987989735941</v>
      </c>
      <c r="E510" s="54" t="s">
        <v>1387</v>
      </c>
    </row>
    <row r="511" spans="1:5">
      <c r="A511" s="9" t="s">
        <v>881</v>
      </c>
      <c r="B511" s="11" t="s">
        <v>1341</v>
      </c>
      <c r="C511" s="39">
        <v>11262.74</v>
      </c>
      <c r="D511" s="45">
        <v>0.32532881710101702</v>
      </c>
      <c r="E511" s="54" t="s">
        <v>1387</v>
      </c>
    </row>
    <row r="512" spans="1:5">
      <c r="A512" s="9" t="s">
        <v>882</v>
      </c>
      <c r="B512" s="11" t="s">
        <v>1341</v>
      </c>
      <c r="C512" s="39">
        <v>12638.21</v>
      </c>
      <c r="D512" s="45">
        <v>0.26810826805376026</v>
      </c>
      <c r="E512" s="54" t="s">
        <v>1387</v>
      </c>
    </row>
    <row r="513" spans="1:5">
      <c r="A513" s="9" t="s">
        <v>883</v>
      </c>
      <c r="B513" s="11" t="s">
        <v>1341</v>
      </c>
      <c r="C513" s="39">
        <v>15667.170000000002</v>
      </c>
      <c r="D513" s="45">
        <v>0.26927880639335683</v>
      </c>
      <c r="E513" s="54" t="s">
        <v>1387</v>
      </c>
    </row>
    <row r="514" spans="1:5">
      <c r="A514" s="9" t="s">
        <v>884</v>
      </c>
      <c r="B514" s="11" t="s">
        <v>1341</v>
      </c>
      <c r="C514" s="39">
        <v>9578.3700000000008</v>
      </c>
      <c r="D514" s="45">
        <v>0.44562337955134712</v>
      </c>
      <c r="E514" s="54" t="s">
        <v>1387</v>
      </c>
    </row>
    <row r="515" spans="1:5">
      <c r="A515" s="9" t="s">
        <v>885</v>
      </c>
      <c r="B515" s="11" t="s">
        <v>1341</v>
      </c>
      <c r="C515" s="39">
        <v>9109.27</v>
      </c>
      <c r="D515" s="45">
        <v>0.52194870283018868</v>
      </c>
      <c r="E515" s="54" t="s">
        <v>1387</v>
      </c>
    </row>
    <row r="516" spans="1:5">
      <c r="A516" s="9" t="s">
        <v>886</v>
      </c>
      <c r="B516" s="11" t="s">
        <v>1341</v>
      </c>
      <c r="C516" s="39">
        <v>8234.8300000000017</v>
      </c>
      <c r="D516" s="45">
        <v>0.4592192082111437</v>
      </c>
      <c r="E516" s="54" t="s">
        <v>1387</v>
      </c>
    </row>
    <row r="517" spans="1:5">
      <c r="A517" s="9" t="s">
        <v>887</v>
      </c>
      <c r="B517" s="11" t="s">
        <v>1341</v>
      </c>
      <c r="C517" s="39">
        <v>8596.7799999999988</v>
      </c>
      <c r="D517" s="45">
        <v>0.47865892425719497</v>
      </c>
      <c r="E517" s="54" t="s">
        <v>1387</v>
      </c>
    </row>
    <row r="518" spans="1:5">
      <c r="A518" s="9" t="s">
        <v>888</v>
      </c>
      <c r="B518" s="11" t="s">
        <v>1341</v>
      </c>
      <c r="C518" s="39">
        <v>11834.36</v>
      </c>
      <c r="D518" s="45">
        <v>0.30288204152043302</v>
      </c>
      <c r="E518" s="54" t="s">
        <v>1387</v>
      </c>
    </row>
    <row r="519" spans="1:5">
      <c r="A519" s="9" t="s">
        <v>889</v>
      </c>
      <c r="B519" s="11" t="s">
        <v>1341</v>
      </c>
      <c r="C519" s="39">
        <v>9777.74</v>
      </c>
      <c r="D519" s="45">
        <v>0.44194790170735598</v>
      </c>
      <c r="E519" s="54" t="s">
        <v>1387</v>
      </c>
    </row>
    <row r="520" spans="1:5">
      <c r="A520" s="9" t="s">
        <v>1113</v>
      </c>
      <c r="B520" s="11" t="s">
        <v>1341</v>
      </c>
      <c r="C520" s="39">
        <v>1227.9278723470998</v>
      </c>
      <c r="D520" s="45">
        <v>0.29706356078142337</v>
      </c>
      <c r="E520" s="54" t="s">
        <v>1387</v>
      </c>
    </row>
    <row r="521" spans="1:5">
      <c r="A521" s="9" t="s">
        <v>1115</v>
      </c>
      <c r="B521" s="11" t="s">
        <v>1341</v>
      </c>
      <c r="C521" s="39">
        <v>1200.3112029603383</v>
      </c>
      <c r="D521" s="45">
        <v>0.25386249960973611</v>
      </c>
      <c r="E521" s="54" t="s">
        <v>1387</v>
      </c>
    </row>
    <row r="522" spans="1:5">
      <c r="A522" s="9" t="s">
        <v>1116</v>
      </c>
      <c r="B522" s="11" t="s">
        <v>1341</v>
      </c>
      <c r="C522" s="39">
        <v>1304.7891224077687</v>
      </c>
      <c r="D522" s="45">
        <v>0.17132427225630489</v>
      </c>
      <c r="E522" s="54" t="s">
        <v>1387</v>
      </c>
    </row>
    <row r="523" spans="1:5">
      <c r="A523" s="9" t="s">
        <v>1117</v>
      </c>
      <c r="B523" s="11" t="s">
        <v>1341</v>
      </c>
      <c r="C523" s="39">
        <v>1415.8427205994456</v>
      </c>
      <c r="D523" s="45">
        <v>0.19949569341993523</v>
      </c>
      <c r="E523" s="54" t="s">
        <v>1387</v>
      </c>
    </row>
    <row r="524" spans="1:5">
      <c r="A524" s="9" t="s">
        <v>1118</v>
      </c>
      <c r="B524" s="11" t="s">
        <v>1341</v>
      </c>
      <c r="C524" s="39">
        <v>1898.2393510833581</v>
      </c>
      <c r="D524" s="45">
        <v>0.14770628033503211</v>
      </c>
      <c r="E524" s="54" t="s">
        <v>1387</v>
      </c>
    </row>
    <row r="525" spans="1:5">
      <c r="A525" s="9" t="s">
        <v>1119</v>
      </c>
      <c r="B525" s="11" t="s">
        <v>1341</v>
      </c>
      <c r="C525" s="39">
        <v>1443.0414371717807</v>
      </c>
      <c r="D525" s="45">
        <v>0.19967166719230789</v>
      </c>
      <c r="E525" s="54" t="s">
        <v>1387</v>
      </c>
    </row>
    <row r="526" spans="1:5">
      <c r="A526" s="9" t="s">
        <v>1120</v>
      </c>
      <c r="B526" s="11" t="s">
        <v>1341</v>
      </c>
      <c r="C526" s="39">
        <v>2917.7463265043439</v>
      </c>
      <c r="D526" s="45">
        <v>4.5631875501464245</v>
      </c>
      <c r="E526" s="54" t="s">
        <v>1387</v>
      </c>
    </row>
    <row r="527" spans="1:5">
      <c r="A527" s="9" t="s">
        <v>1121</v>
      </c>
      <c r="B527" s="11" t="s">
        <v>1341</v>
      </c>
      <c r="C527" s="39">
        <v>2929.1762702687352</v>
      </c>
      <c r="D527" s="45">
        <v>6.5697186102428908</v>
      </c>
      <c r="E527" s="54" t="s">
        <v>1387</v>
      </c>
    </row>
    <row r="528" spans="1:5">
      <c r="A528" s="9" t="s">
        <v>1122</v>
      </c>
      <c r="B528" s="11" t="s">
        <v>1341</v>
      </c>
      <c r="C528" s="39">
        <v>1091.474980151198</v>
      </c>
      <c r="D528" s="45">
        <v>0.30175595266292649</v>
      </c>
      <c r="E528" s="54" t="s">
        <v>1387</v>
      </c>
    </row>
    <row r="529" spans="1:5">
      <c r="A529" s="9" t="s">
        <v>1123</v>
      </c>
      <c r="B529" s="11" t="s">
        <v>1341</v>
      </c>
      <c r="C529" s="39">
        <v>952.24454517129311</v>
      </c>
      <c r="D529" s="45">
        <v>0.42351646603012633</v>
      </c>
      <c r="E529" s="54" t="s">
        <v>1387</v>
      </c>
    </row>
    <row r="530" spans="1:5">
      <c r="A530" s="9" t="s">
        <v>1124</v>
      </c>
      <c r="B530" s="11" t="s">
        <v>1341</v>
      </c>
      <c r="C530" s="39">
        <v>1153.4629596624745</v>
      </c>
      <c r="D530" s="45">
        <v>0.31609639059752132</v>
      </c>
      <c r="E530" s="54" t="s">
        <v>1387</v>
      </c>
    </row>
    <row r="531" spans="1:5">
      <c r="A531" s="9" t="s">
        <v>1125</v>
      </c>
      <c r="B531" s="11" t="s">
        <v>1341</v>
      </c>
      <c r="C531" s="39">
        <v>1645.7170903906576</v>
      </c>
      <c r="D531" s="45">
        <v>0.15812449073347631</v>
      </c>
      <c r="E531" s="54" t="s">
        <v>1387</v>
      </c>
    </row>
    <row r="532" spans="1:5">
      <c r="A532" s="9" t="s">
        <v>1126</v>
      </c>
      <c r="B532" s="11" t="s">
        <v>1341</v>
      </c>
      <c r="C532" s="39">
        <v>1575.1416804106166</v>
      </c>
      <c r="D532" s="45">
        <v>0.17995970698353347</v>
      </c>
      <c r="E532" s="54" t="s">
        <v>1387</v>
      </c>
    </row>
    <row r="533" spans="1:5">
      <c r="A533" s="9" t="s">
        <v>1127</v>
      </c>
      <c r="B533" s="11" t="s">
        <v>1341</v>
      </c>
      <c r="C533" s="39">
        <v>1692.2862531790568</v>
      </c>
      <c r="D533" s="45">
        <v>0.15542979416434533</v>
      </c>
      <c r="E533" s="54" t="s">
        <v>1387</v>
      </c>
    </row>
    <row r="534" spans="1:5">
      <c r="A534" s="9" t="s">
        <v>1128</v>
      </c>
      <c r="B534" s="11" t="s">
        <v>1341</v>
      </c>
      <c r="C534" s="39">
        <v>1589.996957182238</v>
      </c>
      <c r="D534" s="45">
        <v>0.15791192735944032</v>
      </c>
      <c r="E534" s="54" t="s">
        <v>1387</v>
      </c>
    </row>
    <row r="535" spans="1:5">
      <c r="A535" s="9" t="s">
        <v>1129</v>
      </c>
      <c r="B535" s="11" t="s">
        <v>1341</v>
      </c>
      <c r="C535" s="39">
        <v>1510.2287998453451</v>
      </c>
      <c r="D535" s="45">
        <v>0.16697105871177473</v>
      </c>
      <c r="E535" s="54" t="s">
        <v>1387</v>
      </c>
    </row>
    <row r="536" spans="1:5">
      <c r="A536" s="9" t="s">
        <v>1130</v>
      </c>
      <c r="B536" s="11" t="s">
        <v>1341</v>
      </c>
      <c r="C536" s="39">
        <v>1638.6296697846597</v>
      </c>
      <c r="D536" s="45">
        <v>0.18433368078140827</v>
      </c>
      <c r="E536" s="54" t="s">
        <v>1387</v>
      </c>
    </row>
    <row r="537" spans="1:5">
      <c r="A537" s="9" t="s">
        <v>1131</v>
      </c>
      <c r="B537" s="11" t="s">
        <v>1341</v>
      </c>
      <c r="C537" s="39">
        <v>1633.0939253320068</v>
      </c>
      <c r="D537" s="45">
        <v>0.1613957461476126</v>
      </c>
      <c r="E537" s="54" t="s">
        <v>1387</v>
      </c>
    </row>
    <row r="538" spans="1:5">
      <c r="A538" s="9" t="s">
        <v>1132</v>
      </c>
      <c r="B538" s="11" t="s">
        <v>1341</v>
      </c>
      <c r="C538" s="39">
        <v>1633.9337030119209</v>
      </c>
      <c r="D538" s="45">
        <v>0.18457486206885609</v>
      </c>
      <c r="E538" s="54" t="s">
        <v>1387</v>
      </c>
    </row>
    <row r="539" spans="1:5">
      <c r="A539" s="9" t="s">
        <v>1133</v>
      </c>
      <c r="B539" s="11" t="s">
        <v>1341</v>
      </c>
      <c r="C539" s="39">
        <v>1666.7138201926157</v>
      </c>
      <c r="D539" s="45">
        <v>0.16818402715354927</v>
      </c>
      <c r="E539" s="54" t="s">
        <v>1387</v>
      </c>
    </row>
    <row r="540" spans="1:5">
      <c r="A540" s="9" t="s">
        <v>1134</v>
      </c>
      <c r="B540" s="11" t="s">
        <v>1341</v>
      </c>
      <c r="C540" s="39">
        <v>1608.7694351196542</v>
      </c>
      <c r="D540" s="45">
        <v>0.15301812698219133</v>
      </c>
      <c r="E540" s="54" t="s">
        <v>1387</v>
      </c>
    </row>
    <row r="541" spans="1:5">
      <c r="A541" s="9" t="s">
        <v>1135</v>
      </c>
      <c r="B541" s="11" t="s">
        <v>1341</v>
      </c>
      <c r="C541" s="39">
        <v>1661.6357993122858</v>
      </c>
      <c r="D541" s="45">
        <v>0.15826716780587877</v>
      </c>
      <c r="E541" s="54" t="s">
        <v>1387</v>
      </c>
    </row>
    <row r="542" spans="1:5">
      <c r="A542" s="9" t="s">
        <v>1136</v>
      </c>
      <c r="B542" s="11" t="s">
        <v>1341</v>
      </c>
      <c r="C542" s="39">
        <v>3181.2318630228456</v>
      </c>
      <c r="D542" s="45">
        <v>9.8307761939033291</v>
      </c>
      <c r="E542" s="54" t="s">
        <v>1387</v>
      </c>
    </row>
    <row r="543" spans="1:5">
      <c r="A543" s="9" t="s">
        <v>1137</v>
      </c>
      <c r="B543" s="11" t="s">
        <v>1341</v>
      </c>
      <c r="C543" s="39">
        <v>3037.2049536419872</v>
      </c>
      <c r="D543" s="45">
        <v>4.4583698973192361</v>
      </c>
      <c r="E543" s="54" t="s">
        <v>1387</v>
      </c>
    </row>
    <row r="544" spans="1:5">
      <c r="A544" s="9" t="s">
        <v>1138</v>
      </c>
      <c r="B544" s="11" t="s">
        <v>1341</v>
      </c>
      <c r="C544" s="39">
        <v>3059.9356144777098</v>
      </c>
      <c r="D544" s="45">
        <v>5.5028576672081613</v>
      </c>
      <c r="E544" s="54" t="s">
        <v>1387</v>
      </c>
    </row>
    <row r="545" spans="1:5">
      <c r="A545" s="9" t="s">
        <v>1139</v>
      </c>
      <c r="B545" s="11" t="s">
        <v>1341</v>
      </c>
      <c r="C545" s="39">
        <v>3853.8131928868725</v>
      </c>
      <c r="D545" s="45">
        <v>0.18668543431483417</v>
      </c>
      <c r="E545" s="54" t="s">
        <v>1387</v>
      </c>
    </row>
    <row r="546" spans="1:5">
      <c r="A546" s="9" t="s">
        <v>1140</v>
      </c>
      <c r="B546" s="11" t="s">
        <v>1341</v>
      </c>
      <c r="C546" s="39">
        <v>3133.6680046386382</v>
      </c>
      <c r="D546" s="45">
        <v>0.19024348556851611</v>
      </c>
      <c r="E546" s="54" t="s">
        <v>1387</v>
      </c>
    </row>
    <row r="547" spans="1:5">
      <c r="A547" s="9" t="s">
        <v>1141</v>
      </c>
      <c r="B547" s="11" t="s">
        <v>1341</v>
      </c>
      <c r="C547" s="39">
        <v>3169.7746655238825</v>
      </c>
      <c r="D547" s="45">
        <v>8.993962625451255</v>
      </c>
      <c r="E547" s="54" t="s">
        <v>1387</v>
      </c>
    </row>
    <row r="548" spans="1:5">
      <c r="A548" s="9" t="s">
        <v>1142</v>
      </c>
      <c r="B548" s="11" t="s">
        <v>1341</v>
      </c>
      <c r="C548" s="39">
        <v>3256.1351218122145</v>
      </c>
      <c r="D548" s="45">
        <v>4.4634260576914411</v>
      </c>
      <c r="E548" s="54" t="s">
        <v>1387</v>
      </c>
    </row>
    <row r="549" spans="1:5">
      <c r="A549" s="9" t="s">
        <v>1143</v>
      </c>
      <c r="B549" s="11" t="s">
        <v>1341</v>
      </c>
      <c r="C549" s="39">
        <v>2882.2868911675978</v>
      </c>
      <c r="D549" s="45">
        <v>9.4210694579558325</v>
      </c>
      <c r="E549" s="54" t="s">
        <v>1387</v>
      </c>
    </row>
    <row r="550" spans="1:5">
      <c r="A550" s="9" t="s">
        <v>1144</v>
      </c>
      <c r="B550" s="11" t="s">
        <v>1341</v>
      </c>
      <c r="C550" s="39">
        <v>3030.5007488401588</v>
      </c>
      <c r="D550" s="45">
        <v>5.3097450322647903</v>
      </c>
      <c r="E550" s="54" t="s">
        <v>1387</v>
      </c>
    </row>
    <row r="551" spans="1:5">
      <c r="A551" s="9" t="s">
        <v>1145</v>
      </c>
      <c r="B551" s="11" t="s">
        <v>1341</v>
      </c>
      <c r="C551" s="39">
        <v>1993.5164551946932</v>
      </c>
      <c r="D551" s="45">
        <v>0.16694968939793903</v>
      </c>
      <c r="E551" s="54" t="s">
        <v>1387</v>
      </c>
    </row>
    <row r="552" spans="1:5">
      <c r="A552" s="9" t="s">
        <v>1146</v>
      </c>
      <c r="B552" s="11" t="s">
        <v>1341</v>
      </c>
      <c r="C552" s="39">
        <v>1891.8571203383231</v>
      </c>
      <c r="D552" s="45">
        <v>0.17583907780989574</v>
      </c>
      <c r="E552" s="54" t="s">
        <v>1387</v>
      </c>
    </row>
    <row r="553" spans="1:5">
      <c r="A553" s="9" t="s">
        <v>1147</v>
      </c>
      <c r="B553" s="11" t="s">
        <v>1341</v>
      </c>
      <c r="C553" s="39">
        <v>2062.0576907299383</v>
      </c>
      <c r="D553" s="45">
        <v>0.17099745379321366</v>
      </c>
      <c r="E553" s="54" t="s">
        <v>1387</v>
      </c>
    </row>
    <row r="554" spans="1:5">
      <c r="A554" s="9" t="s">
        <v>1148</v>
      </c>
      <c r="B554" s="11" t="s">
        <v>1341</v>
      </c>
      <c r="C554" s="39">
        <v>1915.0459332664011</v>
      </c>
      <c r="D554" s="45">
        <v>0.18610434054740452</v>
      </c>
      <c r="E554" s="54" t="s">
        <v>1387</v>
      </c>
    </row>
    <row r="555" spans="1:5">
      <c r="A555" s="9" t="s">
        <v>1149</v>
      </c>
      <c r="B555" s="11" t="s">
        <v>1341</v>
      </c>
      <c r="C555" s="39">
        <v>2259.5394113975194</v>
      </c>
      <c r="D555" s="45">
        <v>0.16485376958474146</v>
      </c>
      <c r="E555" s="54" t="s">
        <v>1387</v>
      </c>
    </row>
    <row r="556" spans="1:5">
      <c r="A556" s="9" t="s">
        <v>1150</v>
      </c>
      <c r="B556" s="11" t="s">
        <v>1341</v>
      </c>
      <c r="C556" s="39">
        <v>3210.189240286591</v>
      </c>
      <c r="D556" s="45">
        <v>0.11660650929620651</v>
      </c>
      <c r="E556" s="54" t="s">
        <v>1387</v>
      </c>
    </row>
    <row r="557" spans="1:5">
      <c r="A557" s="9" t="s">
        <v>1151</v>
      </c>
      <c r="B557" s="11" t="s">
        <v>1341</v>
      </c>
      <c r="C557" s="39">
        <v>2018.4075031152511</v>
      </c>
      <c r="D557" s="45">
        <v>9.3308794495380334E-2</v>
      </c>
      <c r="E557" s="54" t="s">
        <v>1387</v>
      </c>
    </row>
    <row r="558" spans="1:5">
      <c r="A558" s="9" t="s">
        <v>1152</v>
      </c>
      <c r="B558" s="11" t="s">
        <v>1341</v>
      </c>
      <c r="C558" s="39">
        <v>1803.1260685833072</v>
      </c>
      <c r="D558" s="45">
        <v>0.13646306688895576</v>
      </c>
      <c r="E558" s="54" t="s">
        <v>1387</v>
      </c>
    </row>
    <row r="559" spans="1:5">
      <c r="A559" s="9" t="s">
        <v>1153</v>
      </c>
      <c r="B559" s="11" t="s">
        <v>1341</v>
      </c>
      <c r="C559" s="39">
        <v>2069.0237829343218</v>
      </c>
      <c r="D559" s="45">
        <v>0.10937541422491087</v>
      </c>
      <c r="E559" s="54" t="s">
        <v>1387</v>
      </c>
    </row>
    <row r="560" spans="1:5">
      <c r="A560" s="9" t="s">
        <v>1154</v>
      </c>
      <c r="B560" s="11" t="s">
        <v>1341</v>
      </c>
      <c r="C560" s="39">
        <v>1631.060599464583</v>
      </c>
      <c r="D560" s="45">
        <v>0.15351005974447504</v>
      </c>
      <c r="E560" s="54" t="s">
        <v>1387</v>
      </c>
    </row>
    <row r="561" spans="1:5">
      <c r="A561" s="9" t="s">
        <v>1155</v>
      </c>
      <c r="B561" s="11" t="s">
        <v>1341</v>
      </c>
      <c r="C561" s="39">
        <v>2034.3557714990927</v>
      </c>
      <c r="D561" s="45">
        <v>0.16722154762867986</v>
      </c>
      <c r="E561" s="54" t="s">
        <v>1387</v>
      </c>
    </row>
    <row r="562" spans="1:5">
      <c r="A562" s="9" t="s">
        <v>1156</v>
      </c>
      <c r="B562" s="11" t="s">
        <v>1341</v>
      </c>
      <c r="C562" s="39">
        <v>2101.0936574854118</v>
      </c>
      <c r="D562" s="45">
        <v>0.11723802134415801</v>
      </c>
      <c r="E562" s="54" t="s">
        <v>1387</v>
      </c>
    </row>
    <row r="563" spans="1:5">
      <c r="A563" s="9" t="s">
        <v>1157</v>
      </c>
      <c r="B563" s="11" t="s">
        <v>1341</v>
      </c>
      <c r="C563" s="39">
        <v>2583.3460194670834</v>
      </c>
      <c r="D563" s="45">
        <v>9.3672743161551927E-2</v>
      </c>
      <c r="E563" s="54" t="s">
        <v>1387</v>
      </c>
    </row>
    <row r="564" spans="1:5">
      <c r="A564" s="9" t="s">
        <v>1158</v>
      </c>
      <c r="B564" s="11" t="s">
        <v>1341</v>
      </c>
      <c r="C564" s="39">
        <v>1967.4206974605063</v>
      </c>
      <c r="D564" s="45">
        <v>0.11863966514359051</v>
      </c>
      <c r="E564" s="54" t="s">
        <v>1387</v>
      </c>
    </row>
    <row r="565" spans="1:5">
      <c r="A565" s="9" t="s">
        <v>1159</v>
      </c>
      <c r="B565" s="11" t="s">
        <v>1341</v>
      </c>
      <c r="C565" s="39">
        <v>2086.1514448308176</v>
      </c>
      <c r="D565" s="45">
        <v>0.1068691219484804</v>
      </c>
      <c r="E565" s="54" t="s">
        <v>1387</v>
      </c>
    </row>
    <row r="566" spans="1:5">
      <c r="A566" s="9" t="s">
        <v>1160</v>
      </c>
      <c r="B566" s="11" t="s">
        <v>1341</v>
      </c>
      <c r="C566" s="39">
        <v>2390.4669595293049</v>
      </c>
      <c r="D566" s="45">
        <v>9.1883124768321861E-2</v>
      </c>
      <c r="E566" s="54" t="s">
        <v>1387</v>
      </c>
    </row>
    <row r="567" spans="1:5">
      <c r="A567" s="9" t="s">
        <v>1161</v>
      </c>
      <c r="B567" s="11" t="s">
        <v>1341</v>
      </c>
      <c r="C567" s="39">
        <v>2258.9773964545802</v>
      </c>
      <c r="D567" s="45">
        <v>9.6506526766556272E-2</v>
      </c>
      <c r="E567" s="54" t="s">
        <v>1387</v>
      </c>
    </row>
    <row r="568" spans="1:5">
      <c r="A568" s="9" t="s">
        <v>1162</v>
      </c>
      <c r="B568" s="11" t="s">
        <v>1341</v>
      </c>
      <c r="C568" s="39">
        <v>1980.3981742932324</v>
      </c>
      <c r="D568" s="45">
        <v>0.11574101770865143</v>
      </c>
      <c r="E568" s="54" t="s">
        <v>1387</v>
      </c>
    </row>
    <row r="569" spans="1:5">
      <c r="A569" s="9" t="s">
        <v>1163</v>
      </c>
      <c r="B569" s="11" t="s">
        <v>1341</v>
      </c>
      <c r="C569" s="39">
        <v>2484.0123789863947</v>
      </c>
      <c r="D569" s="45">
        <v>0.11202670829159769</v>
      </c>
      <c r="E569" s="54" t="s">
        <v>1387</v>
      </c>
    </row>
    <row r="570" spans="1:5">
      <c r="A570" s="9" t="s">
        <v>1186</v>
      </c>
      <c r="B570" s="11" t="s">
        <v>1341</v>
      </c>
      <c r="C570" s="39">
        <v>3802.9982064331639</v>
      </c>
      <c r="D570" s="45">
        <v>1.928422685248685</v>
      </c>
      <c r="E570" s="54" t="s">
        <v>1387</v>
      </c>
    </row>
    <row r="571" spans="1:5">
      <c r="A571" s="9" t="s">
        <v>1188</v>
      </c>
      <c r="B571" s="11" t="s">
        <v>1341</v>
      </c>
      <c r="C571" s="39">
        <v>4680.5062783614057</v>
      </c>
      <c r="D571" s="45">
        <v>2.4146670236543941</v>
      </c>
      <c r="E571" s="54" t="s">
        <v>1387</v>
      </c>
    </row>
    <row r="572" spans="1:5">
      <c r="A572" s="9" t="s">
        <v>1189</v>
      </c>
      <c r="B572" s="11" t="s">
        <v>1341</v>
      </c>
      <c r="C572" s="39">
        <v>4247.6007684770839</v>
      </c>
      <c r="D572" s="45">
        <v>1.7609740416457227</v>
      </c>
      <c r="E572" s="54" t="s">
        <v>1387</v>
      </c>
    </row>
    <row r="573" spans="1:5">
      <c r="A573" s="9" t="s">
        <v>1190</v>
      </c>
      <c r="B573" s="11" t="s">
        <v>1341</v>
      </c>
      <c r="C573" s="39">
        <v>5060.1692145142606</v>
      </c>
      <c r="D573" s="45">
        <v>1.5976884043369015</v>
      </c>
      <c r="E573" s="54" t="s">
        <v>1387</v>
      </c>
    </row>
    <row r="574" spans="1:5">
      <c r="A574" s="9" t="s">
        <v>1191</v>
      </c>
      <c r="B574" s="11" t="s">
        <v>1341</v>
      </c>
      <c r="C574" s="39">
        <v>4459.2296500564171</v>
      </c>
      <c r="D574" s="45">
        <v>1.7382594227593304</v>
      </c>
      <c r="E574" s="54" t="s">
        <v>1387</v>
      </c>
    </row>
    <row r="575" spans="1:5">
      <c r="A575" s="9" t="s">
        <v>1192</v>
      </c>
      <c r="B575" s="11" t="s">
        <v>1341</v>
      </c>
      <c r="C575" s="39">
        <v>4210.7371668048199</v>
      </c>
      <c r="D575" s="45">
        <v>2.145676788412334</v>
      </c>
      <c r="E575" s="54" t="s">
        <v>1387</v>
      </c>
    </row>
    <row r="576" spans="1:5">
      <c r="A576" s="9" t="s">
        <v>1193</v>
      </c>
      <c r="B576" s="11" t="s">
        <v>1341</v>
      </c>
      <c r="C576" s="39">
        <v>3988.1658882491083</v>
      </c>
      <c r="D576" s="45">
        <v>2.2493331339421241</v>
      </c>
      <c r="E576" s="54" t="s">
        <v>1387</v>
      </c>
    </row>
    <row r="577" spans="1:5">
      <c r="A577" s="9" t="s">
        <v>1194</v>
      </c>
      <c r="B577" s="11" t="s">
        <v>1341</v>
      </c>
      <c r="C577" s="39">
        <v>3860.8649424427581</v>
      </c>
      <c r="D577" s="45">
        <v>1.9830221185806722</v>
      </c>
      <c r="E577" s="54" t="s">
        <v>1387</v>
      </c>
    </row>
    <row r="578" spans="1:5">
      <c r="A578" s="9" t="s">
        <v>1195</v>
      </c>
      <c r="B578" s="11" t="s">
        <v>1341</v>
      </c>
      <c r="C578" s="39">
        <v>9477.6903020292812</v>
      </c>
      <c r="D578" s="45">
        <v>1.3968111411967814</v>
      </c>
      <c r="E578" s="54" t="s">
        <v>1387</v>
      </c>
    </row>
    <row r="579" spans="1:5">
      <c r="A579" s="9" t="s">
        <v>1196</v>
      </c>
      <c r="B579" s="11" t="s">
        <v>1341</v>
      </c>
      <c r="C579" s="39">
        <v>4337.5430967219163</v>
      </c>
      <c r="D579" s="45">
        <v>1.8829317049879262</v>
      </c>
      <c r="E579" s="54" t="s">
        <v>1387</v>
      </c>
    </row>
    <row r="580" spans="1:5">
      <c r="A580" s="9" t="s">
        <v>1197</v>
      </c>
      <c r="B580" s="11" t="s">
        <v>1341</v>
      </c>
      <c r="C580" s="39">
        <v>4071.0827215642321</v>
      </c>
      <c r="D580" s="45">
        <v>2.4739364143892355</v>
      </c>
      <c r="E580" s="54" t="s">
        <v>1387</v>
      </c>
    </row>
    <row r="581" spans="1:5">
      <c r="A581" s="9" t="s">
        <v>1198</v>
      </c>
      <c r="B581" s="11" t="s">
        <v>1341</v>
      </c>
      <c r="C581" s="39">
        <v>3655.9465131608249</v>
      </c>
      <c r="D581" s="45">
        <v>2.053792527475097</v>
      </c>
      <c r="E581" s="54" t="s">
        <v>1387</v>
      </c>
    </row>
    <row r="582" spans="1:5">
      <c r="A582" s="9" t="s">
        <v>1199</v>
      </c>
      <c r="B582" s="11" t="s">
        <v>1341</v>
      </c>
      <c r="C582" s="39">
        <v>5524.8774523125812</v>
      </c>
      <c r="D582" s="45">
        <v>1.8448936477923188</v>
      </c>
      <c r="E582" s="54" t="s">
        <v>1387</v>
      </c>
    </row>
    <row r="583" spans="1:5">
      <c r="A583" s="9" t="s">
        <v>1250</v>
      </c>
      <c r="B583" s="11" t="s">
        <v>1341</v>
      </c>
      <c r="C583" s="39">
        <v>4348.8270293041951</v>
      </c>
      <c r="D583" s="45">
        <v>2.536443928338628</v>
      </c>
      <c r="E583" s="54" t="s">
        <v>1387</v>
      </c>
    </row>
    <row r="584" spans="1:5">
      <c r="A584" s="9" t="s">
        <v>1251</v>
      </c>
      <c r="B584" s="11" t="s">
        <v>1341</v>
      </c>
      <c r="C584" s="39">
        <v>4025.7340080209187</v>
      </c>
      <c r="D584" s="45">
        <v>1.9156235159135959</v>
      </c>
      <c r="E584" s="54" t="s">
        <v>1387</v>
      </c>
    </row>
    <row r="585" spans="1:5">
      <c r="A585" s="9" t="s">
        <v>1252</v>
      </c>
      <c r="B585" s="11" t="s">
        <v>1341</v>
      </c>
      <c r="C585" s="39">
        <v>5724.6203916257673</v>
      </c>
      <c r="D585" s="45">
        <v>1.3440999444333182</v>
      </c>
      <c r="E585" s="54" t="s">
        <v>1387</v>
      </c>
    </row>
    <row r="586" spans="1:5">
      <c r="A586" s="9" t="s">
        <v>1253</v>
      </c>
      <c r="B586" s="11" t="s">
        <v>1341</v>
      </c>
      <c r="C586" s="39">
        <v>6089.1636035489973</v>
      </c>
      <c r="D586" s="45">
        <v>0.32098166303746289</v>
      </c>
      <c r="E586" s="54" t="s">
        <v>1387</v>
      </c>
    </row>
    <row r="587" spans="1:5">
      <c r="A587" s="9" t="s">
        <v>1255</v>
      </c>
      <c r="B587" s="11" t="s">
        <v>1341</v>
      </c>
      <c r="C587" s="39">
        <v>6677.2068261594213</v>
      </c>
      <c r="D587" s="45">
        <v>0.3227628538119342</v>
      </c>
      <c r="E587" s="54" t="s">
        <v>1387</v>
      </c>
    </row>
    <row r="588" spans="1:5">
      <c r="A588" s="9" t="s">
        <v>1256</v>
      </c>
      <c r="B588" s="11" t="s">
        <v>1341</v>
      </c>
      <c r="C588" s="39">
        <v>6779.7380485644562</v>
      </c>
      <c r="D588" s="45">
        <v>0.3037524889012555</v>
      </c>
      <c r="E588" s="54" t="s">
        <v>1387</v>
      </c>
    </row>
    <row r="589" spans="1:5">
      <c r="A589" s="9" t="s">
        <v>1257</v>
      </c>
      <c r="B589" s="11" t="s">
        <v>1341</v>
      </c>
      <c r="C589" s="39">
        <v>6598.2072760186811</v>
      </c>
      <c r="D589" s="45">
        <v>0.28939060606078004</v>
      </c>
      <c r="E589" s="54" t="s">
        <v>1387</v>
      </c>
    </row>
    <row r="590" spans="1:5">
      <c r="A590" s="9" t="s">
        <v>1258</v>
      </c>
      <c r="B590" s="11" t="s">
        <v>1341</v>
      </c>
      <c r="C590" s="39">
        <v>5419.4259830795336</v>
      </c>
      <c r="D590" s="45">
        <v>0.3195020266958622</v>
      </c>
      <c r="E590" s="54" t="s">
        <v>1387</v>
      </c>
    </row>
    <row r="591" spans="1:5">
      <c r="A591" s="9" t="s">
        <v>1259</v>
      </c>
      <c r="B591" s="11" t="s">
        <v>1341</v>
      </c>
      <c r="C591" s="39">
        <v>5674.5914991131367</v>
      </c>
      <c r="D591" s="45">
        <v>0.33062901425430952</v>
      </c>
      <c r="E591" s="54" t="s">
        <v>1387</v>
      </c>
    </row>
    <row r="592" spans="1:5">
      <c r="A592" s="9" t="s">
        <v>1260</v>
      </c>
      <c r="B592" s="11" t="s">
        <v>1341</v>
      </c>
      <c r="C592" s="39">
        <v>6065.0957621670041</v>
      </c>
      <c r="D592" s="45">
        <v>0.32127231680425922</v>
      </c>
      <c r="E592" s="54" t="s">
        <v>1387</v>
      </c>
    </row>
    <row r="593" spans="1:5">
      <c r="A593" s="9" t="s">
        <v>1261</v>
      </c>
      <c r="B593" s="11" t="s">
        <v>1341</v>
      </c>
      <c r="C593" s="39">
        <v>6954.8378410585738</v>
      </c>
      <c r="D593" s="45">
        <v>0.29667756362773728</v>
      </c>
      <c r="E593" s="54" t="s">
        <v>1387</v>
      </c>
    </row>
    <row r="594" spans="1:5">
      <c r="A594" s="9" t="s">
        <v>1262</v>
      </c>
      <c r="B594" s="11" t="s">
        <v>1341</v>
      </c>
      <c r="C594" s="39">
        <v>5855.3841310258522</v>
      </c>
      <c r="D594" s="45">
        <v>0.41506568096265828</v>
      </c>
      <c r="E594" s="54" t="s">
        <v>1387</v>
      </c>
    </row>
    <row r="595" spans="1:5">
      <c r="A595" s="9" t="s">
        <v>1263</v>
      </c>
      <c r="B595" s="11" t="s">
        <v>1341</v>
      </c>
      <c r="C595" s="39">
        <v>6317.2413495409974</v>
      </c>
      <c r="D595" s="45">
        <v>0.31428931241031804</v>
      </c>
      <c r="E595" s="54" t="s">
        <v>1387</v>
      </c>
    </row>
    <row r="596" spans="1:5">
      <c r="A596" s="9" t="s">
        <v>1264</v>
      </c>
      <c r="B596" s="11" t="s">
        <v>1341</v>
      </c>
      <c r="C596" s="39">
        <v>6725.4368765171421</v>
      </c>
      <c r="D596" s="45">
        <v>0.28771153693013951</v>
      </c>
      <c r="E596" s="54" t="s">
        <v>1387</v>
      </c>
    </row>
    <row r="597" spans="1:5">
      <c r="A597" s="9" t="s">
        <v>1265</v>
      </c>
      <c r="B597" s="11" t="s">
        <v>1341</v>
      </c>
      <c r="C597" s="39">
        <v>6119.0880568458033</v>
      </c>
      <c r="D597" s="45">
        <v>0.35834686136825206</v>
      </c>
      <c r="E597" s="54" t="s">
        <v>1387</v>
      </c>
    </row>
    <row r="598" spans="1:5">
      <c r="A598" s="9" t="s">
        <v>1266</v>
      </c>
      <c r="B598" s="11" t="s">
        <v>1341</v>
      </c>
      <c r="C598" s="39">
        <v>6645.5897057889542</v>
      </c>
      <c r="D598" s="45">
        <v>0.28010000633221405</v>
      </c>
      <c r="E598" s="54" t="s">
        <v>1387</v>
      </c>
    </row>
    <row r="599" spans="1:5">
      <c r="A599" s="9" t="s">
        <v>1267</v>
      </c>
      <c r="B599" s="11" t="s">
        <v>1341</v>
      </c>
      <c r="C599" s="39">
        <v>5706.8422776376219</v>
      </c>
      <c r="D599" s="45">
        <v>0.41703528629371905</v>
      </c>
      <c r="E599" s="54" t="s">
        <v>1387</v>
      </c>
    </row>
    <row r="600" spans="1:5">
      <c r="A600" s="9" t="s">
        <v>1268</v>
      </c>
      <c r="B600" s="11" t="s">
        <v>1341</v>
      </c>
      <c r="C600" s="39">
        <v>6376.438791020174</v>
      </c>
      <c r="D600" s="45">
        <v>0.30428464030869751</v>
      </c>
      <c r="E600" s="54" t="s">
        <v>1387</v>
      </c>
    </row>
    <row r="601" spans="1:5">
      <c r="A601" s="9" t="s">
        <v>1269</v>
      </c>
      <c r="B601" s="11" t="s">
        <v>1341</v>
      </c>
      <c r="C601" s="39">
        <v>6410.478968072739</v>
      </c>
      <c r="D601" s="45">
        <v>0.30799764298741633</v>
      </c>
      <c r="E601" s="54" t="s">
        <v>1387</v>
      </c>
    </row>
    <row r="602" spans="1:5">
      <c r="A602" s="9" t="s">
        <v>1270</v>
      </c>
      <c r="B602" s="11" t="s">
        <v>1341</v>
      </c>
      <c r="C602" s="39">
        <v>6096.4375935006974</v>
      </c>
      <c r="D602" s="45">
        <v>0.32483280876229609</v>
      </c>
      <c r="E602" s="54" t="s">
        <v>1387</v>
      </c>
    </row>
    <row r="603" spans="1:5">
      <c r="A603" s="9" t="s">
        <v>1271</v>
      </c>
      <c r="B603" s="11" t="s">
        <v>1341</v>
      </c>
      <c r="C603" s="39">
        <v>6844.3876071638342</v>
      </c>
      <c r="D603" s="45">
        <v>0.28899068185677584</v>
      </c>
      <c r="E603" s="54" t="s">
        <v>1387</v>
      </c>
    </row>
    <row r="604" spans="1:5">
      <c r="A604" s="9" t="s">
        <v>1272</v>
      </c>
      <c r="B604" s="11" t="s">
        <v>1341</v>
      </c>
      <c r="C604" s="39">
        <v>6726.7338967847936</v>
      </c>
      <c r="D604" s="45">
        <v>0.26469558787486885</v>
      </c>
      <c r="E604" s="54" t="s">
        <v>1387</v>
      </c>
    </row>
    <row r="605" spans="1:5">
      <c r="A605" s="9" t="s">
        <v>1273</v>
      </c>
      <c r="B605" s="11" t="s">
        <v>1341</v>
      </c>
      <c r="C605" s="39">
        <v>6410.6153911188694</v>
      </c>
      <c r="D605" s="45">
        <v>0.28823634402220116</v>
      </c>
      <c r="E605" s="54" t="s">
        <v>1387</v>
      </c>
    </row>
    <row r="606" spans="1:5">
      <c r="A606" s="9" t="s">
        <v>1274</v>
      </c>
      <c r="B606" s="11" t="s">
        <v>1341</v>
      </c>
      <c r="C606" s="39">
        <v>2732.566516107966</v>
      </c>
      <c r="D606" s="45">
        <v>0.34009014986728014</v>
      </c>
      <c r="E606" s="54" t="s">
        <v>1387</v>
      </c>
    </row>
    <row r="607" spans="1:5">
      <c r="A607" s="9" t="s">
        <v>1275</v>
      </c>
      <c r="B607" s="11" t="s">
        <v>1341</v>
      </c>
      <c r="C607" s="39">
        <v>7490.3859380585973</v>
      </c>
      <c r="D607" s="45">
        <v>0.25833613761074337</v>
      </c>
      <c r="E607" s="54" t="s">
        <v>1387</v>
      </c>
    </row>
    <row r="608" spans="1:5">
      <c r="A608" s="9" t="s">
        <v>1276</v>
      </c>
      <c r="B608" s="11" t="s">
        <v>1341</v>
      </c>
      <c r="C608" s="39">
        <v>6296.1639408761876</v>
      </c>
      <c r="D608" s="45">
        <v>0.35521479067952849</v>
      </c>
      <c r="E608" s="54" t="s">
        <v>1387</v>
      </c>
    </row>
    <row r="609" spans="1:5">
      <c r="A609" s="9" t="s">
        <v>1277</v>
      </c>
      <c r="B609" s="11" t="s">
        <v>1341</v>
      </c>
      <c r="C609" s="39">
        <v>5474.5787359150891</v>
      </c>
      <c r="D609" s="45">
        <v>0.33023410457653818</v>
      </c>
      <c r="E609" s="54" t="s">
        <v>1387</v>
      </c>
    </row>
    <row r="610" spans="1:5">
      <c r="A610" s="9" t="s">
        <v>1278</v>
      </c>
      <c r="B610" s="11" t="s">
        <v>1341</v>
      </c>
      <c r="C610" s="39">
        <v>6104.0158750434939</v>
      </c>
      <c r="D610" s="45">
        <v>0.35656532096435983</v>
      </c>
      <c r="E610" s="54" t="s">
        <v>1387</v>
      </c>
    </row>
    <row r="611" spans="1:5">
      <c r="A611" s="9" t="s">
        <v>1279</v>
      </c>
      <c r="B611" s="11" t="s">
        <v>1341</v>
      </c>
      <c r="C611" s="39">
        <v>6400.718457286428</v>
      </c>
      <c r="D611" s="45">
        <v>0.30551906194263456</v>
      </c>
      <c r="E611" s="54" t="s">
        <v>1387</v>
      </c>
    </row>
    <row r="612" spans="1:5">
      <c r="A612" s="9" t="s">
        <v>1280</v>
      </c>
      <c r="B612" s="11" t="s">
        <v>1341</v>
      </c>
      <c r="C612" s="39">
        <v>9140.0808975823493</v>
      </c>
      <c r="D612" s="45">
        <v>0.26491670892851238</v>
      </c>
      <c r="E612" s="54" t="s">
        <v>1387</v>
      </c>
    </row>
    <row r="613" spans="1:5">
      <c r="A613" s="9" t="s">
        <v>1259</v>
      </c>
      <c r="B613" s="11" t="s">
        <v>1341</v>
      </c>
      <c r="C613" s="39">
        <v>6185.9477256604678</v>
      </c>
      <c r="D613" s="45">
        <v>0.30467487802138093</v>
      </c>
      <c r="E613" s="54" t="s">
        <v>1387</v>
      </c>
    </row>
    <row r="614" spans="1:5">
      <c r="A614" s="9" t="s">
        <v>1281</v>
      </c>
      <c r="B614" s="11" t="s">
        <v>1341</v>
      </c>
      <c r="C614" s="39">
        <v>5761.5347727812477</v>
      </c>
      <c r="D614" s="45">
        <v>0.36850873466634398</v>
      </c>
      <c r="E614" s="54" t="s">
        <v>1387</v>
      </c>
    </row>
    <row r="615" spans="1:5">
      <c r="A615" s="9" t="s">
        <v>1282</v>
      </c>
      <c r="B615" s="11" t="s">
        <v>1341</v>
      </c>
      <c r="C615" s="39">
        <v>5659.5433935924466</v>
      </c>
      <c r="D615" s="45">
        <v>0.32336066021294674</v>
      </c>
      <c r="E615" s="54" t="s">
        <v>1387</v>
      </c>
    </row>
    <row r="616" spans="1:5">
      <c r="A616" s="9" t="s">
        <v>1283</v>
      </c>
      <c r="B616" s="11" t="s">
        <v>1341</v>
      </c>
      <c r="C616" s="39">
        <v>5139.4517073254046</v>
      </c>
      <c r="D616" s="45">
        <v>0.37069182574165871</v>
      </c>
      <c r="E616" s="54" t="s">
        <v>1387</v>
      </c>
    </row>
    <row r="617" spans="1:5">
      <c r="A617" s="9" t="s">
        <v>1284</v>
      </c>
      <c r="B617" s="11" t="s">
        <v>1341</v>
      </c>
      <c r="C617" s="39">
        <v>5698.222896496286</v>
      </c>
      <c r="D617" s="45">
        <v>0.29763062919042166</v>
      </c>
      <c r="E617" s="54" t="s">
        <v>1387</v>
      </c>
    </row>
    <row r="618" spans="1:5">
      <c r="A618" s="9" t="s">
        <v>1285</v>
      </c>
      <c r="B618" s="11" t="s">
        <v>1341</v>
      </c>
      <c r="C618" s="39">
        <v>5488.8834577412272</v>
      </c>
      <c r="D618" s="45">
        <v>0.26970984266761705</v>
      </c>
      <c r="E618" s="54" t="s">
        <v>1387</v>
      </c>
    </row>
    <row r="619" spans="1:5">
      <c r="A619" s="9" t="s">
        <v>1286</v>
      </c>
      <c r="B619" s="11" t="s">
        <v>1341</v>
      </c>
      <c r="C619" s="39">
        <v>5932.3640369138702</v>
      </c>
      <c r="D619" s="45">
        <v>0.33729780450224228</v>
      </c>
      <c r="E619" s="54" t="s">
        <v>1387</v>
      </c>
    </row>
    <row r="620" spans="1:5">
      <c r="A620" s="9" t="s">
        <v>1287</v>
      </c>
      <c r="B620" s="11" t="s">
        <v>1341</v>
      </c>
      <c r="C620" s="39">
        <v>6348.0473359087055</v>
      </c>
      <c r="D620" s="45">
        <v>0.27612866092223792</v>
      </c>
      <c r="E620" s="54" t="s">
        <v>1387</v>
      </c>
    </row>
    <row r="621" spans="1:5">
      <c r="A621" s="9" t="s">
        <v>1288</v>
      </c>
      <c r="B621" s="11" t="s">
        <v>1341</v>
      </c>
      <c r="C621" s="39">
        <v>5845.735765641316</v>
      </c>
      <c r="D621" s="45">
        <v>0.36624092991825491</v>
      </c>
      <c r="E621" s="54" t="s">
        <v>1387</v>
      </c>
    </row>
    <row r="622" spans="1:5">
      <c r="A622" s="9" t="s">
        <v>1289</v>
      </c>
      <c r="B622" s="11" t="s">
        <v>1341</v>
      </c>
      <c r="C622" s="39">
        <v>5279.9583445747448</v>
      </c>
      <c r="D622" s="45">
        <v>0.47212440299067754</v>
      </c>
      <c r="E622" s="54" t="s">
        <v>1387</v>
      </c>
    </row>
    <row r="623" spans="1:5">
      <c r="A623" s="9" t="s">
        <v>1290</v>
      </c>
      <c r="B623" s="11" t="s">
        <v>1341</v>
      </c>
      <c r="C623" s="39">
        <v>5656.5745980436404</v>
      </c>
      <c r="D623" s="45">
        <v>0.24477996895493026</v>
      </c>
      <c r="E623" s="54" t="s">
        <v>1387</v>
      </c>
    </row>
    <row r="624" spans="1:5">
      <c r="A624" s="9" t="s">
        <v>1291</v>
      </c>
      <c r="B624" s="11" t="s">
        <v>1341</v>
      </c>
      <c r="C624" s="39">
        <v>4883.5131272435847</v>
      </c>
      <c r="D624" s="45">
        <v>0.26906939856960455</v>
      </c>
      <c r="E624" s="54" t="s">
        <v>1387</v>
      </c>
    </row>
    <row r="625" spans="1:5">
      <c r="A625" s="9" t="s">
        <v>1292</v>
      </c>
      <c r="B625" s="11" t="s">
        <v>1341</v>
      </c>
      <c r="C625" s="39">
        <v>5369.6900613467287</v>
      </c>
      <c r="D625" s="45">
        <v>0.30009878419336966</v>
      </c>
      <c r="E625" s="54" t="s">
        <v>1387</v>
      </c>
    </row>
    <row r="626" spans="1:5">
      <c r="A626" s="9" t="s">
        <v>1293</v>
      </c>
      <c r="B626" s="11" t="s">
        <v>1341</v>
      </c>
      <c r="C626" s="39">
        <v>6050.6675847527786</v>
      </c>
      <c r="D626" s="45">
        <v>0.31894288002125826</v>
      </c>
      <c r="E626" s="54" t="s">
        <v>1387</v>
      </c>
    </row>
    <row r="627" spans="1:5">
      <c r="A627" s="9" t="s">
        <v>1294</v>
      </c>
      <c r="B627" s="11" t="s">
        <v>1341</v>
      </c>
      <c r="C627" s="39">
        <v>4820.3169453169812</v>
      </c>
      <c r="D627" s="45">
        <v>0.36120989115266094</v>
      </c>
      <c r="E627" s="54" t="s">
        <v>1387</v>
      </c>
    </row>
    <row r="628" spans="1:5">
      <c r="A628" s="9" t="s">
        <v>1295</v>
      </c>
      <c r="B628" s="11" t="s">
        <v>1341</v>
      </c>
      <c r="C628" s="39">
        <v>5770.706688191548</v>
      </c>
      <c r="D628" s="45">
        <v>0.37291718006268665</v>
      </c>
      <c r="E628" s="54" t="s">
        <v>1387</v>
      </c>
    </row>
    <row r="629" spans="1:5">
      <c r="A629" s="9" t="s">
        <v>1296</v>
      </c>
      <c r="B629" s="11" t="s">
        <v>1341</v>
      </c>
      <c r="C629" s="39">
        <v>4496.4333790960591</v>
      </c>
      <c r="D629" s="45">
        <v>0.34478761612905023</v>
      </c>
      <c r="E629" s="54" t="s">
        <v>1387</v>
      </c>
    </row>
    <row r="630" spans="1:5">
      <c r="A630" s="9" t="s">
        <v>1297</v>
      </c>
      <c r="B630" s="11" t="s">
        <v>1341</v>
      </c>
      <c r="C630" s="39">
        <v>5830.4209172236406</v>
      </c>
      <c r="D630" s="45">
        <v>0.25550649219156063</v>
      </c>
      <c r="E630" s="54" t="s">
        <v>1387</v>
      </c>
    </row>
    <row r="631" spans="1:5">
      <c r="A631" s="9" t="s">
        <v>1298</v>
      </c>
      <c r="B631" s="11" t="s">
        <v>1341</v>
      </c>
      <c r="C631" s="39">
        <v>7186.8790265535845</v>
      </c>
      <c r="D631" s="45">
        <v>0.23554145155098574</v>
      </c>
      <c r="E631" s="54" t="s">
        <v>1387</v>
      </c>
    </row>
    <row r="632" spans="1:5">
      <c r="A632" s="9" t="s">
        <v>1299</v>
      </c>
      <c r="B632" s="11" t="s">
        <v>1341</v>
      </c>
      <c r="C632" s="39">
        <v>5665.0698940110415</v>
      </c>
      <c r="D632" s="45">
        <v>0.29853502163532031</v>
      </c>
      <c r="E632" s="54" t="s">
        <v>1387</v>
      </c>
    </row>
    <row r="633" spans="1:5">
      <c r="A633" s="9" t="s">
        <v>1300</v>
      </c>
      <c r="B633" s="11" t="s">
        <v>1341</v>
      </c>
      <c r="C633" s="39">
        <v>5847.0057084212176</v>
      </c>
      <c r="D633" s="45">
        <v>0.31233202150453165</v>
      </c>
      <c r="E633" s="54" t="s">
        <v>1387</v>
      </c>
    </row>
    <row r="634" spans="1:5">
      <c r="A634" s="9" t="s">
        <v>1301</v>
      </c>
      <c r="B634" s="11" t="s">
        <v>1341</v>
      </c>
      <c r="C634" s="39">
        <v>3777.6065658751854</v>
      </c>
      <c r="D634" s="45">
        <v>0.50082970198137444</v>
      </c>
      <c r="E634" s="54" t="s">
        <v>1387</v>
      </c>
    </row>
    <row r="635" spans="1:5">
      <c r="A635" s="9" t="s">
        <v>1302</v>
      </c>
      <c r="B635" s="11" t="s">
        <v>1341</v>
      </c>
      <c r="C635" s="39">
        <v>4624.3232365325257</v>
      </c>
      <c r="D635" s="45">
        <v>0.4237809974008418</v>
      </c>
      <c r="E635" s="54" t="s">
        <v>1387</v>
      </c>
    </row>
    <row r="636" spans="1:5">
      <c r="A636" s="9" t="s">
        <v>1303</v>
      </c>
      <c r="B636" s="11" t="s">
        <v>1341</v>
      </c>
      <c r="C636" s="39">
        <v>4255.8395529054624</v>
      </c>
      <c r="D636" s="45">
        <v>0.44591994165092125</v>
      </c>
      <c r="E636" s="54" t="s">
        <v>1387</v>
      </c>
    </row>
    <row r="637" spans="1:5">
      <c r="A637" s="9" t="s">
        <v>1304</v>
      </c>
      <c r="B637" s="11" t="s">
        <v>1341</v>
      </c>
      <c r="C637" s="39">
        <v>5856.1048072658559</v>
      </c>
      <c r="D637" s="45">
        <v>0.27110386766976796</v>
      </c>
      <c r="E637" s="54" t="s">
        <v>1387</v>
      </c>
    </row>
    <row r="638" spans="1:5">
      <c r="A638" s="9" t="s">
        <v>1305</v>
      </c>
      <c r="B638" s="11" t="s">
        <v>1341</v>
      </c>
      <c r="C638" s="39">
        <v>5859.9211174565917</v>
      </c>
      <c r="D638" s="45">
        <v>0.3287544415321671</v>
      </c>
      <c r="E638" s="54" t="s">
        <v>1387</v>
      </c>
    </row>
    <row r="639" spans="1:5">
      <c r="A639" s="9" t="s">
        <v>1306</v>
      </c>
      <c r="B639" s="11" t="s">
        <v>1341</v>
      </c>
      <c r="C639" s="39">
        <v>6145.8235845403588</v>
      </c>
      <c r="D639" s="45">
        <v>0.29297175614600135</v>
      </c>
      <c r="E639" s="54" t="s">
        <v>1387</v>
      </c>
    </row>
    <row r="640" spans="1:5">
      <c r="A640" s="9" t="s">
        <v>1307</v>
      </c>
      <c r="B640" s="11" t="s">
        <v>1341</v>
      </c>
      <c r="C640" s="39">
        <v>5785.9856207886287</v>
      </c>
      <c r="D640" s="45">
        <v>0.22908649431271558</v>
      </c>
      <c r="E640" s="54" t="s">
        <v>1387</v>
      </c>
    </row>
    <row r="641" spans="1:5">
      <c r="A641" s="9" t="s">
        <v>1309</v>
      </c>
      <c r="B641" s="11" t="s">
        <v>1341</v>
      </c>
      <c r="C641" s="39">
        <v>5702.0182506758692</v>
      </c>
      <c r="D641" s="45">
        <v>0.23121306121490612</v>
      </c>
      <c r="E641" s="54" t="s">
        <v>1387</v>
      </c>
    </row>
    <row r="642" spans="1:5">
      <c r="A642" s="9" t="s">
        <v>1310</v>
      </c>
      <c r="B642" s="11" t="s">
        <v>1341</v>
      </c>
      <c r="C642" s="39">
        <v>5123.9553291185202</v>
      </c>
      <c r="D642" s="45">
        <v>0.32056242324725331</v>
      </c>
      <c r="E642" s="54" t="s">
        <v>1387</v>
      </c>
    </row>
    <row r="643" spans="1:5">
      <c r="A643" s="9" t="s">
        <v>1311</v>
      </c>
      <c r="B643" s="11" t="s">
        <v>1341</v>
      </c>
      <c r="C643" s="39">
        <v>6020.1530368130716</v>
      </c>
      <c r="D643" s="45">
        <v>0.20468256513963459</v>
      </c>
      <c r="E643" s="54" t="s">
        <v>1387</v>
      </c>
    </row>
    <row r="644" spans="1:5">
      <c r="A644" s="9" t="s">
        <v>1312</v>
      </c>
      <c r="B644" s="11" t="s">
        <v>1341</v>
      </c>
      <c r="C644" s="39">
        <v>5635.3596300768422</v>
      </c>
      <c r="D644" s="45">
        <v>0.22256070564877112</v>
      </c>
      <c r="E644" s="54" t="s">
        <v>1387</v>
      </c>
    </row>
    <row r="645" spans="1:5">
      <c r="A645" s="9" t="s">
        <v>1313</v>
      </c>
      <c r="B645" s="11" t="s">
        <v>1341</v>
      </c>
      <c r="C645" s="39">
        <v>5107.5643517460339</v>
      </c>
      <c r="D645" s="45">
        <v>0.23838363644728267</v>
      </c>
      <c r="E645" s="54" t="s">
        <v>1387</v>
      </c>
    </row>
    <row r="646" spans="1:5">
      <c r="A646" s="9" t="s">
        <v>1314</v>
      </c>
      <c r="B646" s="11" t="s">
        <v>1341</v>
      </c>
      <c r="C646" s="39">
        <v>5465.2379252353903</v>
      </c>
      <c r="D646" s="45">
        <v>0.23474259496677877</v>
      </c>
      <c r="E646" s="54" t="s">
        <v>1387</v>
      </c>
    </row>
    <row r="647" spans="1:5">
      <c r="A647" s="9" t="s">
        <v>1315</v>
      </c>
      <c r="B647" s="11" t="s">
        <v>1341</v>
      </c>
      <c r="C647" s="39">
        <v>5640.3800393788497</v>
      </c>
      <c r="D647" s="45">
        <v>0.21680239890775022</v>
      </c>
      <c r="E647" s="54" t="s">
        <v>1387</v>
      </c>
    </row>
    <row r="648" spans="1:5">
      <c r="A648" s="9" t="s">
        <v>1316</v>
      </c>
      <c r="B648" s="11" t="s">
        <v>1341</v>
      </c>
      <c r="C648" s="39">
        <v>5749.6324150390592</v>
      </c>
      <c r="D648" s="45">
        <v>0.19880281037138112</v>
      </c>
      <c r="E648" s="54" t="s">
        <v>1387</v>
      </c>
    </row>
    <row r="649" spans="1:5">
      <c r="A649" s="9" t="s">
        <v>1317</v>
      </c>
      <c r="B649" s="11" t="s">
        <v>1341</v>
      </c>
      <c r="C649" s="39">
        <v>5472.6519026876731</v>
      </c>
      <c r="D649" s="45">
        <v>0.26023991293422227</v>
      </c>
      <c r="E649" s="54" t="s">
        <v>1387</v>
      </c>
    </row>
    <row r="650" spans="1:5">
      <c r="A650" s="9" t="s">
        <v>1318</v>
      </c>
      <c r="B650" s="11" t="s">
        <v>1341</v>
      </c>
      <c r="C650" s="39">
        <v>6800.5808297535505</v>
      </c>
      <c r="D650" s="45">
        <v>0.15689761602424265</v>
      </c>
      <c r="E650" s="54" t="s">
        <v>1387</v>
      </c>
    </row>
    <row r="651" spans="1:5">
      <c r="A651" s="9" t="s">
        <v>1319</v>
      </c>
      <c r="B651" s="11" t="s">
        <v>1341</v>
      </c>
      <c r="C651" s="39">
        <v>5170.5161291150653</v>
      </c>
      <c r="D651" s="45">
        <v>0.19804332881275119</v>
      </c>
      <c r="E651" s="54" t="s">
        <v>1387</v>
      </c>
    </row>
    <row r="652" spans="1:5">
      <c r="A652" s="9" t="s">
        <v>1320</v>
      </c>
      <c r="B652" s="11" t="s">
        <v>1341</v>
      </c>
      <c r="C652" s="39">
        <v>9346.4622764546148</v>
      </c>
      <c r="D652" s="45">
        <v>0.13762065527506451</v>
      </c>
      <c r="E652" s="54" t="s">
        <v>1387</v>
      </c>
    </row>
    <row r="653" spans="1:5">
      <c r="A653" s="9" t="s">
        <v>1321</v>
      </c>
      <c r="B653" s="11" t="s">
        <v>1341</v>
      </c>
      <c r="C653" s="39">
        <v>3925.4278054683255</v>
      </c>
      <c r="D653" s="45">
        <v>7.1409910058364431E-2</v>
      </c>
      <c r="E653" s="54" t="s">
        <v>1387</v>
      </c>
    </row>
    <row r="654" spans="1:5">
      <c r="A654" s="9" t="s">
        <v>1322</v>
      </c>
      <c r="B654" s="11" t="s">
        <v>1341</v>
      </c>
      <c r="C654" s="39">
        <v>4910.2621148547996</v>
      </c>
      <c r="D654" s="45">
        <v>0.28144783106519461</v>
      </c>
      <c r="E654" s="54" t="s">
        <v>1387</v>
      </c>
    </row>
    <row r="655" spans="1:5">
      <c r="A655" s="9" t="s">
        <v>1323</v>
      </c>
      <c r="B655" s="11" t="s">
        <v>1341</v>
      </c>
      <c r="C655" s="39">
        <v>4283.365666342861</v>
      </c>
      <c r="D655" s="45">
        <v>0.42502774651677611</v>
      </c>
      <c r="E655" s="54" t="s">
        <v>1387</v>
      </c>
    </row>
    <row r="656" spans="1:5">
      <c r="A656" s="9" t="s">
        <v>1324</v>
      </c>
      <c r="B656" s="11" t="s">
        <v>1341</v>
      </c>
      <c r="C656" s="39">
        <v>4975.0658367217438</v>
      </c>
      <c r="D656" s="45">
        <v>0.33901228992714671</v>
      </c>
      <c r="E656" s="54" t="s">
        <v>1387</v>
      </c>
    </row>
    <row r="657" spans="1:5">
      <c r="A657" s="9" t="s">
        <v>1325</v>
      </c>
      <c r="B657" s="11" t="s">
        <v>1341</v>
      </c>
      <c r="C657" s="39">
        <v>5133.7599437128401</v>
      </c>
      <c r="D657" s="45">
        <v>0.2428473502984296</v>
      </c>
      <c r="E657" s="54" t="s">
        <v>1387</v>
      </c>
    </row>
    <row r="658" spans="1:5">
      <c r="A658" s="9" t="s">
        <v>1326</v>
      </c>
      <c r="B658" s="11" t="s">
        <v>1341</v>
      </c>
      <c r="C658" s="39">
        <v>11183.725364144193</v>
      </c>
      <c r="D658" s="45">
        <v>0.11502889272221307</v>
      </c>
      <c r="E658" s="54" t="s">
        <v>1387</v>
      </c>
    </row>
    <row r="659" spans="1:5">
      <c r="A659" s="9" t="s">
        <v>1327</v>
      </c>
      <c r="B659" s="11" t="s">
        <v>1341</v>
      </c>
      <c r="C659" s="39">
        <v>5374.7790507281352</v>
      </c>
      <c r="D659" s="45">
        <v>0.24942204980442464</v>
      </c>
      <c r="E659" s="54" t="s">
        <v>1387</v>
      </c>
    </row>
    <row r="660" spans="1:5">
      <c r="A660" s="9" t="s">
        <v>1328</v>
      </c>
      <c r="B660" s="11" t="s">
        <v>1341</v>
      </c>
      <c r="C660" s="39">
        <v>6785.2360656097471</v>
      </c>
      <c r="D660" s="45">
        <v>0.19795279281035727</v>
      </c>
      <c r="E660" s="54" t="s">
        <v>1387</v>
      </c>
    </row>
    <row r="661" spans="1:5">
      <c r="A661" s="9" t="s">
        <v>1329</v>
      </c>
      <c r="B661" s="11" t="s">
        <v>1341</v>
      </c>
      <c r="C661" s="39">
        <v>5096.8779555263091</v>
      </c>
      <c r="D661" s="45">
        <v>0.28702297184174208</v>
      </c>
      <c r="E661" s="54" t="s">
        <v>1387</v>
      </c>
    </row>
    <row r="662" spans="1:5">
      <c r="A662" s="9" t="s">
        <v>1330</v>
      </c>
      <c r="B662" s="11" t="s">
        <v>1341</v>
      </c>
      <c r="C662" s="39">
        <v>5567.680216447221</v>
      </c>
      <c r="D662" s="45">
        <v>0.24543462871232655</v>
      </c>
      <c r="E662" s="54" t="s">
        <v>1387</v>
      </c>
    </row>
    <row r="663" spans="1:5">
      <c r="A663" s="9" t="s">
        <v>1331</v>
      </c>
      <c r="B663" s="11" t="s">
        <v>1341</v>
      </c>
      <c r="C663" s="39">
        <v>6137.3046346909769</v>
      </c>
      <c r="D663" s="45">
        <v>0.20140125358499028</v>
      </c>
      <c r="E663" s="54" t="s">
        <v>1387</v>
      </c>
    </row>
    <row r="664" spans="1:5">
      <c r="A664" s="9" t="s">
        <v>1332</v>
      </c>
      <c r="B664" s="11" t="s">
        <v>1341</v>
      </c>
      <c r="C664" s="39">
        <v>6062.8384502599192</v>
      </c>
      <c r="D664" s="45">
        <v>0.41904860074545358</v>
      </c>
      <c r="E664" s="54" t="s">
        <v>1387</v>
      </c>
    </row>
    <row r="665" spans="1:5">
      <c r="A665" s="9" t="s">
        <v>1333</v>
      </c>
      <c r="B665" s="11" t="s">
        <v>1341</v>
      </c>
      <c r="C665" s="39">
        <v>6812.4400726546246</v>
      </c>
      <c r="D665" s="45">
        <v>0.43914979623583966</v>
      </c>
      <c r="E665" s="54" t="s">
        <v>1387</v>
      </c>
    </row>
    <row r="666" spans="1:5">
      <c r="A666" s="9" t="s">
        <v>1334</v>
      </c>
      <c r="B666" s="11" t="s">
        <v>1341</v>
      </c>
      <c r="C666" s="39">
        <v>632.43296434040155</v>
      </c>
      <c r="D666" s="45">
        <v>0.64549563034304003</v>
      </c>
      <c r="E666" s="54" t="s">
        <v>1387</v>
      </c>
    </row>
    <row r="667" spans="1:5">
      <c r="A667" s="9" t="s">
        <v>1335</v>
      </c>
      <c r="B667" s="11" t="s">
        <v>1341</v>
      </c>
      <c r="C667" s="39">
        <v>5176.1998859123178</v>
      </c>
      <c r="D667" s="45">
        <v>0.31642875504960594</v>
      </c>
      <c r="E667" s="54" t="s">
        <v>1387</v>
      </c>
    </row>
    <row r="668" spans="1:5">
      <c r="A668" s="9" t="s">
        <v>1336</v>
      </c>
      <c r="B668" s="11" t="s">
        <v>1341</v>
      </c>
      <c r="C668" s="39">
        <v>5977.2913178803501</v>
      </c>
      <c r="D668" s="45">
        <v>0.93842537844112062</v>
      </c>
      <c r="E668" s="54" t="s">
        <v>1387</v>
      </c>
    </row>
    <row r="669" spans="1:5">
      <c r="A669" s="9" t="s">
        <v>1337</v>
      </c>
      <c r="B669" s="11" t="s">
        <v>1341</v>
      </c>
      <c r="C669" s="39">
        <v>4107.2187677153324</v>
      </c>
      <c r="D669" s="45">
        <v>0.44344869004420706</v>
      </c>
      <c r="E669" s="54" t="s">
        <v>1387</v>
      </c>
    </row>
    <row r="670" spans="1:5">
      <c r="A670" s="9" t="s">
        <v>1338</v>
      </c>
      <c r="B670" s="11" t="s">
        <v>1341</v>
      </c>
      <c r="C670" s="39">
        <v>6127.7575967200646</v>
      </c>
      <c r="D670" s="45">
        <v>0.47573645834147732</v>
      </c>
      <c r="E670" s="54" t="s">
        <v>1387</v>
      </c>
    </row>
    <row r="671" spans="1:5">
      <c r="A671" s="9" t="s">
        <v>1339</v>
      </c>
      <c r="B671" s="11" t="s">
        <v>1341</v>
      </c>
      <c r="C671" s="39">
        <v>4190.4019869172407</v>
      </c>
      <c r="D671" s="45">
        <v>0.29966830262542965</v>
      </c>
      <c r="E671" s="54" t="s">
        <v>1387</v>
      </c>
    </row>
    <row r="672" spans="1:5">
      <c r="A672" s="9" t="s">
        <v>1340</v>
      </c>
      <c r="B672" s="11" t="s">
        <v>1341</v>
      </c>
      <c r="C672" s="39">
        <v>415.88440885803277</v>
      </c>
      <c r="D672" s="45">
        <v>0.78357159785444197</v>
      </c>
      <c r="E672" s="54" t="s">
        <v>1387</v>
      </c>
    </row>
    <row r="673" spans="1:5">
      <c r="A673" s="9" t="s">
        <v>74</v>
      </c>
      <c r="B673" s="18" t="s">
        <v>183</v>
      </c>
      <c r="C673" s="39">
        <v>72</v>
      </c>
      <c r="D673" s="45">
        <v>11.466666666666667</v>
      </c>
      <c r="E673" s="54" t="s">
        <v>1387</v>
      </c>
    </row>
    <row r="674" spans="1:5">
      <c r="A674" s="9" t="s">
        <v>76</v>
      </c>
      <c r="B674" s="18" t="s">
        <v>183</v>
      </c>
      <c r="C674" s="39">
        <v>25.2</v>
      </c>
      <c r="D674" s="45">
        <v>10.6875</v>
      </c>
      <c r="E674" s="54" t="s">
        <v>1387</v>
      </c>
    </row>
    <row r="675" spans="1:5">
      <c r="A675" s="9" t="s">
        <v>77</v>
      </c>
      <c r="B675" s="18" t="s">
        <v>183</v>
      </c>
      <c r="C675" s="39">
        <v>126.3</v>
      </c>
      <c r="D675" s="45">
        <v>10.710526315789474</v>
      </c>
      <c r="E675" s="54" t="s">
        <v>1387</v>
      </c>
    </row>
    <row r="676" spans="1:5">
      <c r="A676" s="9" t="s">
        <v>78</v>
      </c>
      <c r="B676" s="18" t="s">
        <v>183</v>
      </c>
      <c r="C676" s="39">
        <v>38.200000000000003</v>
      </c>
      <c r="D676" s="45">
        <v>18.083333333333332</v>
      </c>
      <c r="E676" s="54" t="s">
        <v>1387</v>
      </c>
    </row>
    <row r="677" spans="1:5">
      <c r="A677" s="9" t="s">
        <v>79</v>
      </c>
      <c r="B677" s="18" t="s">
        <v>183</v>
      </c>
      <c r="C677" s="39">
        <v>25.9</v>
      </c>
      <c r="D677" s="45">
        <v>10.125</v>
      </c>
      <c r="E677" s="54" t="s">
        <v>1387</v>
      </c>
    </row>
    <row r="678" spans="1:5">
      <c r="A678" s="9" t="s">
        <v>80</v>
      </c>
      <c r="B678" s="18" t="s">
        <v>183</v>
      </c>
      <c r="C678" s="39">
        <v>141.6</v>
      </c>
      <c r="D678" s="45">
        <v>1.7192660550458716</v>
      </c>
      <c r="E678" s="54" t="s">
        <v>1387</v>
      </c>
    </row>
    <row r="679" spans="1:5">
      <c r="A679" s="9" t="s">
        <v>81</v>
      </c>
      <c r="B679" s="18" t="s">
        <v>183</v>
      </c>
      <c r="C679" s="39">
        <v>29.9</v>
      </c>
      <c r="D679" s="45">
        <v>2.2521008403361344</v>
      </c>
      <c r="E679" s="54" t="s">
        <v>1387</v>
      </c>
    </row>
    <row r="680" spans="1:5">
      <c r="A680" s="29" t="s">
        <v>438</v>
      </c>
      <c r="B680" s="30" t="s">
        <v>183</v>
      </c>
      <c r="C680" s="39">
        <v>32.11</v>
      </c>
      <c r="D680" s="45">
        <v>11.923076923076922</v>
      </c>
      <c r="E680" s="54" t="s">
        <v>1387</v>
      </c>
    </row>
    <row r="681" spans="1:5">
      <c r="A681" s="29" t="s">
        <v>440</v>
      </c>
      <c r="B681" s="30" t="s">
        <v>183</v>
      </c>
      <c r="C681" s="39">
        <v>20.874000000000002</v>
      </c>
      <c r="D681" s="45">
        <v>5.0112456747404845</v>
      </c>
      <c r="E681" s="54" t="s">
        <v>1387</v>
      </c>
    </row>
    <row r="682" spans="1:5">
      <c r="A682" s="29" t="s">
        <v>441</v>
      </c>
      <c r="B682" s="30" t="s">
        <v>183</v>
      </c>
      <c r="C682" s="39">
        <v>14.734999999999999</v>
      </c>
      <c r="D682" s="45">
        <v>2.7467642093415874</v>
      </c>
      <c r="E682" s="54" t="s">
        <v>1387</v>
      </c>
    </row>
    <row r="683" spans="1:5">
      <c r="A683" s="29" t="s">
        <v>442</v>
      </c>
      <c r="B683" s="30" t="s">
        <v>183</v>
      </c>
      <c r="C683" s="39">
        <v>34.81</v>
      </c>
      <c r="D683" s="45">
        <v>2.748868778280543</v>
      </c>
      <c r="E683" s="54" t="s">
        <v>1387</v>
      </c>
    </row>
    <row r="684" spans="1:5">
      <c r="A684" s="29" t="s">
        <v>443</v>
      </c>
      <c r="B684" s="30" t="s">
        <v>183</v>
      </c>
      <c r="C684" s="39">
        <v>67.960000000000008</v>
      </c>
      <c r="D684" s="45">
        <v>1.2</v>
      </c>
      <c r="E684" s="54" t="s">
        <v>1387</v>
      </c>
    </row>
    <row r="685" spans="1:5">
      <c r="A685" s="29" t="s">
        <v>444</v>
      </c>
      <c r="B685" s="30" t="s">
        <v>183</v>
      </c>
      <c r="C685" s="39">
        <v>10.911</v>
      </c>
      <c r="D685" s="45">
        <v>3.7938596491228069</v>
      </c>
      <c r="E685" s="54" t="s">
        <v>1387</v>
      </c>
    </row>
    <row r="686" spans="1:5">
      <c r="A686" s="29" t="s">
        <v>445</v>
      </c>
      <c r="B686" s="30" t="s">
        <v>183</v>
      </c>
      <c r="C686" s="39">
        <v>13.552</v>
      </c>
      <c r="D686" s="45">
        <v>2.1853630969200339</v>
      </c>
      <c r="E686" s="54" t="s">
        <v>1387</v>
      </c>
    </row>
    <row r="687" spans="1:5">
      <c r="A687" s="29" t="s">
        <v>446</v>
      </c>
      <c r="B687" s="30" t="s">
        <v>183</v>
      </c>
      <c r="C687" s="39">
        <v>49.53</v>
      </c>
      <c r="D687" s="45">
        <v>1.6496350364963503</v>
      </c>
      <c r="E687" s="54" t="s">
        <v>1387</v>
      </c>
    </row>
    <row r="688" spans="1:5">
      <c r="A688" s="29" t="s">
        <v>447</v>
      </c>
      <c r="B688" s="30" t="s">
        <v>183</v>
      </c>
      <c r="C688" s="39">
        <v>37.089999999999996</v>
      </c>
      <c r="D688" s="45">
        <v>1.7897260273972604</v>
      </c>
      <c r="E688" s="54" t="s">
        <v>1387</v>
      </c>
    </row>
    <row r="689" spans="1:5">
      <c r="A689" s="29" t="s">
        <v>448</v>
      </c>
      <c r="B689" s="30" t="s">
        <v>183</v>
      </c>
      <c r="C689" s="39">
        <v>38.44</v>
      </c>
      <c r="D689" s="45">
        <v>2.4003006012024048</v>
      </c>
      <c r="E689" s="54" t="s">
        <v>1387</v>
      </c>
    </row>
    <row r="690" spans="1:5">
      <c r="A690" s="29" t="s">
        <v>449</v>
      </c>
      <c r="B690" s="30" t="s">
        <v>183</v>
      </c>
      <c r="C690" s="39">
        <v>19.740000000000002</v>
      </c>
      <c r="D690" s="45">
        <v>4.9584587597832632</v>
      </c>
      <c r="E690" s="54" t="s">
        <v>1387</v>
      </c>
    </row>
    <row r="691" spans="1:5">
      <c r="A691" s="29" t="s">
        <v>450</v>
      </c>
      <c r="B691" s="30" t="s">
        <v>183</v>
      </c>
      <c r="C691" s="39">
        <v>32.81</v>
      </c>
      <c r="D691" s="45">
        <v>1.8340943683409436</v>
      </c>
      <c r="E691" s="54" t="s">
        <v>1387</v>
      </c>
    </row>
    <row r="692" spans="1:5">
      <c r="A692" s="29" t="s">
        <v>451</v>
      </c>
      <c r="B692" s="30" t="s">
        <v>183</v>
      </c>
      <c r="C692" s="39">
        <v>31.27</v>
      </c>
      <c r="D692" s="45">
        <v>3.6787296898079762</v>
      </c>
      <c r="E692" s="54" t="s">
        <v>1387</v>
      </c>
    </row>
    <row r="693" spans="1:5">
      <c r="A693" s="29" t="s">
        <v>452</v>
      </c>
      <c r="B693" s="30" t="s">
        <v>183</v>
      </c>
      <c r="C693" s="39">
        <v>36.5</v>
      </c>
      <c r="D693" s="45">
        <v>1.2158176943699732</v>
      </c>
      <c r="E693" s="54" t="s">
        <v>1387</v>
      </c>
    </row>
    <row r="694" spans="1:5">
      <c r="A694" s="29" t="s">
        <v>453</v>
      </c>
      <c r="B694" s="30" t="s">
        <v>183</v>
      </c>
      <c r="C694" s="39">
        <v>12.217000000000001</v>
      </c>
      <c r="D694" s="45">
        <v>2.0521100917431196</v>
      </c>
      <c r="E694" s="54" t="s">
        <v>1387</v>
      </c>
    </row>
    <row r="695" spans="1:5">
      <c r="A695" s="29" t="s">
        <v>454</v>
      </c>
      <c r="B695" s="30" t="s">
        <v>183</v>
      </c>
      <c r="C695" s="39">
        <v>9.213000000000001</v>
      </c>
      <c r="D695" s="45">
        <v>4.4060324825986079</v>
      </c>
      <c r="E695" s="54" t="s">
        <v>1387</v>
      </c>
    </row>
    <row r="696" spans="1:5">
      <c r="A696" s="29" t="s">
        <v>455</v>
      </c>
      <c r="B696" s="30" t="s">
        <v>183</v>
      </c>
      <c r="C696" s="39">
        <v>32.06</v>
      </c>
      <c r="D696" s="45">
        <v>1.3783464566929136</v>
      </c>
      <c r="E696" s="54" t="s">
        <v>1387</v>
      </c>
    </row>
    <row r="697" spans="1:5">
      <c r="A697" s="29" t="s">
        <v>456</v>
      </c>
      <c r="B697" s="30" t="s">
        <v>183</v>
      </c>
      <c r="C697" s="39">
        <v>43.06</v>
      </c>
      <c r="D697" s="45">
        <v>1.6918558077436583</v>
      </c>
      <c r="E697" s="54" t="s">
        <v>1387</v>
      </c>
    </row>
    <row r="698" spans="1:5">
      <c r="A698" s="29" t="s">
        <v>457</v>
      </c>
      <c r="B698" s="30" t="s">
        <v>183</v>
      </c>
      <c r="C698" s="39">
        <v>43.64</v>
      </c>
      <c r="D698" s="45">
        <v>0.8166064981949458</v>
      </c>
      <c r="E698" s="54" t="s">
        <v>1387</v>
      </c>
    </row>
    <row r="699" spans="1:5">
      <c r="A699" s="29" t="s">
        <v>458</v>
      </c>
      <c r="B699" s="30" t="s">
        <v>183</v>
      </c>
      <c r="C699" s="39">
        <v>41.04</v>
      </c>
      <c r="D699" s="45">
        <v>3.01679012345679</v>
      </c>
      <c r="E699" s="54" t="s">
        <v>1387</v>
      </c>
    </row>
    <row r="700" spans="1:5">
      <c r="A700" s="29" t="s">
        <v>459</v>
      </c>
      <c r="B700" s="30" t="s">
        <v>183</v>
      </c>
      <c r="C700" s="39">
        <v>82.87</v>
      </c>
      <c r="D700" s="45">
        <v>1.4446236559139785</v>
      </c>
      <c r="E700" s="54" t="s">
        <v>1387</v>
      </c>
    </row>
    <row r="701" spans="1:5">
      <c r="A701" s="29" t="s">
        <v>460</v>
      </c>
      <c r="B701" s="30" t="s">
        <v>183</v>
      </c>
      <c r="C701" s="39">
        <v>12.204000000000001</v>
      </c>
      <c r="D701" s="45">
        <v>2.3795284646348476</v>
      </c>
      <c r="E701" s="54" t="s">
        <v>1387</v>
      </c>
    </row>
    <row r="702" spans="1:5">
      <c r="A702" s="29" t="s">
        <v>461</v>
      </c>
      <c r="B702" s="30" t="s">
        <v>183</v>
      </c>
      <c r="C702" s="39">
        <v>13.895</v>
      </c>
      <c r="D702" s="45">
        <v>3.5092550790067718</v>
      </c>
      <c r="E702" s="54" t="s">
        <v>1387</v>
      </c>
    </row>
    <row r="703" spans="1:5">
      <c r="A703" s="29" t="s">
        <v>462</v>
      </c>
      <c r="B703" s="30" t="s">
        <v>183</v>
      </c>
      <c r="C703" s="39">
        <v>25.78</v>
      </c>
      <c r="D703" s="45">
        <v>1.6505376344086022</v>
      </c>
      <c r="E703" s="54" t="s">
        <v>1387</v>
      </c>
    </row>
    <row r="704" spans="1:5">
      <c r="A704" s="29" t="s">
        <v>463</v>
      </c>
      <c r="B704" s="30" t="s">
        <v>183</v>
      </c>
      <c r="C704" s="39">
        <v>39.46</v>
      </c>
      <c r="D704" s="45">
        <v>10.888412017167381</v>
      </c>
      <c r="E704" s="54" t="s">
        <v>1387</v>
      </c>
    </row>
    <row r="705" spans="1:5">
      <c r="A705" s="29" t="s">
        <v>464</v>
      </c>
      <c r="B705" s="30" t="s">
        <v>183</v>
      </c>
      <c r="C705" s="39">
        <v>45.66</v>
      </c>
      <c r="D705" s="45">
        <v>24.22653382275826</v>
      </c>
      <c r="E705" s="54" t="s">
        <v>1387</v>
      </c>
    </row>
    <row r="706" spans="1:5">
      <c r="A706" s="29" t="s">
        <v>465</v>
      </c>
      <c r="B706" s="30" t="s">
        <v>183</v>
      </c>
      <c r="C706" s="39">
        <v>45.41</v>
      </c>
      <c r="D706" s="45">
        <v>10.459016393442623</v>
      </c>
      <c r="E706" s="54" t="s">
        <v>1387</v>
      </c>
    </row>
    <row r="707" spans="1:5">
      <c r="A707" s="29" t="s">
        <v>466</v>
      </c>
      <c r="B707" s="30" t="s">
        <v>183</v>
      </c>
      <c r="C707" s="39">
        <v>45.769999999999996</v>
      </c>
      <c r="D707" s="45">
        <v>10.654244306418221</v>
      </c>
      <c r="E707" s="54" t="s">
        <v>1387</v>
      </c>
    </row>
    <row r="708" spans="1:5">
      <c r="A708" s="29" t="s">
        <v>467</v>
      </c>
      <c r="B708" s="30" t="s">
        <v>183</v>
      </c>
      <c r="C708" s="39">
        <v>52</v>
      </c>
      <c r="D708" s="45">
        <v>9.601156069364162</v>
      </c>
      <c r="E708" s="54" t="s">
        <v>1387</v>
      </c>
    </row>
    <row r="709" spans="1:5">
      <c r="A709" s="29" t="s">
        <v>468</v>
      </c>
      <c r="B709" s="30" t="s">
        <v>183</v>
      </c>
      <c r="C709" s="39">
        <v>58.8</v>
      </c>
      <c r="D709" s="45">
        <v>11.215970961887477</v>
      </c>
      <c r="E709" s="54" t="s">
        <v>1387</v>
      </c>
    </row>
    <row r="710" spans="1:5">
      <c r="A710" s="29" t="s">
        <v>469</v>
      </c>
      <c r="B710" s="30" t="s">
        <v>183</v>
      </c>
      <c r="C710" s="39">
        <v>484.9</v>
      </c>
      <c r="D710" s="45">
        <v>9.848673946957879</v>
      </c>
      <c r="E710" s="54" t="s">
        <v>1387</v>
      </c>
    </row>
    <row r="711" spans="1:5">
      <c r="A711" s="29" t="s">
        <v>470</v>
      </c>
      <c r="B711" s="30" t="s">
        <v>183</v>
      </c>
      <c r="C711" s="39">
        <v>45.06</v>
      </c>
      <c r="D711" s="45">
        <v>10.537205081669692</v>
      </c>
      <c r="E711" s="54" t="s">
        <v>1387</v>
      </c>
    </row>
    <row r="712" spans="1:5">
      <c r="A712" s="29" t="s">
        <v>471</v>
      </c>
      <c r="B712" s="30" t="s">
        <v>183</v>
      </c>
      <c r="C712" s="39">
        <v>66.210000000000008</v>
      </c>
      <c r="D712" s="45">
        <v>9.7290686735653811</v>
      </c>
      <c r="E712" s="54" t="s">
        <v>1387</v>
      </c>
    </row>
    <row r="713" spans="1:5">
      <c r="A713" s="29" t="s">
        <v>472</v>
      </c>
      <c r="B713" s="30" t="s">
        <v>183</v>
      </c>
      <c r="C713" s="39">
        <v>46.97</v>
      </c>
      <c r="D713" s="45">
        <v>13.886578449905484</v>
      </c>
      <c r="E713" s="54" t="s">
        <v>1387</v>
      </c>
    </row>
    <row r="714" spans="1:5">
      <c r="A714" s="29" t="s">
        <v>473</v>
      </c>
      <c r="B714" s="30" t="s">
        <v>183</v>
      </c>
      <c r="C714" s="39">
        <v>48.730000000000004</v>
      </c>
      <c r="D714" s="45">
        <v>11.663201663201663</v>
      </c>
      <c r="E714" s="54" t="s">
        <v>1387</v>
      </c>
    </row>
    <row r="715" spans="1:5">
      <c r="A715" s="29" t="s">
        <v>474</v>
      </c>
      <c r="B715" s="30" t="s">
        <v>183</v>
      </c>
      <c r="C715" s="39">
        <v>48.290000000000006</v>
      </c>
      <c r="D715" s="45">
        <v>11.95950704225352</v>
      </c>
      <c r="E715" s="54" t="s">
        <v>1387</v>
      </c>
    </row>
    <row r="716" spans="1:5">
      <c r="A716" s="29" t="s">
        <v>475</v>
      </c>
      <c r="B716" s="30" t="s">
        <v>183</v>
      </c>
      <c r="C716" s="39">
        <v>135.57999999999998</v>
      </c>
      <c r="D716" s="45">
        <v>6.5674967234600263</v>
      </c>
      <c r="E716" s="54" t="s">
        <v>1387</v>
      </c>
    </row>
    <row r="717" spans="1:5">
      <c r="A717" s="29" t="s">
        <v>476</v>
      </c>
      <c r="B717" s="30" t="s">
        <v>183</v>
      </c>
      <c r="C717" s="39">
        <v>37.57</v>
      </c>
      <c r="D717" s="45">
        <v>10.210526315789474</v>
      </c>
      <c r="E717" s="54" t="s">
        <v>1387</v>
      </c>
    </row>
    <row r="718" spans="1:5">
      <c r="A718" s="29" t="s">
        <v>477</v>
      </c>
      <c r="B718" s="30" t="s">
        <v>183</v>
      </c>
      <c r="C718" s="39">
        <v>37.76</v>
      </c>
      <c r="D718" s="45">
        <v>11.36890951276102</v>
      </c>
      <c r="E718" s="54" t="s">
        <v>1387</v>
      </c>
    </row>
    <row r="719" spans="1:5">
      <c r="A719" s="29" t="s">
        <v>478</v>
      </c>
      <c r="B719" s="30" t="s">
        <v>183</v>
      </c>
      <c r="C719" s="39">
        <v>52.41</v>
      </c>
      <c r="D719" s="45">
        <v>11.847014925373134</v>
      </c>
      <c r="E719" s="54" t="s">
        <v>1387</v>
      </c>
    </row>
    <row r="720" spans="1:5">
      <c r="A720" s="29" t="s">
        <v>479</v>
      </c>
      <c r="B720" s="30" t="s">
        <v>183</v>
      </c>
      <c r="C720" s="39">
        <v>47.25</v>
      </c>
      <c r="D720" s="45">
        <v>9.9315068493150687</v>
      </c>
      <c r="E720" s="54" t="s">
        <v>1387</v>
      </c>
    </row>
    <row r="721" spans="1:5">
      <c r="A721" s="29" t="s">
        <v>480</v>
      </c>
      <c r="B721" s="30" t="s">
        <v>183</v>
      </c>
      <c r="C721" s="39">
        <v>60.33</v>
      </c>
      <c r="D721" s="45">
        <v>9.5990016638935103</v>
      </c>
      <c r="E721" s="54" t="s">
        <v>1387</v>
      </c>
    </row>
    <row r="722" spans="1:5">
      <c r="A722" s="29" t="s">
        <v>481</v>
      </c>
      <c r="B722" s="30" t="s">
        <v>183</v>
      </c>
      <c r="C722" s="39">
        <v>38.22</v>
      </c>
      <c r="D722" s="45">
        <v>11.699346405228759</v>
      </c>
      <c r="E722" s="54" t="s">
        <v>1387</v>
      </c>
    </row>
    <row r="723" spans="1:5">
      <c r="A723" s="29" t="s">
        <v>482</v>
      </c>
      <c r="B723" s="30" t="s">
        <v>183</v>
      </c>
      <c r="C723" s="39">
        <v>55.269999999999996</v>
      </c>
      <c r="D723" s="45">
        <v>9.650485436893204</v>
      </c>
      <c r="E723" s="54" t="s">
        <v>1387</v>
      </c>
    </row>
    <row r="724" spans="1:5">
      <c r="A724" s="29" t="s">
        <v>483</v>
      </c>
      <c r="B724" s="30" t="s">
        <v>183</v>
      </c>
      <c r="C724" s="39">
        <v>17.39</v>
      </c>
      <c r="D724" s="45">
        <v>24.072778166550037</v>
      </c>
      <c r="E724" s="54" t="s">
        <v>1387</v>
      </c>
    </row>
    <row r="725" spans="1:5">
      <c r="A725" s="29" t="s">
        <v>484</v>
      </c>
      <c r="B725" s="30" t="s">
        <v>183</v>
      </c>
      <c r="C725" s="39">
        <v>43.95</v>
      </c>
      <c r="D725" s="45">
        <v>2.0331491712707184</v>
      </c>
      <c r="E725" s="54" t="s">
        <v>1387</v>
      </c>
    </row>
    <row r="726" spans="1:5">
      <c r="A726" s="29" t="s">
        <v>485</v>
      </c>
      <c r="B726" s="30" t="s">
        <v>183</v>
      </c>
      <c r="C726" s="39">
        <v>49.789999999999992</v>
      </c>
      <c r="D726" s="45">
        <v>10.498281786941581</v>
      </c>
      <c r="E726" s="54" t="s">
        <v>1387</v>
      </c>
    </row>
    <row r="727" spans="1:5">
      <c r="A727" s="29" t="s">
        <v>486</v>
      </c>
      <c r="B727" s="30" t="s">
        <v>183</v>
      </c>
      <c r="C727" s="39">
        <v>33.96</v>
      </c>
      <c r="D727" s="45">
        <v>9.3711859909790398</v>
      </c>
      <c r="E727" s="54" t="s">
        <v>1387</v>
      </c>
    </row>
    <row r="728" spans="1:5">
      <c r="A728" s="29" t="s">
        <v>487</v>
      </c>
      <c r="B728" s="30" t="s">
        <v>183</v>
      </c>
      <c r="C728" s="39">
        <v>42.15</v>
      </c>
      <c r="D728" s="45">
        <v>10.534562211981568</v>
      </c>
      <c r="E728" s="54" t="s">
        <v>1387</v>
      </c>
    </row>
    <row r="729" spans="1:5">
      <c r="A729" s="29" t="s">
        <v>488</v>
      </c>
      <c r="B729" s="30" t="s">
        <v>183</v>
      </c>
      <c r="C729" s="39">
        <v>25.584000000000003</v>
      </c>
      <c r="D729" s="45">
        <v>12.667457024303497</v>
      </c>
      <c r="E729" s="54" t="s">
        <v>1387</v>
      </c>
    </row>
    <row r="730" spans="1:5">
      <c r="A730" s="29" t="s">
        <v>489</v>
      </c>
      <c r="B730" s="30" t="s">
        <v>183</v>
      </c>
      <c r="C730" s="39">
        <v>107.43</v>
      </c>
      <c r="D730" s="45">
        <v>11.046954314720811</v>
      </c>
      <c r="E730" s="54" t="s">
        <v>1387</v>
      </c>
    </row>
    <row r="731" spans="1:5">
      <c r="A731" s="29" t="s">
        <v>490</v>
      </c>
      <c r="B731" s="30" t="s">
        <v>183</v>
      </c>
      <c r="C731" s="39">
        <v>40.269999999999996</v>
      </c>
      <c r="D731" s="45">
        <v>20.705128205128204</v>
      </c>
      <c r="E731" s="54" t="s">
        <v>1387</v>
      </c>
    </row>
    <row r="732" spans="1:5">
      <c r="A732" s="29" t="s">
        <v>491</v>
      </c>
      <c r="B732" s="30" t="s">
        <v>183</v>
      </c>
      <c r="C732" s="39">
        <v>66.710000000000008</v>
      </c>
      <c r="D732" s="45">
        <v>5.9649999999999999</v>
      </c>
      <c r="E732" s="54" t="s">
        <v>1387</v>
      </c>
    </row>
    <row r="733" spans="1:5">
      <c r="A733" s="29" t="s">
        <v>492</v>
      </c>
      <c r="B733" s="30" t="s">
        <v>183</v>
      </c>
      <c r="C733" s="39">
        <v>96.04</v>
      </c>
      <c r="D733" s="45">
        <v>2.6263952724885091</v>
      </c>
      <c r="E733" s="54" t="s">
        <v>1387</v>
      </c>
    </row>
    <row r="734" spans="1:5">
      <c r="A734" s="29" t="s">
        <v>493</v>
      </c>
      <c r="B734" s="30" t="s">
        <v>183</v>
      </c>
      <c r="C734" s="39">
        <v>57.03</v>
      </c>
      <c r="D734" s="45">
        <v>20.326264274061991</v>
      </c>
      <c r="E734" s="54" t="s">
        <v>1387</v>
      </c>
    </row>
    <row r="735" spans="1:5">
      <c r="A735" s="29" t="s">
        <v>494</v>
      </c>
      <c r="B735" s="30" t="s">
        <v>183</v>
      </c>
      <c r="C735" s="39">
        <v>51.010000000000005</v>
      </c>
      <c r="D735" s="45">
        <v>15.146179401993354</v>
      </c>
      <c r="E735" s="54" t="s">
        <v>1387</v>
      </c>
    </row>
    <row r="736" spans="1:5">
      <c r="A736" s="29" t="s">
        <v>495</v>
      </c>
      <c r="B736" s="30" t="s">
        <v>183</v>
      </c>
      <c r="C736" s="39">
        <v>31.069000000000003</v>
      </c>
      <c r="D736" s="45">
        <v>40.786516853932582</v>
      </c>
      <c r="E736" s="54" t="s">
        <v>1387</v>
      </c>
    </row>
    <row r="737" spans="1:5">
      <c r="A737" s="29" t="s">
        <v>496</v>
      </c>
      <c r="B737" s="30" t="s">
        <v>183</v>
      </c>
      <c r="C737" s="39">
        <v>39.36</v>
      </c>
      <c r="D737" s="45">
        <v>8.5036363636363639</v>
      </c>
      <c r="E737" s="54" t="s">
        <v>1387</v>
      </c>
    </row>
    <row r="738" spans="1:5">
      <c r="A738" s="29" t="s">
        <v>497</v>
      </c>
      <c r="B738" s="30" t="s">
        <v>183</v>
      </c>
      <c r="C738" s="39">
        <v>87.33</v>
      </c>
      <c r="D738" s="45">
        <v>5.1238938053097343</v>
      </c>
      <c r="E738" s="54" t="s">
        <v>1387</v>
      </c>
    </row>
    <row r="739" spans="1:5">
      <c r="A739" s="29" t="s">
        <v>498</v>
      </c>
      <c r="B739" s="30" t="s">
        <v>183</v>
      </c>
      <c r="C739" s="39">
        <v>46.59</v>
      </c>
      <c r="D739" s="45">
        <v>16.481331168831169</v>
      </c>
      <c r="E739" s="54" t="s">
        <v>1387</v>
      </c>
    </row>
    <row r="740" spans="1:5">
      <c r="A740" s="29" t="s">
        <v>499</v>
      </c>
      <c r="B740" s="30" t="s">
        <v>183</v>
      </c>
      <c r="C740" s="39">
        <v>83.490000000000009</v>
      </c>
      <c r="D740" s="45">
        <v>16.281045751633986</v>
      </c>
      <c r="E740" s="54" t="s">
        <v>1387</v>
      </c>
    </row>
    <row r="741" spans="1:5">
      <c r="A741" s="29" t="s">
        <v>500</v>
      </c>
      <c r="B741" s="30" t="s">
        <v>183</v>
      </c>
      <c r="C741" s="39">
        <v>40.99</v>
      </c>
      <c r="D741" s="45">
        <v>14.049418604651164</v>
      </c>
      <c r="E741" s="54" t="s">
        <v>1387</v>
      </c>
    </row>
    <row r="742" spans="1:5">
      <c r="A742" s="29" t="s">
        <v>501</v>
      </c>
      <c r="B742" s="30" t="s">
        <v>183</v>
      </c>
      <c r="C742" s="39">
        <v>42.95</v>
      </c>
      <c r="D742" s="45">
        <v>22.423280423280424</v>
      </c>
      <c r="E742" s="54" t="s">
        <v>1387</v>
      </c>
    </row>
    <row r="743" spans="1:5">
      <c r="A743" s="29" t="s">
        <v>502</v>
      </c>
      <c r="B743" s="30" t="s">
        <v>183</v>
      </c>
      <c r="C743" s="39">
        <v>107.24</v>
      </c>
      <c r="D743" s="45">
        <v>10.277227722772277</v>
      </c>
      <c r="E743" s="54" t="s">
        <v>1387</v>
      </c>
    </row>
    <row r="744" spans="1:5">
      <c r="A744" s="29" t="s">
        <v>503</v>
      </c>
      <c r="B744" s="30" t="s">
        <v>183</v>
      </c>
      <c r="C744" s="39">
        <v>55.790000000000006</v>
      </c>
      <c r="D744" s="45">
        <v>11.389671361502346</v>
      </c>
      <c r="E744" s="54" t="s">
        <v>1387</v>
      </c>
    </row>
    <row r="745" spans="1:5">
      <c r="A745" s="29" t="s">
        <v>504</v>
      </c>
      <c r="B745" s="30" t="s">
        <v>183</v>
      </c>
      <c r="C745" s="39">
        <v>32.46</v>
      </c>
      <c r="D745" s="45">
        <v>27.016967706622882</v>
      </c>
      <c r="E745" s="54" t="s">
        <v>1387</v>
      </c>
    </row>
    <row r="746" spans="1:5">
      <c r="A746" s="29" t="s">
        <v>505</v>
      </c>
      <c r="B746" s="30" t="s">
        <v>183</v>
      </c>
      <c r="C746" s="39">
        <v>30.79</v>
      </c>
      <c r="D746" s="45">
        <v>13.06764705882353</v>
      </c>
      <c r="E746" s="54" t="s">
        <v>1387</v>
      </c>
    </row>
    <row r="747" spans="1:5">
      <c r="A747" s="29" t="s">
        <v>506</v>
      </c>
      <c r="B747" s="30" t="s">
        <v>183</v>
      </c>
      <c r="C747" s="39">
        <v>54.730000000000004</v>
      </c>
      <c r="D747" s="45">
        <v>12.439104674127716</v>
      </c>
      <c r="E747" s="54" t="s">
        <v>1387</v>
      </c>
    </row>
    <row r="748" spans="1:5">
      <c r="A748" s="29" t="s">
        <v>507</v>
      </c>
      <c r="B748" s="30" t="s">
        <v>183</v>
      </c>
      <c r="C748" s="39">
        <v>75.7</v>
      </c>
      <c r="D748" s="45">
        <v>6.9271402550091077</v>
      </c>
      <c r="E748" s="54" t="s">
        <v>1387</v>
      </c>
    </row>
    <row r="749" spans="1:5">
      <c r="A749" s="29" t="s">
        <v>508</v>
      </c>
      <c r="B749" s="30" t="s">
        <v>183</v>
      </c>
      <c r="C749" s="39">
        <v>29.369999999999997</v>
      </c>
      <c r="D749" s="45">
        <v>20.928097909229983</v>
      </c>
      <c r="E749" s="54" t="s">
        <v>1387</v>
      </c>
    </row>
    <row r="750" spans="1:5">
      <c r="A750" s="29" t="s">
        <v>509</v>
      </c>
      <c r="B750" s="30" t="s">
        <v>183</v>
      </c>
      <c r="C750" s="39">
        <v>70.58</v>
      </c>
      <c r="D750" s="45">
        <v>18.185185185185183</v>
      </c>
      <c r="E750" s="54" t="s">
        <v>1387</v>
      </c>
    </row>
    <row r="751" spans="1:5">
      <c r="A751" s="29" t="s">
        <v>510</v>
      </c>
      <c r="B751" s="30" t="s">
        <v>183</v>
      </c>
      <c r="C751" s="39">
        <v>26.817</v>
      </c>
      <c r="D751" s="45">
        <v>16.857617268576174</v>
      </c>
      <c r="E751" s="54" t="s">
        <v>1387</v>
      </c>
    </row>
    <row r="752" spans="1:5">
      <c r="A752" s="29" t="s">
        <v>511</v>
      </c>
      <c r="B752" s="30" t="s">
        <v>183</v>
      </c>
      <c r="C752" s="39">
        <v>240.40000000000003</v>
      </c>
      <c r="D752" s="45">
        <v>0.25994659546061416</v>
      </c>
      <c r="E752" s="54" t="s">
        <v>1387</v>
      </c>
    </row>
    <row r="753" spans="1:5">
      <c r="A753" s="29" t="s">
        <v>512</v>
      </c>
      <c r="B753" s="30" t="s">
        <v>183</v>
      </c>
      <c r="C753" s="39">
        <v>333</v>
      </c>
      <c r="D753" s="45">
        <v>0.25581683168316832</v>
      </c>
      <c r="E753" s="54" t="s">
        <v>1387</v>
      </c>
    </row>
    <row r="754" spans="1:5">
      <c r="A754" s="29" t="s">
        <v>513</v>
      </c>
      <c r="B754" s="30" t="s">
        <v>183</v>
      </c>
      <c r="C754" s="39">
        <v>346.4</v>
      </c>
      <c r="D754" s="45">
        <v>0.25299145299145298</v>
      </c>
      <c r="E754" s="54" t="s">
        <v>1387</v>
      </c>
    </row>
    <row r="755" spans="1:5">
      <c r="A755" s="29" t="s">
        <v>514</v>
      </c>
      <c r="B755" s="30" t="s">
        <v>183</v>
      </c>
      <c r="C755" s="39">
        <v>307</v>
      </c>
      <c r="D755" s="45">
        <v>0.26935897435897438</v>
      </c>
      <c r="E755" s="54" t="s">
        <v>1387</v>
      </c>
    </row>
    <row r="756" spans="1:5">
      <c r="A756" s="29" t="s">
        <v>515</v>
      </c>
      <c r="B756" s="30" t="s">
        <v>183</v>
      </c>
      <c r="C756" s="39">
        <v>370.5</v>
      </c>
      <c r="D756" s="45">
        <v>0.24885126964933496</v>
      </c>
      <c r="E756" s="54" t="s">
        <v>1387</v>
      </c>
    </row>
    <row r="757" spans="1:5">
      <c r="A757" s="29" t="s">
        <v>516</v>
      </c>
      <c r="B757" s="30" t="s">
        <v>183</v>
      </c>
      <c r="C757" s="39">
        <v>459.9</v>
      </c>
      <c r="D757" s="45">
        <v>0.2820199778024417</v>
      </c>
      <c r="E757" s="54" t="s">
        <v>1387</v>
      </c>
    </row>
    <row r="758" spans="1:5">
      <c r="A758" s="29" t="s">
        <v>517</v>
      </c>
      <c r="B758" s="30" t="s">
        <v>183</v>
      </c>
      <c r="C758" s="39">
        <v>291</v>
      </c>
      <c r="D758" s="45">
        <v>0.231812725090036</v>
      </c>
      <c r="E758" s="54" t="s">
        <v>1387</v>
      </c>
    </row>
    <row r="759" spans="1:5">
      <c r="A759" s="29" t="s">
        <v>518</v>
      </c>
      <c r="B759" s="30" t="s">
        <v>183</v>
      </c>
      <c r="C759" s="39">
        <v>428.4</v>
      </c>
      <c r="D759" s="45">
        <v>0.28744710860366718</v>
      </c>
      <c r="E759" s="54" t="s">
        <v>1387</v>
      </c>
    </row>
    <row r="760" spans="1:5">
      <c r="A760" s="29" t="s">
        <v>519</v>
      </c>
      <c r="B760" s="30" t="s">
        <v>183</v>
      </c>
      <c r="C760" s="39">
        <v>494.28000000000003</v>
      </c>
      <c r="D760" s="45">
        <v>0.25755237045203966</v>
      </c>
      <c r="E760" s="54" t="s">
        <v>1387</v>
      </c>
    </row>
    <row r="761" spans="1:5">
      <c r="A761" s="29" t="s">
        <v>520</v>
      </c>
      <c r="B761" s="30" t="s">
        <v>183</v>
      </c>
      <c r="C761" s="39">
        <v>339</v>
      </c>
      <c r="D761" s="45">
        <v>0.2456384323640961</v>
      </c>
      <c r="E761" s="54" t="s">
        <v>1387</v>
      </c>
    </row>
    <row r="762" spans="1:5">
      <c r="A762" s="29" t="s">
        <v>521</v>
      </c>
      <c r="B762" s="30" t="s">
        <v>183</v>
      </c>
      <c r="C762" s="39">
        <v>322.10000000000002</v>
      </c>
      <c r="D762" s="45">
        <v>0.24575411913814957</v>
      </c>
      <c r="E762" s="54" t="s">
        <v>1387</v>
      </c>
    </row>
    <row r="763" spans="1:5">
      <c r="A763" s="29" t="s">
        <v>522</v>
      </c>
      <c r="B763" s="30" t="s">
        <v>183</v>
      </c>
      <c r="C763" s="39">
        <v>364</v>
      </c>
      <c r="D763" s="45">
        <v>0.23983451536643027</v>
      </c>
      <c r="E763" s="54" t="s">
        <v>1387</v>
      </c>
    </row>
    <row r="764" spans="1:5">
      <c r="A764" s="29" t="s">
        <v>523</v>
      </c>
      <c r="B764" s="30" t="s">
        <v>183</v>
      </c>
      <c r="C764" s="39">
        <v>336.4</v>
      </c>
      <c r="D764" s="45">
        <v>0.23432304038004753</v>
      </c>
      <c r="E764" s="54" t="s">
        <v>1387</v>
      </c>
    </row>
    <row r="765" spans="1:5">
      <c r="A765" s="29" t="s">
        <v>524</v>
      </c>
      <c r="B765" s="30" t="s">
        <v>183</v>
      </c>
      <c r="C765" s="39">
        <v>582.09999999999991</v>
      </c>
      <c r="D765" s="45">
        <v>0.23967032967032967</v>
      </c>
      <c r="E765" s="54" t="s">
        <v>1387</v>
      </c>
    </row>
    <row r="766" spans="1:5">
      <c r="A766" s="29" t="s">
        <v>525</v>
      </c>
      <c r="B766" s="30" t="s">
        <v>183</v>
      </c>
      <c r="C766" s="39">
        <v>395.7</v>
      </c>
      <c r="D766" s="45">
        <v>0.23736128236744761</v>
      </c>
      <c r="E766" s="54" t="s">
        <v>1387</v>
      </c>
    </row>
    <row r="767" spans="1:5">
      <c r="A767" s="29" t="s">
        <v>526</v>
      </c>
      <c r="B767" s="30" t="s">
        <v>183</v>
      </c>
      <c r="C767" s="39">
        <v>423.5</v>
      </c>
      <c r="D767" s="45">
        <v>0.25022988505747124</v>
      </c>
      <c r="E767" s="54" t="s">
        <v>1387</v>
      </c>
    </row>
    <row r="768" spans="1:5">
      <c r="A768" s="29" t="s">
        <v>527</v>
      </c>
      <c r="B768" s="30" t="s">
        <v>183</v>
      </c>
      <c r="C768" s="39">
        <v>309.07</v>
      </c>
      <c r="D768" s="45">
        <v>0.24676806083650188</v>
      </c>
      <c r="E768" s="54" t="s">
        <v>1387</v>
      </c>
    </row>
    <row r="769" spans="1:5">
      <c r="A769" s="29" t="s">
        <v>528</v>
      </c>
      <c r="B769" s="30" t="s">
        <v>183</v>
      </c>
      <c r="C769" s="39">
        <v>350.9</v>
      </c>
      <c r="D769" s="45">
        <v>0.2298043728423475</v>
      </c>
      <c r="E769" s="54" t="s">
        <v>1387</v>
      </c>
    </row>
    <row r="770" spans="1:5">
      <c r="A770" s="29" t="s">
        <v>529</v>
      </c>
      <c r="B770" s="30" t="s">
        <v>183</v>
      </c>
      <c r="C770" s="39">
        <v>619.5</v>
      </c>
      <c r="D770" s="45">
        <v>0.26376344086021508</v>
      </c>
      <c r="E770" s="54" t="s">
        <v>1387</v>
      </c>
    </row>
    <row r="771" spans="1:5">
      <c r="A771" s="29" t="s">
        <v>530</v>
      </c>
      <c r="B771" s="30" t="s">
        <v>183</v>
      </c>
      <c r="C771" s="39">
        <v>621.09</v>
      </c>
      <c r="D771" s="45">
        <v>0.33312693498452012</v>
      </c>
      <c r="E771" s="54" t="s">
        <v>1387</v>
      </c>
    </row>
    <row r="772" spans="1:5">
      <c r="A772" s="29" t="s">
        <v>531</v>
      </c>
      <c r="B772" s="30" t="s">
        <v>183</v>
      </c>
      <c r="C772" s="39">
        <v>393.1</v>
      </c>
      <c r="D772" s="45">
        <v>0.25</v>
      </c>
      <c r="E772" s="54" t="s">
        <v>1387</v>
      </c>
    </row>
    <row r="773" spans="1:5">
      <c r="A773" s="29" t="s">
        <v>532</v>
      </c>
      <c r="B773" s="30" t="s">
        <v>183</v>
      </c>
      <c r="C773" s="39">
        <v>362.4</v>
      </c>
      <c r="D773" s="45">
        <v>0.23211009174311928</v>
      </c>
      <c r="E773" s="54" t="s">
        <v>1387</v>
      </c>
    </row>
    <row r="774" spans="1:5">
      <c r="A774" s="29" t="s">
        <v>533</v>
      </c>
      <c r="B774" s="30" t="s">
        <v>183</v>
      </c>
      <c r="C774" s="39">
        <v>336.7</v>
      </c>
      <c r="D774" s="45">
        <v>0.25290237467018467</v>
      </c>
      <c r="E774" s="54" t="s">
        <v>1387</v>
      </c>
    </row>
    <row r="775" spans="1:5">
      <c r="A775" s="29" t="s">
        <v>534</v>
      </c>
      <c r="B775" s="30" t="s">
        <v>183</v>
      </c>
      <c r="C775" s="39">
        <v>447.6</v>
      </c>
      <c r="D775" s="45">
        <v>0.25625000000000003</v>
      </c>
      <c r="E775" s="54" t="s">
        <v>1387</v>
      </c>
    </row>
    <row r="776" spans="1:5">
      <c r="A776" s="29" t="s">
        <v>535</v>
      </c>
      <c r="B776" s="30" t="s">
        <v>183</v>
      </c>
      <c r="C776" s="39">
        <v>165.99</v>
      </c>
      <c r="D776" s="45">
        <v>23.995880535530382</v>
      </c>
      <c r="E776" s="54" t="s">
        <v>1387</v>
      </c>
    </row>
    <row r="777" spans="1:5">
      <c r="A777" s="29" t="s">
        <v>536</v>
      </c>
      <c r="B777" s="30" t="s">
        <v>183</v>
      </c>
      <c r="C777" s="39">
        <v>203.4</v>
      </c>
      <c r="D777" s="45">
        <v>18.338833883388336</v>
      </c>
      <c r="E777" s="54" t="s">
        <v>1387</v>
      </c>
    </row>
    <row r="778" spans="1:5">
      <c r="A778" s="29" t="s">
        <v>537</v>
      </c>
      <c r="B778" s="30" t="s">
        <v>183</v>
      </c>
      <c r="C778" s="39">
        <v>38.739999999999995</v>
      </c>
      <c r="D778" s="45">
        <v>47.41847826086957</v>
      </c>
      <c r="E778" s="54" t="s">
        <v>1387</v>
      </c>
    </row>
    <row r="779" spans="1:5">
      <c r="A779" s="29" t="s">
        <v>538</v>
      </c>
      <c r="B779" s="30" t="s">
        <v>183</v>
      </c>
      <c r="C779" s="39">
        <v>108.78999999999999</v>
      </c>
      <c r="D779" s="45">
        <v>13.656220322886989</v>
      </c>
      <c r="E779" s="54" t="s">
        <v>1387</v>
      </c>
    </row>
    <row r="780" spans="1:5">
      <c r="A780" s="29" t="s">
        <v>539</v>
      </c>
      <c r="B780" s="30" t="s">
        <v>183</v>
      </c>
      <c r="C780" s="39">
        <v>112.99</v>
      </c>
      <c r="D780" s="45">
        <v>27.082683307332296</v>
      </c>
      <c r="E780" s="54" t="s">
        <v>1387</v>
      </c>
    </row>
    <row r="781" spans="1:5">
      <c r="A781" s="29" t="s">
        <v>540</v>
      </c>
      <c r="B781" s="30" t="s">
        <v>183</v>
      </c>
      <c r="C781" s="39">
        <v>113.35</v>
      </c>
      <c r="D781" s="45">
        <v>32.688927943760987</v>
      </c>
      <c r="E781" s="54" t="s">
        <v>1387</v>
      </c>
    </row>
    <row r="782" spans="1:5">
      <c r="A782" s="29" t="s">
        <v>541</v>
      </c>
      <c r="B782" s="30" t="s">
        <v>183</v>
      </c>
      <c r="C782" s="39">
        <v>55.91</v>
      </c>
      <c r="D782" s="45">
        <v>31.292517006802722</v>
      </c>
      <c r="E782" s="54" t="s">
        <v>1387</v>
      </c>
    </row>
    <row r="783" spans="1:5">
      <c r="A783" s="29" t="s">
        <v>542</v>
      </c>
      <c r="B783" s="30" t="s">
        <v>183</v>
      </c>
      <c r="C783" s="39">
        <v>42.55</v>
      </c>
      <c r="D783" s="45">
        <v>29.425675675675674</v>
      </c>
      <c r="E783" s="54" t="s">
        <v>1387</v>
      </c>
    </row>
    <row r="784" spans="1:5">
      <c r="A784" s="29" t="s">
        <v>543</v>
      </c>
      <c r="B784" s="30" t="s">
        <v>183</v>
      </c>
      <c r="C784" s="39">
        <v>33.54</v>
      </c>
      <c r="D784" s="45">
        <v>35.244897959183675</v>
      </c>
      <c r="E784" s="54" t="s">
        <v>1387</v>
      </c>
    </row>
    <row r="785" spans="1:5">
      <c r="A785" s="29" t="s">
        <v>544</v>
      </c>
      <c r="B785" s="30" t="s">
        <v>183</v>
      </c>
      <c r="C785" s="39">
        <v>213.39999999999998</v>
      </c>
      <c r="D785" s="45">
        <v>29.247491638795989</v>
      </c>
      <c r="E785" s="54" t="s">
        <v>1387</v>
      </c>
    </row>
    <row r="786" spans="1:5">
      <c r="A786" s="29" t="s">
        <v>545</v>
      </c>
      <c r="B786" s="30" t="s">
        <v>183</v>
      </c>
      <c r="C786" s="39">
        <v>56.86</v>
      </c>
      <c r="D786" s="45">
        <v>42.160919540229884</v>
      </c>
      <c r="E786" s="54" t="s">
        <v>1387</v>
      </c>
    </row>
    <row r="787" spans="1:5">
      <c r="A787" s="29" t="s">
        <v>546</v>
      </c>
      <c r="B787" s="30" t="s">
        <v>183</v>
      </c>
      <c r="C787" s="39">
        <v>239.89</v>
      </c>
      <c r="D787" s="45">
        <v>20.022701475595916</v>
      </c>
      <c r="E787" s="54" t="s">
        <v>1387</v>
      </c>
    </row>
    <row r="788" spans="1:5">
      <c r="A788" s="29" t="s">
        <v>547</v>
      </c>
      <c r="B788" s="30" t="s">
        <v>183</v>
      </c>
      <c r="C788" s="39">
        <v>98.42</v>
      </c>
      <c r="D788" s="45">
        <v>24.26630434782609</v>
      </c>
      <c r="E788" s="54" t="s">
        <v>1387</v>
      </c>
    </row>
    <row r="789" spans="1:5">
      <c r="A789" s="29" t="s">
        <v>548</v>
      </c>
      <c r="B789" s="30" t="s">
        <v>183</v>
      </c>
      <c r="C789" s="39">
        <v>19.040999999999997</v>
      </c>
      <c r="D789" s="45">
        <v>36.95829926410466</v>
      </c>
      <c r="E789" s="54" t="s">
        <v>1387</v>
      </c>
    </row>
    <row r="790" spans="1:5">
      <c r="A790" s="29" t="s">
        <v>549</v>
      </c>
      <c r="B790" s="30" t="s">
        <v>183</v>
      </c>
      <c r="C790" s="39">
        <v>196.8</v>
      </c>
      <c r="D790" s="45">
        <v>17.357630979498861</v>
      </c>
      <c r="E790" s="54" t="s">
        <v>1387</v>
      </c>
    </row>
    <row r="791" spans="1:5">
      <c r="A791" s="29" t="s">
        <v>550</v>
      </c>
      <c r="B791" s="30" t="s">
        <v>183</v>
      </c>
      <c r="C791" s="39">
        <v>13.167999999999999</v>
      </c>
      <c r="D791" s="45">
        <v>55.405405405405403</v>
      </c>
      <c r="E791" s="54" t="s">
        <v>1387</v>
      </c>
    </row>
    <row r="792" spans="1:5">
      <c r="A792" s="29" t="s">
        <v>551</v>
      </c>
      <c r="B792" s="30" t="s">
        <v>183</v>
      </c>
      <c r="C792" s="39">
        <v>220.99</v>
      </c>
      <c r="D792" s="45">
        <v>26.162962962962961</v>
      </c>
      <c r="E792" s="54" t="s">
        <v>1387</v>
      </c>
    </row>
    <row r="793" spans="1:5">
      <c r="A793" s="29" t="s">
        <v>552</v>
      </c>
      <c r="B793" s="30" t="s">
        <v>183</v>
      </c>
      <c r="C793" s="39">
        <v>188.10000000000002</v>
      </c>
      <c r="D793" s="45">
        <v>21.29071170084439</v>
      </c>
      <c r="E793" s="54" t="s">
        <v>1387</v>
      </c>
    </row>
    <row r="794" spans="1:5">
      <c r="A794" s="29" t="s">
        <v>553</v>
      </c>
      <c r="B794" s="30" t="s">
        <v>183</v>
      </c>
      <c r="C794" s="39">
        <v>136.6</v>
      </c>
      <c r="D794" s="45">
        <v>27.021276595744681</v>
      </c>
      <c r="E794" s="54" t="s">
        <v>1387</v>
      </c>
    </row>
    <row r="795" spans="1:5">
      <c r="A795" s="29" t="s">
        <v>554</v>
      </c>
      <c r="B795" s="30" t="s">
        <v>183</v>
      </c>
      <c r="C795" s="39">
        <v>76.17</v>
      </c>
      <c r="D795" s="45">
        <v>28.786231884057969</v>
      </c>
      <c r="E795" s="54" t="s">
        <v>1387</v>
      </c>
    </row>
    <row r="796" spans="1:5">
      <c r="A796" s="29" t="s">
        <v>555</v>
      </c>
      <c r="B796" s="30" t="s">
        <v>183</v>
      </c>
      <c r="C796" s="39">
        <v>98.92</v>
      </c>
      <c r="D796" s="45">
        <v>23.664233576642335</v>
      </c>
      <c r="E796" s="54" t="s">
        <v>1387</v>
      </c>
    </row>
    <row r="797" spans="1:5">
      <c r="A797" s="29" t="s">
        <v>556</v>
      </c>
      <c r="B797" s="30" t="s">
        <v>183</v>
      </c>
      <c r="C797" s="39">
        <v>121.88</v>
      </c>
      <c r="D797" s="45">
        <v>63.663845223700122</v>
      </c>
      <c r="E797" s="54" t="s">
        <v>1387</v>
      </c>
    </row>
    <row r="798" spans="1:5">
      <c r="A798" s="29" t="s">
        <v>557</v>
      </c>
      <c r="B798" s="30" t="s">
        <v>183</v>
      </c>
      <c r="C798" s="39">
        <v>194.99</v>
      </c>
      <c r="D798" s="45">
        <v>14.116047144152311</v>
      </c>
      <c r="E798" s="54" t="s">
        <v>1387</v>
      </c>
    </row>
    <row r="799" spans="1:5">
      <c r="A799" s="29" t="s">
        <v>558</v>
      </c>
      <c r="B799" s="30" t="s">
        <v>183</v>
      </c>
      <c r="C799" s="39">
        <v>79.33</v>
      </c>
      <c r="D799" s="45">
        <v>29.026845637583893</v>
      </c>
      <c r="E799" s="54" t="s">
        <v>1387</v>
      </c>
    </row>
    <row r="800" spans="1:5">
      <c r="A800" s="29" t="s">
        <v>559</v>
      </c>
      <c r="B800" s="30" t="s">
        <v>183</v>
      </c>
      <c r="C800" s="39">
        <v>18.706</v>
      </c>
      <c r="D800" s="45">
        <v>5.885148514851485</v>
      </c>
      <c r="E800" s="54" t="s">
        <v>1387</v>
      </c>
    </row>
    <row r="801" spans="1:5">
      <c r="A801" s="29" t="s">
        <v>560</v>
      </c>
      <c r="B801" s="30" t="s">
        <v>183</v>
      </c>
      <c r="C801" s="39">
        <v>58.04</v>
      </c>
      <c r="D801" s="45">
        <v>0.87015121630506242</v>
      </c>
      <c r="E801" s="54" t="s">
        <v>1387</v>
      </c>
    </row>
    <row r="802" spans="1:5">
      <c r="A802" s="29" t="s">
        <v>561</v>
      </c>
      <c r="B802" s="30" t="s">
        <v>183</v>
      </c>
      <c r="C802" s="39">
        <v>49.83</v>
      </c>
      <c r="D802" s="45">
        <v>0.96177518626498215</v>
      </c>
      <c r="E802" s="54" t="s">
        <v>1387</v>
      </c>
    </row>
    <row r="803" spans="1:5">
      <c r="A803" s="29" t="s">
        <v>562</v>
      </c>
      <c r="B803" s="30" t="s">
        <v>183</v>
      </c>
      <c r="C803" s="39">
        <v>36.39</v>
      </c>
      <c r="D803" s="45">
        <v>0.87405628002745372</v>
      </c>
      <c r="E803" s="54" t="s">
        <v>1387</v>
      </c>
    </row>
    <row r="804" spans="1:5">
      <c r="A804" s="29" t="s">
        <v>563</v>
      </c>
      <c r="B804" s="30" t="s">
        <v>183</v>
      </c>
      <c r="C804" s="39">
        <v>27.052</v>
      </c>
      <c r="D804" s="45">
        <v>1.4593572778827979</v>
      </c>
      <c r="E804" s="54" t="s">
        <v>1387</v>
      </c>
    </row>
    <row r="805" spans="1:5">
      <c r="A805" s="29" t="s">
        <v>564</v>
      </c>
      <c r="B805" s="30" t="s">
        <v>183</v>
      </c>
      <c r="C805" s="39">
        <v>37.840000000000003</v>
      </c>
      <c r="D805" s="45">
        <v>1.7028455284552844</v>
      </c>
      <c r="E805" s="54" t="s">
        <v>1387</v>
      </c>
    </row>
    <row r="806" spans="1:5">
      <c r="A806" s="29" t="s">
        <v>565</v>
      </c>
      <c r="B806" s="30" t="s">
        <v>183</v>
      </c>
      <c r="C806" s="39">
        <v>40.819999999999993</v>
      </c>
      <c r="D806" s="45">
        <v>1.2727272727272727</v>
      </c>
      <c r="E806" s="54" t="s">
        <v>1387</v>
      </c>
    </row>
    <row r="807" spans="1:5">
      <c r="A807" s="29" t="s">
        <v>566</v>
      </c>
      <c r="B807" s="30" t="s">
        <v>183</v>
      </c>
      <c r="C807" s="39">
        <v>78.02000000000001</v>
      </c>
      <c r="D807" s="45">
        <v>0.99630872483221466</v>
      </c>
      <c r="E807" s="54" t="s">
        <v>1387</v>
      </c>
    </row>
    <row r="808" spans="1:5">
      <c r="A808" s="29" t="s">
        <v>567</v>
      </c>
      <c r="B808" s="30" t="s">
        <v>183</v>
      </c>
      <c r="C808" s="39">
        <v>255.4</v>
      </c>
      <c r="D808" s="45">
        <v>1.3294075660242684</v>
      </c>
      <c r="E808" s="54" t="s">
        <v>1387</v>
      </c>
    </row>
    <row r="809" spans="1:5">
      <c r="A809" s="29" t="s">
        <v>568</v>
      </c>
      <c r="B809" s="30" t="s">
        <v>183</v>
      </c>
      <c r="C809" s="39">
        <v>32</v>
      </c>
      <c r="D809" s="45">
        <v>2.5365099009900991</v>
      </c>
      <c r="E809" s="54" t="s">
        <v>1387</v>
      </c>
    </row>
    <row r="810" spans="1:5">
      <c r="A810" s="29" t="s">
        <v>569</v>
      </c>
      <c r="B810" s="30" t="s">
        <v>183</v>
      </c>
      <c r="C810" s="39">
        <v>45.8</v>
      </c>
      <c r="D810" s="45">
        <v>1.2727624951569159</v>
      </c>
      <c r="E810" s="54" t="s">
        <v>1387</v>
      </c>
    </row>
    <row r="811" spans="1:5">
      <c r="A811" s="29" t="s">
        <v>570</v>
      </c>
      <c r="B811" s="30" t="s">
        <v>183</v>
      </c>
      <c r="C811" s="39">
        <v>54.28</v>
      </c>
      <c r="D811" s="45">
        <v>1.0236245954692558</v>
      </c>
      <c r="E811" s="54" t="s">
        <v>1387</v>
      </c>
    </row>
    <row r="812" spans="1:5">
      <c r="A812" s="29" t="s">
        <v>571</v>
      </c>
      <c r="B812" s="30" t="s">
        <v>183</v>
      </c>
      <c r="C812" s="39">
        <v>54.72</v>
      </c>
      <c r="D812" s="45">
        <v>1.0634508348794063</v>
      </c>
      <c r="E812" s="54" t="s">
        <v>1387</v>
      </c>
    </row>
    <row r="813" spans="1:5">
      <c r="A813" s="29" t="s">
        <v>572</v>
      </c>
      <c r="B813" s="30" t="s">
        <v>183</v>
      </c>
      <c r="C813" s="39">
        <v>54.69</v>
      </c>
      <c r="D813" s="45">
        <v>0.69182561307901913</v>
      </c>
      <c r="E813" s="54" t="s">
        <v>1387</v>
      </c>
    </row>
    <row r="814" spans="1:5">
      <c r="A814" s="29" t="s">
        <v>573</v>
      </c>
      <c r="B814" s="30" t="s">
        <v>183</v>
      </c>
      <c r="C814" s="39">
        <v>53.599999999999994</v>
      </c>
      <c r="D814" s="45">
        <v>0.96856581532416519</v>
      </c>
      <c r="E814" s="54" t="s">
        <v>1387</v>
      </c>
    </row>
    <row r="815" spans="1:5">
      <c r="A815" s="29" t="s">
        <v>574</v>
      </c>
      <c r="B815" s="30" t="s">
        <v>183</v>
      </c>
      <c r="C815" s="39">
        <v>50.870000000000005</v>
      </c>
      <c r="D815" s="45">
        <v>0.95383547379382161</v>
      </c>
      <c r="E815" s="54" t="s">
        <v>1387</v>
      </c>
    </row>
    <row r="816" spans="1:5">
      <c r="A816" s="29" t="s">
        <v>575</v>
      </c>
      <c r="B816" s="30" t="s">
        <v>183</v>
      </c>
      <c r="C816" s="39">
        <v>25.874000000000002</v>
      </c>
      <c r="D816" s="45">
        <v>3.3382541720154042</v>
      </c>
      <c r="E816" s="54" t="s">
        <v>1387</v>
      </c>
    </row>
    <row r="817" spans="1:5">
      <c r="A817" s="29" t="s">
        <v>576</v>
      </c>
      <c r="B817" s="30" t="s">
        <v>183</v>
      </c>
      <c r="C817" s="39">
        <v>45.58</v>
      </c>
      <c r="D817" s="45">
        <v>1.0571668768390079</v>
      </c>
      <c r="E817" s="54" t="s">
        <v>1387</v>
      </c>
    </row>
    <row r="818" spans="1:5">
      <c r="A818" s="29" t="s">
        <v>577</v>
      </c>
      <c r="B818" s="30" t="s">
        <v>183</v>
      </c>
      <c r="C818" s="39">
        <v>32.89</v>
      </c>
      <c r="D818" s="45">
        <v>1.3041740674955595</v>
      </c>
      <c r="E818" s="54" t="s">
        <v>1387</v>
      </c>
    </row>
    <row r="819" spans="1:5">
      <c r="A819" s="29" t="s">
        <v>578</v>
      </c>
      <c r="B819" s="30" t="s">
        <v>183</v>
      </c>
      <c r="C819" s="39">
        <v>55.760000000000005</v>
      </c>
      <c r="D819" s="45">
        <v>1.9029739776951673</v>
      </c>
      <c r="E819" s="54" t="s">
        <v>1387</v>
      </c>
    </row>
    <row r="820" spans="1:5">
      <c r="A820" s="29" t="s">
        <v>579</v>
      </c>
      <c r="B820" s="30" t="s">
        <v>183</v>
      </c>
      <c r="C820" s="39">
        <v>68.44</v>
      </c>
      <c r="D820" s="45">
        <v>0.95879198419418565</v>
      </c>
      <c r="E820" s="54" t="s">
        <v>1387</v>
      </c>
    </row>
    <row r="821" spans="1:5">
      <c r="A821" s="29" t="s">
        <v>580</v>
      </c>
      <c r="B821" s="30" t="s">
        <v>183</v>
      </c>
      <c r="C821" s="39">
        <v>54.25</v>
      </c>
      <c r="D821" s="45">
        <v>1.7984395318595578</v>
      </c>
      <c r="E821" s="54" t="s">
        <v>1387</v>
      </c>
    </row>
    <row r="822" spans="1:5">
      <c r="A822" s="29" t="s">
        <v>581</v>
      </c>
      <c r="B822" s="30" t="s">
        <v>183</v>
      </c>
      <c r="C822" s="39">
        <v>69.08</v>
      </c>
      <c r="D822" s="45">
        <v>1.0164035902197461</v>
      </c>
      <c r="E822" s="54" t="s">
        <v>1387</v>
      </c>
    </row>
    <row r="823" spans="1:5">
      <c r="A823" s="29" t="s">
        <v>582</v>
      </c>
      <c r="B823" s="30" t="s">
        <v>183</v>
      </c>
      <c r="C823" s="39">
        <v>25.56</v>
      </c>
      <c r="D823" s="45">
        <v>1.6238532110091743</v>
      </c>
      <c r="E823" s="54" t="s">
        <v>1387</v>
      </c>
    </row>
    <row r="824" spans="1:5">
      <c r="A824" s="29" t="s">
        <v>583</v>
      </c>
      <c r="B824" s="30" t="s">
        <v>183</v>
      </c>
      <c r="C824" s="39">
        <v>84.13</v>
      </c>
      <c r="D824" s="45">
        <v>0.67758253461128859</v>
      </c>
      <c r="E824" s="54" t="s">
        <v>1387</v>
      </c>
    </row>
    <row r="825" spans="1:5">
      <c r="A825" s="29" t="s">
        <v>584</v>
      </c>
      <c r="B825" s="30" t="s">
        <v>183</v>
      </c>
      <c r="C825" s="39">
        <v>59.41</v>
      </c>
      <c r="D825" s="45">
        <v>1.6868365180467089</v>
      </c>
      <c r="E825" s="54" t="s">
        <v>1387</v>
      </c>
    </row>
    <row r="826" spans="1:5">
      <c r="A826" s="29" t="s">
        <v>585</v>
      </c>
      <c r="B826" s="30" t="s">
        <v>183</v>
      </c>
      <c r="C826" s="39">
        <v>29.259999999999998</v>
      </c>
      <c r="D826" s="45">
        <v>29.098445595854923</v>
      </c>
      <c r="E826" s="54" t="s">
        <v>1387</v>
      </c>
    </row>
    <row r="827" spans="1:5">
      <c r="A827" s="29" t="s">
        <v>586</v>
      </c>
      <c r="B827" s="30" t="s">
        <v>183</v>
      </c>
      <c r="C827" s="39">
        <v>66.259999999999991</v>
      </c>
      <c r="D827" s="45">
        <v>25.40524781341108</v>
      </c>
      <c r="E827" s="54" t="s">
        <v>1387</v>
      </c>
    </row>
    <row r="828" spans="1:5">
      <c r="A828" s="29" t="s">
        <v>587</v>
      </c>
      <c r="B828" s="30" t="s">
        <v>183</v>
      </c>
      <c r="C828" s="39">
        <v>4.9809999999999999</v>
      </c>
      <c r="D828" s="45">
        <v>15.704387990762125</v>
      </c>
      <c r="E828" s="54" t="s">
        <v>1387</v>
      </c>
    </row>
    <row r="829" spans="1:5">
      <c r="A829" s="29" t="s">
        <v>588</v>
      </c>
      <c r="B829" s="30" t="s">
        <v>183</v>
      </c>
      <c r="C829" s="39">
        <v>43.44</v>
      </c>
      <c r="D829" s="45">
        <v>24.507042253521124</v>
      </c>
      <c r="E829" s="54" t="s">
        <v>1387</v>
      </c>
    </row>
    <row r="830" spans="1:5">
      <c r="A830" s="29" t="s">
        <v>589</v>
      </c>
      <c r="B830" s="30" t="s">
        <v>183</v>
      </c>
      <c r="C830" s="39">
        <v>33.200000000000003</v>
      </c>
      <c r="D830" s="45">
        <v>22.39385727190605</v>
      </c>
      <c r="E830" s="54" t="s">
        <v>1387</v>
      </c>
    </row>
    <row r="831" spans="1:5">
      <c r="A831" s="29" t="s">
        <v>590</v>
      </c>
      <c r="B831" s="30" t="s">
        <v>183</v>
      </c>
      <c r="C831" s="39">
        <v>14.878999999999998</v>
      </c>
      <c r="D831" s="45">
        <v>34.628099173553721</v>
      </c>
      <c r="E831" s="54" t="s">
        <v>1387</v>
      </c>
    </row>
    <row r="832" spans="1:5">
      <c r="A832" s="29" t="s">
        <v>591</v>
      </c>
      <c r="B832" s="30" t="s">
        <v>183</v>
      </c>
      <c r="C832" s="39">
        <v>11.233999999999998</v>
      </c>
      <c r="D832" s="45">
        <v>19.178743961352659</v>
      </c>
      <c r="E832" s="54" t="s">
        <v>1387</v>
      </c>
    </row>
    <row r="833" spans="1:5">
      <c r="A833" s="29" t="s">
        <v>592</v>
      </c>
      <c r="B833" s="30" t="s">
        <v>183</v>
      </c>
      <c r="C833" s="39">
        <v>33.489999999999995</v>
      </c>
      <c r="D833" s="45">
        <v>26.25</v>
      </c>
      <c r="E833" s="54" t="s">
        <v>1387</v>
      </c>
    </row>
    <row r="834" spans="1:5">
      <c r="A834" s="29" t="s">
        <v>593</v>
      </c>
      <c r="B834" s="30" t="s">
        <v>183</v>
      </c>
      <c r="C834" s="39">
        <v>51.43</v>
      </c>
      <c r="D834" s="45">
        <v>28.684907325684026</v>
      </c>
      <c r="E834" s="54" t="s">
        <v>1387</v>
      </c>
    </row>
    <row r="835" spans="1:5">
      <c r="A835" s="29" t="s">
        <v>594</v>
      </c>
      <c r="B835" s="30" t="s">
        <v>183</v>
      </c>
      <c r="C835" s="39">
        <v>9.6530000000000005</v>
      </c>
      <c r="D835" s="45">
        <v>28.699029126213592</v>
      </c>
      <c r="E835" s="54" t="s">
        <v>1387</v>
      </c>
    </row>
    <row r="836" spans="1:5">
      <c r="A836" s="29" t="s">
        <v>595</v>
      </c>
      <c r="B836" s="30" t="s">
        <v>183</v>
      </c>
      <c r="C836" s="39">
        <v>6.1959999999999997</v>
      </c>
      <c r="D836" s="45">
        <v>24.390809932699</v>
      </c>
      <c r="E836" s="54" t="s">
        <v>1387</v>
      </c>
    </row>
    <row r="837" spans="1:5">
      <c r="A837" s="29" t="s">
        <v>596</v>
      </c>
      <c r="B837" s="30" t="s">
        <v>183</v>
      </c>
      <c r="C837" s="39">
        <v>79.53</v>
      </c>
      <c r="D837" s="45">
        <v>16.774004683840747</v>
      </c>
      <c r="E837" s="54" t="s">
        <v>1387</v>
      </c>
    </row>
    <row r="838" spans="1:5">
      <c r="A838" s="29" t="s">
        <v>597</v>
      </c>
      <c r="B838" s="30" t="s">
        <v>183</v>
      </c>
      <c r="C838" s="39">
        <v>26.38</v>
      </c>
      <c r="D838" s="45">
        <v>31.362196409714887</v>
      </c>
      <c r="E838" s="54" t="s">
        <v>1387</v>
      </c>
    </row>
    <row r="839" spans="1:5">
      <c r="A839" s="29" t="s">
        <v>598</v>
      </c>
      <c r="B839" s="30" t="s">
        <v>183</v>
      </c>
      <c r="C839" s="39">
        <v>54.540000000000006</v>
      </c>
      <c r="D839" s="45">
        <v>28.881900768693221</v>
      </c>
      <c r="E839" s="54" t="s">
        <v>1387</v>
      </c>
    </row>
    <row r="840" spans="1:5">
      <c r="A840" s="29" t="s">
        <v>599</v>
      </c>
      <c r="B840" s="30" t="s">
        <v>183</v>
      </c>
      <c r="C840" s="39">
        <v>37.195</v>
      </c>
      <c r="D840" s="45">
        <v>29.810344827586206</v>
      </c>
      <c r="E840" s="54" t="s">
        <v>1387</v>
      </c>
    </row>
    <row r="841" spans="1:5">
      <c r="A841" s="29" t="s">
        <v>600</v>
      </c>
      <c r="B841" s="30" t="s">
        <v>183</v>
      </c>
      <c r="C841" s="39">
        <v>826.7</v>
      </c>
      <c r="D841" s="45">
        <v>9.9166666666666661</v>
      </c>
      <c r="E841" s="54" t="s">
        <v>1387</v>
      </c>
    </row>
    <row r="842" spans="1:5">
      <c r="A842" s="29" t="s">
        <v>601</v>
      </c>
      <c r="B842" s="30" t="s">
        <v>183</v>
      </c>
      <c r="C842" s="39">
        <v>91.77000000000001</v>
      </c>
      <c r="D842" s="45">
        <v>20.225022502250226</v>
      </c>
      <c r="E842" s="54" t="s">
        <v>1387</v>
      </c>
    </row>
    <row r="843" spans="1:5">
      <c r="A843" s="29" t="s">
        <v>602</v>
      </c>
      <c r="B843" s="30" t="s">
        <v>183</v>
      </c>
      <c r="C843" s="39">
        <v>33.25</v>
      </c>
      <c r="D843" s="45">
        <v>33.046632124352328</v>
      </c>
      <c r="E843" s="54" t="s">
        <v>1387</v>
      </c>
    </row>
    <row r="844" spans="1:5">
      <c r="A844" s="29" t="s">
        <v>603</v>
      </c>
      <c r="B844" s="30" t="s">
        <v>183</v>
      </c>
      <c r="C844" s="39">
        <v>22.840000000000003</v>
      </c>
      <c r="D844" s="45">
        <v>28.974739970282318</v>
      </c>
      <c r="E844" s="54" t="s">
        <v>1387</v>
      </c>
    </row>
    <row r="845" spans="1:5">
      <c r="A845" s="29" t="s">
        <v>604</v>
      </c>
      <c r="B845" s="30" t="s">
        <v>183</v>
      </c>
      <c r="C845" s="39">
        <v>8.3390000000000004</v>
      </c>
      <c r="D845" s="45">
        <v>45.977272727272727</v>
      </c>
      <c r="E845" s="54" t="s">
        <v>1387</v>
      </c>
    </row>
    <row r="846" spans="1:5">
      <c r="A846" s="29" t="s">
        <v>605</v>
      </c>
      <c r="B846" s="30" t="s">
        <v>183</v>
      </c>
      <c r="C846" s="39">
        <v>109.41999999999999</v>
      </c>
      <c r="D846" s="45">
        <v>16.121673003802279</v>
      </c>
      <c r="E846" s="54" t="s">
        <v>1387</v>
      </c>
    </row>
    <row r="847" spans="1:5">
      <c r="A847" s="29" t="s">
        <v>606</v>
      </c>
      <c r="B847" s="30" t="s">
        <v>183</v>
      </c>
      <c r="C847" s="39">
        <v>106.4</v>
      </c>
      <c r="D847" s="45">
        <v>10.492957746478874</v>
      </c>
      <c r="E847" s="54" t="s">
        <v>1387</v>
      </c>
    </row>
    <row r="848" spans="1:5">
      <c r="A848" s="9" t="s">
        <v>890</v>
      </c>
      <c r="B848" s="18" t="s">
        <v>183</v>
      </c>
      <c r="C848" s="39">
        <v>4.9960000000000004</v>
      </c>
      <c r="D848" s="45">
        <v>8.2076502732240435</v>
      </c>
      <c r="E848" s="54" t="s">
        <v>1387</v>
      </c>
    </row>
    <row r="849" spans="1:5">
      <c r="A849" s="9" t="s">
        <v>891</v>
      </c>
      <c r="B849" s="18" t="s">
        <v>183</v>
      </c>
      <c r="C849" s="39">
        <v>6.3120000000000003</v>
      </c>
      <c r="D849" s="45">
        <v>22.566666666666666</v>
      </c>
      <c r="E849" s="54" t="s">
        <v>1387</v>
      </c>
    </row>
    <row r="850" spans="1:5">
      <c r="A850" s="9" t="s">
        <v>892</v>
      </c>
      <c r="B850" s="18" t="s">
        <v>183</v>
      </c>
      <c r="C850" s="39">
        <v>11.062000000000001</v>
      </c>
      <c r="D850" s="45">
        <v>8.9315068493150687</v>
      </c>
      <c r="E850" s="54" t="s">
        <v>1387</v>
      </c>
    </row>
    <row r="851" spans="1:5">
      <c r="A851" s="9" t="s">
        <v>893</v>
      </c>
      <c r="B851" s="18" t="s">
        <v>183</v>
      </c>
      <c r="C851" s="39">
        <v>315.89</v>
      </c>
      <c r="D851" s="45">
        <v>0.69497888315344902</v>
      </c>
      <c r="E851" s="54" t="s">
        <v>1387</v>
      </c>
    </row>
    <row r="852" spans="1:5">
      <c r="A852" s="9" t="s">
        <v>894</v>
      </c>
      <c r="B852" s="18" t="s">
        <v>183</v>
      </c>
      <c r="C852" s="39">
        <v>3.3010000000000002</v>
      </c>
      <c r="D852" s="45">
        <v>8.4033613445378137</v>
      </c>
      <c r="E852" s="54" t="s">
        <v>1387</v>
      </c>
    </row>
    <row r="853" spans="1:5">
      <c r="A853" s="9" t="s">
        <v>895</v>
      </c>
      <c r="B853" s="18" t="s">
        <v>183</v>
      </c>
      <c r="C853" s="39">
        <v>3.79</v>
      </c>
      <c r="D853" s="45">
        <v>15.326688815060908</v>
      </c>
      <c r="E853" s="54" t="s">
        <v>1387</v>
      </c>
    </row>
    <row r="854" spans="1:5">
      <c r="A854" s="9" t="s">
        <v>896</v>
      </c>
      <c r="B854" s="18" t="s">
        <v>183</v>
      </c>
      <c r="C854" s="39">
        <v>2.4739999999999998</v>
      </c>
      <c r="D854" s="45">
        <v>8.028282828282828</v>
      </c>
      <c r="E854" s="54" t="s">
        <v>1387</v>
      </c>
    </row>
    <row r="855" spans="1:5">
      <c r="A855" s="9" t="s">
        <v>897</v>
      </c>
      <c r="B855" s="18" t="s">
        <v>183</v>
      </c>
      <c r="C855" s="39">
        <v>2.306</v>
      </c>
      <c r="D855" s="45">
        <v>14.145516074450086</v>
      </c>
      <c r="E855" s="54" t="s">
        <v>1387</v>
      </c>
    </row>
    <row r="856" spans="1:5">
      <c r="A856" s="9" t="s">
        <v>898</v>
      </c>
      <c r="B856" s="18" t="s">
        <v>183</v>
      </c>
      <c r="C856" s="39">
        <v>1.534</v>
      </c>
      <c r="D856" s="45">
        <v>6.5538793103448283</v>
      </c>
      <c r="E856" s="54" t="s">
        <v>1387</v>
      </c>
    </row>
    <row r="857" spans="1:5">
      <c r="A857" s="9" t="s">
        <v>899</v>
      </c>
      <c r="B857" s="18" t="s">
        <v>183</v>
      </c>
      <c r="C857" s="39">
        <v>11.869</v>
      </c>
      <c r="D857" s="45">
        <v>9.895104895104895</v>
      </c>
      <c r="E857" s="54" t="s">
        <v>1387</v>
      </c>
    </row>
    <row r="858" spans="1:5">
      <c r="A858" s="9" t="s">
        <v>900</v>
      </c>
      <c r="B858" s="18" t="s">
        <v>183</v>
      </c>
      <c r="C858" s="39">
        <v>0.83400000000000007</v>
      </c>
      <c r="D858" s="45">
        <v>9.1155555555555559</v>
      </c>
      <c r="E858" s="54" t="s">
        <v>1387</v>
      </c>
    </row>
    <row r="859" spans="1:5">
      <c r="A859" s="9" t="s">
        <v>901</v>
      </c>
      <c r="B859" s="18" t="s">
        <v>183</v>
      </c>
      <c r="C859" s="39">
        <v>34.17</v>
      </c>
      <c r="D859" s="45">
        <v>32.796934865900383</v>
      </c>
      <c r="E859" s="54" t="s">
        <v>1387</v>
      </c>
    </row>
    <row r="860" spans="1:5">
      <c r="A860" s="9" t="s">
        <v>902</v>
      </c>
      <c r="B860" s="18" t="s">
        <v>183</v>
      </c>
      <c r="C860" s="39">
        <v>5.42</v>
      </c>
      <c r="D860" s="45">
        <v>15.090909090909092</v>
      </c>
      <c r="E860" s="54" t="s">
        <v>1387</v>
      </c>
    </row>
    <row r="861" spans="1:5">
      <c r="A861" s="9" t="s">
        <v>903</v>
      </c>
      <c r="B861" s="18" t="s">
        <v>183</v>
      </c>
      <c r="C861" s="39">
        <v>11.93</v>
      </c>
      <c r="D861" s="45">
        <v>11</v>
      </c>
      <c r="E861" s="54" t="s">
        <v>1387</v>
      </c>
    </row>
    <row r="862" spans="1:5">
      <c r="A862" s="9" t="s">
        <v>904</v>
      </c>
      <c r="B862" s="18" t="s">
        <v>183</v>
      </c>
      <c r="C862" s="39">
        <v>2.5259999999999998</v>
      </c>
      <c r="D862" s="45">
        <v>10.600808781051416</v>
      </c>
      <c r="E862" s="54" t="s">
        <v>1387</v>
      </c>
    </row>
    <row r="863" spans="1:5">
      <c r="A863" s="9" t="s">
        <v>905</v>
      </c>
      <c r="B863" s="18" t="s">
        <v>183</v>
      </c>
      <c r="C863" s="39">
        <v>23.200000000000003</v>
      </c>
      <c r="D863" s="45">
        <v>7.1052631578947372</v>
      </c>
      <c r="E863" s="54" t="s">
        <v>1387</v>
      </c>
    </row>
    <row r="864" spans="1:5">
      <c r="A864" s="9" t="s">
        <v>906</v>
      </c>
      <c r="B864" s="18" t="s">
        <v>183</v>
      </c>
      <c r="C864" s="39">
        <v>1.4849999999999999</v>
      </c>
      <c r="D864" s="45">
        <v>5.7106796116504857</v>
      </c>
      <c r="E864" s="54" t="s">
        <v>1387</v>
      </c>
    </row>
    <row r="865" spans="1:5">
      <c r="A865" s="9" t="s">
        <v>907</v>
      </c>
      <c r="B865" s="18" t="s">
        <v>183</v>
      </c>
      <c r="C865" s="39">
        <v>3.1070000000000002</v>
      </c>
      <c r="D865" s="45">
        <v>7.5860310986489941</v>
      </c>
      <c r="E865" s="54" t="s">
        <v>1387</v>
      </c>
    </row>
    <row r="866" spans="1:5">
      <c r="A866" s="9" t="s">
        <v>908</v>
      </c>
      <c r="B866" s="18" t="s">
        <v>183</v>
      </c>
      <c r="C866" s="39">
        <v>9</v>
      </c>
      <c r="D866" s="45">
        <v>7.4724517906336096</v>
      </c>
      <c r="E866" s="54" t="s">
        <v>1387</v>
      </c>
    </row>
    <row r="867" spans="1:5">
      <c r="A867" s="9" t="s">
        <v>909</v>
      </c>
      <c r="B867" s="18" t="s">
        <v>183</v>
      </c>
      <c r="C867" s="39">
        <v>18.259999999999998</v>
      </c>
      <c r="D867" s="45">
        <v>15.772058823529413</v>
      </c>
      <c r="E867" s="54" t="s">
        <v>1387</v>
      </c>
    </row>
    <row r="868" spans="1:5">
      <c r="A868" s="9" t="s">
        <v>910</v>
      </c>
      <c r="B868" s="18" t="s">
        <v>183</v>
      </c>
      <c r="C868" s="39">
        <v>20.86</v>
      </c>
      <c r="D868" s="45">
        <v>14.198473282442748</v>
      </c>
      <c r="E868" s="54" t="s">
        <v>1387</v>
      </c>
    </row>
    <row r="869" spans="1:5">
      <c r="A869" s="9" t="s">
        <v>911</v>
      </c>
      <c r="B869" s="18" t="s">
        <v>183</v>
      </c>
      <c r="C869" s="39">
        <v>3.2770000000000001</v>
      </c>
      <c r="D869" s="45">
        <v>9.2126514131897714</v>
      </c>
      <c r="E869" s="54" t="s">
        <v>1387</v>
      </c>
    </row>
    <row r="870" spans="1:5">
      <c r="A870" s="9" t="s">
        <v>912</v>
      </c>
      <c r="B870" s="18" t="s">
        <v>183</v>
      </c>
      <c r="C870" s="39">
        <v>324.3</v>
      </c>
      <c r="D870" s="45">
        <v>2.3029439696106362</v>
      </c>
      <c r="E870" s="54" t="s">
        <v>1387</v>
      </c>
    </row>
    <row r="871" spans="1:5">
      <c r="A871" s="9" t="s">
        <v>913</v>
      </c>
      <c r="B871" s="18" t="s">
        <v>183</v>
      </c>
      <c r="C871" s="39">
        <v>280.68</v>
      </c>
      <c r="D871" s="45">
        <v>0.90336967294350845</v>
      </c>
      <c r="E871" s="54" t="s">
        <v>1387</v>
      </c>
    </row>
    <row r="872" spans="1:5">
      <c r="A872" s="9" t="s">
        <v>914</v>
      </c>
      <c r="B872" s="18" t="s">
        <v>183</v>
      </c>
      <c r="C872" s="39">
        <v>349.4</v>
      </c>
      <c r="D872" s="45">
        <v>1.2900302114803626</v>
      </c>
      <c r="E872" s="54" t="s">
        <v>1387</v>
      </c>
    </row>
    <row r="873" spans="1:5">
      <c r="A873" s="9" t="s">
        <v>915</v>
      </c>
      <c r="B873" s="18" t="s">
        <v>183</v>
      </c>
      <c r="C873" s="39">
        <v>431.92</v>
      </c>
      <c r="D873" s="45">
        <v>1.2086820083682008</v>
      </c>
      <c r="E873" s="54" t="s">
        <v>1387</v>
      </c>
    </row>
    <row r="874" spans="1:5">
      <c r="A874" s="9" t="s">
        <v>916</v>
      </c>
      <c r="B874" s="18" t="s">
        <v>183</v>
      </c>
      <c r="C874" s="39">
        <v>279.07000000000005</v>
      </c>
      <c r="D874" s="45">
        <v>0.5541353383458647</v>
      </c>
      <c r="E874" s="54" t="s">
        <v>1387</v>
      </c>
    </row>
    <row r="875" spans="1:5">
      <c r="A875" s="9" t="s">
        <v>917</v>
      </c>
      <c r="B875" s="18" t="s">
        <v>183</v>
      </c>
      <c r="C875" s="39">
        <v>381.82</v>
      </c>
      <c r="D875" s="45">
        <v>0.37129300118623965</v>
      </c>
      <c r="E875" s="54" t="s">
        <v>1387</v>
      </c>
    </row>
    <row r="876" spans="1:5">
      <c r="A876" s="9" t="s">
        <v>918</v>
      </c>
      <c r="B876" s="18" t="s">
        <v>183</v>
      </c>
      <c r="C876" s="39">
        <v>404.21</v>
      </c>
      <c r="D876" s="45">
        <v>0.94417077175697872</v>
      </c>
      <c r="E876" s="54" t="s">
        <v>1387</v>
      </c>
    </row>
    <row r="877" spans="1:5">
      <c r="A877" s="9" t="s">
        <v>919</v>
      </c>
      <c r="B877" s="18" t="s">
        <v>183</v>
      </c>
      <c r="C877" s="39">
        <v>367.32</v>
      </c>
      <c r="D877" s="45">
        <v>0.23059051306873185</v>
      </c>
      <c r="E877" s="54" t="s">
        <v>1387</v>
      </c>
    </row>
    <row r="878" spans="1:5">
      <c r="A878" s="9" t="s">
        <v>920</v>
      </c>
      <c r="B878" s="18" t="s">
        <v>183</v>
      </c>
      <c r="C878" s="39">
        <v>278.04000000000002</v>
      </c>
      <c r="D878" s="45">
        <v>1.985967503692762</v>
      </c>
      <c r="E878" s="54" t="s">
        <v>1387</v>
      </c>
    </row>
    <row r="879" spans="1:5">
      <c r="A879" s="9" t="s">
        <v>921</v>
      </c>
      <c r="B879" s="18" t="s">
        <v>183</v>
      </c>
      <c r="C879" s="39">
        <v>337.25</v>
      </c>
      <c r="D879" s="45">
        <v>0.64200477326968974</v>
      </c>
      <c r="E879" s="54" t="s">
        <v>1387</v>
      </c>
    </row>
    <row r="880" spans="1:5">
      <c r="A880" s="9" t="s">
        <v>922</v>
      </c>
      <c r="B880" s="18" t="s">
        <v>183</v>
      </c>
      <c r="C880" s="39">
        <v>138.87</v>
      </c>
      <c r="D880" s="45">
        <v>0.97953615279672579</v>
      </c>
      <c r="E880" s="54" t="s">
        <v>1387</v>
      </c>
    </row>
    <row r="881" spans="1:5">
      <c r="A881" s="9" t="s">
        <v>923</v>
      </c>
      <c r="B881" s="18" t="s">
        <v>183</v>
      </c>
      <c r="C881" s="39">
        <v>274.64999999999998</v>
      </c>
      <c r="D881" s="45">
        <v>0.45658263305322128</v>
      </c>
      <c r="E881" s="54" t="s">
        <v>1387</v>
      </c>
    </row>
    <row r="882" spans="1:5">
      <c r="A882" s="9" t="s">
        <v>924</v>
      </c>
      <c r="B882" s="18" t="s">
        <v>183</v>
      </c>
      <c r="C882" s="39">
        <v>388.33000000000004</v>
      </c>
      <c r="D882" s="45">
        <v>0.48948159278737796</v>
      </c>
      <c r="E882" s="54" t="s">
        <v>1387</v>
      </c>
    </row>
    <row r="883" spans="1:5">
      <c r="A883" s="9" t="s">
        <v>925</v>
      </c>
      <c r="B883" s="18" t="s">
        <v>183</v>
      </c>
      <c r="C883" s="39">
        <v>322.56</v>
      </c>
      <c r="D883" s="45">
        <v>0.88703626511046274</v>
      </c>
      <c r="E883" s="54" t="s">
        <v>1387</v>
      </c>
    </row>
    <row r="884" spans="1:5">
      <c r="A884" s="9" t="s">
        <v>926</v>
      </c>
      <c r="B884" s="18" t="s">
        <v>183</v>
      </c>
      <c r="C884" s="39">
        <v>305.61</v>
      </c>
      <c r="D884" s="45">
        <v>1.030316949931098</v>
      </c>
      <c r="E884" s="54" t="s">
        <v>1387</v>
      </c>
    </row>
    <row r="885" spans="1:5">
      <c r="A885" s="9" t="s">
        <v>927</v>
      </c>
      <c r="B885" s="18" t="s">
        <v>183</v>
      </c>
      <c r="C885" s="39">
        <v>372.39</v>
      </c>
      <c r="D885" s="45">
        <v>0.99657701711491453</v>
      </c>
      <c r="E885" s="54" t="s">
        <v>1387</v>
      </c>
    </row>
    <row r="886" spans="1:5">
      <c r="A886" s="9" t="s">
        <v>928</v>
      </c>
      <c r="B886" s="18" t="s">
        <v>183</v>
      </c>
      <c r="C886" s="39">
        <v>425.11</v>
      </c>
      <c r="D886" s="45">
        <v>2.8705161854768155</v>
      </c>
      <c r="E886" s="54" t="s">
        <v>1387</v>
      </c>
    </row>
    <row r="887" spans="1:5">
      <c r="A887" s="9" t="s">
        <v>929</v>
      </c>
      <c r="B887" s="18" t="s">
        <v>183</v>
      </c>
      <c r="C887" s="39">
        <v>359.18</v>
      </c>
      <c r="D887" s="45">
        <v>0.97709463532248331</v>
      </c>
      <c r="E887" s="54" t="s">
        <v>1387</v>
      </c>
    </row>
    <row r="888" spans="1:5">
      <c r="A888" s="9" t="s">
        <v>930</v>
      </c>
      <c r="B888" s="18" t="s">
        <v>183</v>
      </c>
      <c r="C888" s="39">
        <v>342.52</v>
      </c>
      <c r="D888" s="45">
        <v>1.3043224299065421</v>
      </c>
      <c r="E888" s="54" t="s">
        <v>1387</v>
      </c>
    </row>
    <row r="889" spans="1:5">
      <c r="A889" s="9" t="s">
        <v>931</v>
      </c>
      <c r="B889" s="18" t="s">
        <v>183</v>
      </c>
      <c r="C889" s="39">
        <v>287.19</v>
      </c>
      <c r="D889" s="45">
        <v>0.80199904807234657</v>
      </c>
      <c r="E889" s="54" t="s">
        <v>1387</v>
      </c>
    </row>
    <row r="890" spans="1:5">
      <c r="A890" s="9" t="s">
        <v>932</v>
      </c>
      <c r="B890" s="18" t="s">
        <v>183</v>
      </c>
      <c r="C890" s="39">
        <v>305.27999999999997</v>
      </c>
      <c r="D890" s="45">
        <v>1.0382244143033292</v>
      </c>
      <c r="E890" s="54" t="s">
        <v>1387</v>
      </c>
    </row>
    <row r="891" spans="1:5">
      <c r="A891" s="9" t="s">
        <v>933</v>
      </c>
      <c r="B891" s="18" t="s">
        <v>183</v>
      </c>
      <c r="C891" s="39">
        <v>259.77</v>
      </c>
      <c r="D891" s="45">
        <v>0.63776856388993586</v>
      </c>
      <c r="E891" s="54" t="s">
        <v>1387</v>
      </c>
    </row>
    <row r="892" spans="1:5">
      <c r="A892" s="9" t="s">
        <v>934</v>
      </c>
      <c r="B892" s="18" t="s">
        <v>183</v>
      </c>
      <c r="C892" s="39">
        <v>362.18</v>
      </c>
      <c r="D892" s="45">
        <v>0.54192439862542952</v>
      </c>
      <c r="E892" s="54" t="s">
        <v>1387</v>
      </c>
    </row>
    <row r="893" spans="1:5">
      <c r="A893" s="9" t="s">
        <v>935</v>
      </c>
      <c r="B893" s="18" t="s">
        <v>183</v>
      </c>
      <c r="C893" s="39">
        <v>458.4</v>
      </c>
      <c r="D893" s="45">
        <v>1.4120628484541309</v>
      </c>
      <c r="E893" s="54" t="s">
        <v>1387</v>
      </c>
    </row>
    <row r="894" spans="1:5">
      <c r="A894" s="9" t="s">
        <v>936</v>
      </c>
      <c r="B894" s="18" t="s">
        <v>183</v>
      </c>
      <c r="C894" s="39">
        <v>291.96000000000004</v>
      </c>
      <c r="D894" s="45">
        <v>1.346177370030581</v>
      </c>
      <c r="E894" s="54" t="s">
        <v>1387</v>
      </c>
    </row>
    <row r="895" spans="1:5">
      <c r="A895" s="9" t="s">
        <v>937</v>
      </c>
      <c r="B895" s="18" t="s">
        <v>183</v>
      </c>
      <c r="C895" s="39">
        <v>485.24</v>
      </c>
      <c r="D895" s="45">
        <v>0.51390922401171302</v>
      </c>
      <c r="E895" s="54" t="s">
        <v>1387</v>
      </c>
    </row>
    <row r="896" spans="1:5">
      <c r="A896" s="9" t="s">
        <v>938</v>
      </c>
      <c r="B896" s="18" t="s">
        <v>183</v>
      </c>
      <c r="C896" s="39">
        <v>2.98</v>
      </c>
      <c r="D896" s="45">
        <v>66.037924151696615</v>
      </c>
      <c r="E896" s="54" t="s">
        <v>1387</v>
      </c>
    </row>
    <row r="897" spans="1:5">
      <c r="A897" s="9" t="s">
        <v>939</v>
      </c>
      <c r="B897" s="18" t="s">
        <v>183</v>
      </c>
      <c r="C897" s="39">
        <v>11.78</v>
      </c>
      <c r="D897" s="45">
        <v>31.127348643006265</v>
      </c>
      <c r="E897" s="54" t="s">
        <v>1387</v>
      </c>
    </row>
    <row r="898" spans="1:5">
      <c r="A898" s="9" t="s">
        <v>940</v>
      </c>
      <c r="B898" s="18" t="s">
        <v>183</v>
      </c>
      <c r="C898" s="39">
        <v>7.391</v>
      </c>
      <c r="D898" s="45">
        <v>14.041353383458645</v>
      </c>
      <c r="E898" s="54" t="s">
        <v>1387</v>
      </c>
    </row>
    <row r="899" spans="1:5">
      <c r="A899" s="9" t="s">
        <v>941</v>
      </c>
      <c r="B899" s="18" t="s">
        <v>183</v>
      </c>
      <c r="C899" s="39">
        <v>12.185</v>
      </c>
      <c r="D899" s="45">
        <v>17.921455938697317</v>
      </c>
      <c r="E899" s="54" t="s">
        <v>1387</v>
      </c>
    </row>
    <row r="900" spans="1:5">
      <c r="A900" s="9" t="s">
        <v>942</v>
      </c>
      <c r="B900" s="18" t="s">
        <v>183</v>
      </c>
      <c r="C900" s="39">
        <v>22.908999999999999</v>
      </c>
      <c r="D900" s="45">
        <v>11.366459627329194</v>
      </c>
      <c r="E900" s="54" t="s">
        <v>1387</v>
      </c>
    </row>
    <row r="901" spans="1:5">
      <c r="A901" s="9" t="s">
        <v>943</v>
      </c>
      <c r="B901" s="18" t="s">
        <v>183</v>
      </c>
      <c r="C901" s="39">
        <v>18.466999999999999</v>
      </c>
      <c r="D901" s="45">
        <v>10.783195020746888</v>
      </c>
      <c r="E901" s="54" t="s">
        <v>1387</v>
      </c>
    </row>
    <row r="902" spans="1:5">
      <c r="A902" s="9" t="s">
        <v>944</v>
      </c>
      <c r="B902" s="18" t="s">
        <v>183</v>
      </c>
      <c r="C902" s="39">
        <v>1.0249999999999999</v>
      </c>
      <c r="D902" s="45">
        <v>47.8459778879146</v>
      </c>
      <c r="E902" s="54" t="s">
        <v>1387</v>
      </c>
    </row>
    <row r="903" spans="1:5">
      <c r="A903" s="9" t="s">
        <v>945</v>
      </c>
      <c r="B903" s="18" t="s">
        <v>183</v>
      </c>
      <c r="C903" s="39">
        <v>3.6020000000000003</v>
      </c>
      <c r="D903" s="45">
        <v>32.341576506955178</v>
      </c>
      <c r="E903" s="54" t="s">
        <v>1387</v>
      </c>
    </row>
    <row r="904" spans="1:5">
      <c r="A904" s="9" t="s">
        <v>946</v>
      </c>
      <c r="B904" s="18" t="s">
        <v>183</v>
      </c>
      <c r="C904" s="39">
        <v>1.7749999999999999</v>
      </c>
      <c r="D904" s="45">
        <v>44.891532540237932</v>
      </c>
      <c r="E904" s="54" t="s">
        <v>1387</v>
      </c>
    </row>
    <row r="905" spans="1:5">
      <c r="A905" s="9" t="s">
        <v>947</v>
      </c>
      <c r="B905" s="18" t="s">
        <v>183</v>
      </c>
      <c r="C905" s="39">
        <v>7.0920000000000005</v>
      </c>
      <c r="D905" s="45">
        <v>33.626679018063918</v>
      </c>
      <c r="E905" s="54" t="s">
        <v>1387</v>
      </c>
    </row>
    <row r="906" spans="1:5">
      <c r="A906" s="9" t="s">
        <v>948</v>
      </c>
      <c r="B906" s="18" t="s">
        <v>183</v>
      </c>
      <c r="C906" s="39">
        <v>17.09</v>
      </c>
      <c r="D906" s="45">
        <v>8.1270744428639166</v>
      </c>
      <c r="E906" s="54" t="s">
        <v>1387</v>
      </c>
    </row>
    <row r="907" spans="1:5">
      <c r="A907" s="9" t="s">
        <v>949</v>
      </c>
      <c r="B907" s="18" t="s">
        <v>183</v>
      </c>
      <c r="C907" s="39">
        <v>13.706000000000001</v>
      </c>
      <c r="D907" s="45">
        <v>7.4547697368421053</v>
      </c>
      <c r="E907" s="54" t="s">
        <v>1387</v>
      </c>
    </row>
    <row r="908" spans="1:5">
      <c r="A908" s="9" t="s">
        <v>950</v>
      </c>
      <c r="B908" s="18" t="s">
        <v>183</v>
      </c>
      <c r="C908" s="39">
        <v>2.024</v>
      </c>
      <c r="D908" s="45">
        <v>28.200757575757578</v>
      </c>
      <c r="E908" s="54" t="s">
        <v>1387</v>
      </c>
    </row>
    <row r="909" spans="1:5">
      <c r="A909" s="9" t="s">
        <v>43</v>
      </c>
      <c r="B909" s="17" t="s">
        <v>45</v>
      </c>
      <c r="C909" s="39">
        <v>3198</v>
      </c>
      <c r="D909" s="45">
        <v>1.7658193618171985E-2</v>
      </c>
      <c r="E909" s="54" t="s">
        <v>1387</v>
      </c>
    </row>
    <row r="910" spans="1:5">
      <c r="A910" s="9" t="s">
        <v>47</v>
      </c>
      <c r="B910" s="17" t="s">
        <v>45</v>
      </c>
      <c r="C910" s="39">
        <v>4805</v>
      </c>
      <c r="D910" s="45">
        <v>1.1090867683898884E-2</v>
      </c>
      <c r="E910" s="54" t="s">
        <v>1387</v>
      </c>
    </row>
    <row r="911" spans="1:5">
      <c r="A911" s="9" t="s">
        <v>1342</v>
      </c>
      <c r="B911" s="17" t="s">
        <v>45</v>
      </c>
      <c r="C911" s="39">
        <v>2916</v>
      </c>
      <c r="D911" s="45">
        <v>1.4798339264531436E-2</v>
      </c>
      <c r="E911" s="54" t="s">
        <v>1387</v>
      </c>
    </row>
    <row r="912" spans="1:5">
      <c r="A912" s="9" t="s">
        <v>1343</v>
      </c>
      <c r="B912" s="17" t="s">
        <v>45</v>
      </c>
      <c r="C912" s="39">
        <v>2738</v>
      </c>
      <c r="D912" s="45">
        <v>1.630843632455669E-2</v>
      </c>
      <c r="E912" s="54" t="s">
        <v>1387</v>
      </c>
    </row>
    <row r="913" spans="1:5">
      <c r="A913" s="9" t="s">
        <v>48</v>
      </c>
      <c r="B913" s="17" t="s">
        <v>45</v>
      </c>
      <c r="C913" s="39">
        <v>4481</v>
      </c>
      <c r="D913" s="45">
        <v>8.8781575037147099E-3</v>
      </c>
      <c r="E913" s="54" t="s">
        <v>1387</v>
      </c>
    </row>
    <row r="914" spans="1:5">
      <c r="A914" s="9" t="s">
        <v>49</v>
      </c>
      <c r="B914" s="17" t="s">
        <v>45</v>
      </c>
      <c r="C914" s="39">
        <v>4342</v>
      </c>
      <c r="D914" s="45">
        <v>4.6702376966856378E-3</v>
      </c>
      <c r="E914" s="54" t="s">
        <v>1387</v>
      </c>
    </row>
    <row r="915" spans="1:5">
      <c r="A915" s="9" t="s">
        <v>50</v>
      </c>
      <c r="B915" s="17" t="s">
        <v>45</v>
      </c>
      <c r="C915" s="39">
        <v>4291</v>
      </c>
      <c r="D915" s="45">
        <v>4.3836907848220606E-3</v>
      </c>
      <c r="E915" s="54" t="s">
        <v>1387</v>
      </c>
    </row>
    <row r="916" spans="1:5">
      <c r="A916" s="9" t="s">
        <v>60</v>
      </c>
      <c r="B916" s="17" t="s">
        <v>45</v>
      </c>
      <c r="C916" s="39">
        <v>999.4</v>
      </c>
      <c r="D916" s="45">
        <v>1.3685817904180187E-2</v>
      </c>
      <c r="E916" s="54" t="s">
        <v>1387</v>
      </c>
    </row>
    <row r="917" spans="1:5">
      <c r="A917" s="9" t="s">
        <v>62</v>
      </c>
      <c r="B917" s="17" t="s">
        <v>45</v>
      </c>
      <c r="C917" s="39">
        <v>2894</v>
      </c>
      <c r="D917" s="45">
        <v>2.1877963958267469E-2</v>
      </c>
      <c r="E917" s="54" t="s">
        <v>1387</v>
      </c>
    </row>
    <row r="918" spans="1:5">
      <c r="A918" s="9" t="s">
        <v>63</v>
      </c>
      <c r="B918" s="17" t="s">
        <v>45</v>
      </c>
      <c r="C918" s="39">
        <v>2174</v>
      </c>
      <c r="D918" s="45">
        <v>2.2355460385438973E-2</v>
      </c>
      <c r="E918" s="54" t="s">
        <v>1387</v>
      </c>
    </row>
    <row r="919" spans="1:5">
      <c r="A919" s="9" t="s">
        <v>64</v>
      </c>
      <c r="B919" s="17" t="s">
        <v>45</v>
      </c>
      <c r="C919" s="39">
        <v>5239</v>
      </c>
      <c r="D919" s="45">
        <v>9.3759898637947418E-3</v>
      </c>
      <c r="E919" s="54" t="s">
        <v>1387</v>
      </c>
    </row>
    <row r="920" spans="1:5">
      <c r="A920" s="9" t="s">
        <v>65</v>
      </c>
      <c r="B920" s="17" t="s">
        <v>45</v>
      </c>
      <c r="C920" s="39">
        <v>13011</v>
      </c>
      <c r="D920" s="45">
        <v>8.3274021352313168E-2</v>
      </c>
      <c r="E920" s="54" t="s">
        <v>1387</v>
      </c>
    </row>
    <row r="921" spans="1:5">
      <c r="A921" s="9" t="s">
        <v>66</v>
      </c>
      <c r="B921" s="17" t="s">
        <v>45</v>
      </c>
      <c r="C921" s="39">
        <v>9184</v>
      </c>
      <c r="D921" s="45">
        <v>2.2622820919175911E-2</v>
      </c>
      <c r="E921" s="54" t="s">
        <v>1387</v>
      </c>
    </row>
    <row r="922" spans="1:5">
      <c r="A922" s="9" t="s">
        <v>67</v>
      </c>
      <c r="B922" s="17" t="s">
        <v>45</v>
      </c>
      <c r="C922" s="39">
        <v>3077</v>
      </c>
      <c r="D922" s="45">
        <v>0.14188034188034188</v>
      </c>
      <c r="E922" s="54" t="s">
        <v>1387</v>
      </c>
    </row>
    <row r="923" spans="1:5">
      <c r="A923" s="9" t="s">
        <v>68</v>
      </c>
      <c r="B923" s="17" t="s">
        <v>45</v>
      </c>
      <c r="C923" s="39">
        <v>5517</v>
      </c>
      <c r="D923" s="45">
        <v>3.0025736345438949E-2</v>
      </c>
      <c r="E923" s="54" t="s">
        <v>1387</v>
      </c>
    </row>
    <row r="924" spans="1:5">
      <c r="A924" s="9" t="s">
        <v>69</v>
      </c>
      <c r="B924" s="17" t="s">
        <v>45</v>
      </c>
      <c r="C924" s="39">
        <v>4156</v>
      </c>
      <c r="D924" s="45">
        <v>2.6822012890431336E-2</v>
      </c>
      <c r="E924" s="54" t="s">
        <v>1387</v>
      </c>
    </row>
    <row r="925" spans="1:5">
      <c r="A925" s="9" t="s">
        <v>118</v>
      </c>
      <c r="B925" s="17" t="s">
        <v>45</v>
      </c>
      <c r="C925" s="39">
        <v>1054</v>
      </c>
      <c r="D925" s="45">
        <v>4.7E-2</v>
      </c>
      <c r="E925" s="54" t="s">
        <v>1387</v>
      </c>
    </row>
    <row r="926" spans="1:5">
      <c r="A926" s="9" t="s">
        <v>119</v>
      </c>
      <c r="B926" s="17" t="s">
        <v>45</v>
      </c>
      <c r="C926" s="39">
        <v>1815</v>
      </c>
      <c r="D926" s="45">
        <v>1.9205298013245033E-2</v>
      </c>
      <c r="E926" s="54" t="s">
        <v>1387</v>
      </c>
    </row>
    <row r="927" spans="1:5">
      <c r="A927" s="9" t="s">
        <v>120</v>
      </c>
      <c r="B927" s="17" t="s">
        <v>45</v>
      </c>
      <c r="C927" s="39">
        <v>6594</v>
      </c>
      <c r="D927" s="45">
        <v>1.4122137404580152E-2</v>
      </c>
      <c r="E927" s="54" t="s">
        <v>1387</v>
      </c>
    </row>
    <row r="928" spans="1:5">
      <c r="A928" s="9" t="s">
        <v>121</v>
      </c>
      <c r="B928" s="17" t="s">
        <v>45</v>
      </c>
      <c r="C928" s="39">
        <v>3430</v>
      </c>
      <c r="D928" s="45">
        <v>4.2909090909090911E-2</v>
      </c>
      <c r="E928" s="54" t="s">
        <v>1387</v>
      </c>
    </row>
    <row r="929" spans="1:5">
      <c r="A929" s="9" t="s">
        <v>122</v>
      </c>
      <c r="B929" s="17" t="s">
        <v>45</v>
      </c>
      <c r="C929" s="39">
        <v>953</v>
      </c>
      <c r="D929" s="45">
        <v>0.1079646017699115</v>
      </c>
      <c r="E929" s="54" t="s">
        <v>1387</v>
      </c>
    </row>
    <row r="930" spans="1:5">
      <c r="A930" s="9" t="s">
        <v>123</v>
      </c>
      <c r="B930" s="17" t="s">
        <v>45</v>
      </c>
      <c r="C930" s="39">
        <v>1198</v>
      </c>
      <c r="D930" s="45">
        <v>5.2258064516129035E-2</v>
      </c>
      <c r="E930" s="54" t="s">
        <v>1387</v>
      </c>
    </row>
    <row r="931" spans="1:5">
      <c r="A931" s="9" t="s">
        <v>124</v>
      </c>
      <c r="B931" s="17" t="s">
        <v>45</v>
      </c>
      <c r="C931" s="39">
        <v>1498</v>
      </c>
      <c r="D931" s="45">
        <v>7.6767676767676762E-2</v>
      </c>
      <c r="E931" s="54" t="s">
        <v>1387</v>
      </c>
    </row>
    <row r="932" spans="1:5">
      <c r="A932" s="9" t="s">
        <v>125</v>
      </c>
      <c r="B932" s="17" t="s">
        <v>45</v>
      </c>
      <c r="C932" s="39">
        <v>1561</v>
      </c>
      <c r="D932" s="45">
        <v>7.483870967741936E-2</v>
      </c>
      <c r="E932" s="54" t="s">
        <v>1387</v>
      </c>
    </row>
    <row r="933" spans="1:5">
      <c r="A933" s="9" t="s">
        <v>126</v>
      </c>
      <c r="B933" s="17" t="s">
        <v>45</v>
      </c>
      <c r="C933" s="39">
        <v>3006</v>
      </c>
      <c r="D933" s="45">
        <v>4.3124999999999997E-2</v>
      </c>
      <c r="E933" s="54" t="s">
        <v>1387</v>
      </c>
    </row>
    <row r="934" spans="1:5">
      <c r="A934" s="9" t="s">
        <v>127</v>
      </c>
      <c r="B934" s="17" t="s">
        <v>45</v>
      </c>
      <c r="C934" s="39">
        <v>1817</v>
      </c>
      <c r="D934" s="45">
        <v>4.1949152542372879E-2</v>
      </c>
      <c r="E934" s="54" t="s">
        <v>1387</v>
      </c>
    </row>
    <row r="935" spans="1:5">
      <c r="A935" s="9" t="s">
        <v>128</v>
      </c>
      <c r="B935" s="17" t="s">
        <v>45</v>
      </c>
      <c r="C935" s="39">
        <v>2053</v>
      </c>
      <c r="D935" s="45">
        <v>5.3418803418803416E-2</v>
      </c>
      <c r="E935" s="54" t="s">
        <v>1387</v>
      </c>
    </row>
    <row r="936" spans="1:5">
      <c r="A936" s="9" t="s">
        <v>129</v>
      </c>
      <c r="B936" s="17" t="s">
        <v>45</v>
      </c>
      <c r="C936" s="39">
        <v>1897</v>
      </c>
      <c r="D936" s="45">
        <v>8.7064676616915429E-2</v>
      </c>
      <c r="E936" s="54" t="s">
        <v>1387</v>
      </c>
    </row>
    <row r="937" spans="1:5">
      <c r="A937" s="9" t="s">
        <v>130</v>
      </c>
      <c r="B937" s="17" t="s">
        <v>45</v>
      </c>
      <c r="C937" s="39">
        <v>1902</v>
      </c>
      <c r="D937" s="45">
        <v>1.2608695652173913E-2</v>
      </c>
      <c r="E937" s="54" t="s">
        <v>1387</v>
      </c>
    </row>
    <row r="938" spans="1:5">
      <c r="A938" s="9" t="s">
        <v>131</v>
      </c>
      <c r="B938" s="17" t="s">
        <v>45</v>
      </c>
      <c r="C938" s="39">
        <v>1552</v>
      </c>
      <c r="D938" s="45">
        <v>6.8269230769230763E-2</v>
      </c>
      <c r="E938" s="54" t="s">
        <v>1387</v>
      </c>
    </row>
    <row r="939" spans="1:5">
      <c r="A939" s="9" t="s">
        <v>132</v>
      </c>
      <c r="B939" s="17" t="s">
        <v>45</v>
      </c>
      <c r="C939" s="39">
        <v>1989</v>
      </c>
      <c r="D939" s="45">
        <v>0.40588235294117647</v>
      </c>
      <c r="E939" s="54" t="s">
        <v>1387</v>
      </c>
    </row>
    <row r="940" spans="1:5">
      <c r="A940" s="9" t="s">
        <v>133</v>
      </c>
      <c r="B940" s="17" t="s">
        <v>45</v>
      </c>
      <c r="C940" s="39">
        <v>1765</v>
      </c>
      <c r="D940" s="45">
        <v>3.7651821862348181E-2</v>
      </c>
      <c r="E940" s="54" t="s">
        <v>1387</v>
      </c>
    </row>
    <row r="941" spans="1:5">
      <c r="A941" s="9" t="s">
        <v>134</v>
      </c>
      <c r="B941" s="17" t="s">
        <v>45</v>
      </c>
      <c r="C941" s="39">
        <v>1916</v>
      </c>
      <c r="D941" s="45">
        <v>8.115384615384616E-2</v>
      </c>
      <c r="E941" s="54" t="s">
        <v>1387</v>
      </c>
    </row>
    <row r="942" spans="1:5">
      <c r="A942" s="9" t="s">
        <v>135</v>
      </c>
      <c r="B942" s="17" t="s">
        <v>45</v>
      </c>
      <c r="C942" s="39">
        <v>1987</v>
      </c>
      <c r="D942" s="45">
        <v>5.2727272727272727E-2</v>
      </c>
      <c r="E942" s="54" t="s">
        <v>1387</v>
      </c>
    </row>
    <row r="943" spans="1:5">
      <c r="A943" s="22" t="s">
        <v>248</v>
      </c>
      <c r="B943" s="24" t="s">
        <v>45</v>
      </c>
      <c r="C943" s="39">
        <v>964.02</v>
      </c>
      <c r="D943" s="45">
        <v>0.13624659308226295</v>
      </c>
      <c r="E943" s="54" t="s">
        <v>1387</v>
      </c>
    </row>
    <row r="944" spans="1:5">
      <c r="A944" s="22" t="s">
        <v>251</v>
      </c>
      <c r="B944" s="24" t="s">
        <v>45</v>
      </c>
      <c r="C944" s="39">
        <v>1301.82</v>
      </c>
      <c r="D944" s="45">
        <v>0.11491360300987927</v>
      </c>
      <c r="E944" s="54" t="s">
        <v>1387</v>
      </c>
    </row>
    <row r="945" spans="1:5">
      <c r="A945" s="25" t="s">
        <v>252</v>
      </c>
      <c r="B945" s="24" t="s">
        <v>45</v>
      </c>
      <c r="C945" s="39">
        <v>1314.87</v>
      </c>
      <c r="D945" s="45">
        <v>0.10698905407613135</v>
      </c>
      <c r="E945" s="54" t="s">
        <v>1387</v>
      </c>
    </row>
    <row r="946" spans="1:5">
      <c r="A946" s="25" t="s">
        <v>253</v>
      </c>
      <c r="B946" s="24" t="s">
        <v>45</v>
      </c>
      <c r="C946" s="39">
        <v>1188.73</v>
      </c>
      <c r="D946" s="45">
        <v>0.12262632764724815</v>
      </c>
      <c r="E946" s="54" t="s">
        <v>1387</v>
      </c>
    </row>
    <row r="947" spans="1:5">
      <c r="A947" s="26" t="s">
        <v>254</v>
      </c>
      <c r="B947" s="24" t="s">
        <v>45</v>
      </c>
      <c r="C947" s="39">
        <v>1383.5300000000002</v>
      </c>
      <c r="D947" s="45">
        <v>0.10954098830507736</v>
      </c>
      <c r="E947" s="54" t="s">
        <v>1387</v>
      </c>
    </row>
    <row r="948" spans="1:5">
      <c r="A948" s="25" t="s">
        <v>255</v>
      </c>
      <c r="B948" s="24" t="s">
        <v>45</v>
      </c>
      <c r="C948" s="39">
        <v>1750.47</v>
      </c>
      <c r="D948" s="45">
        <v>8.0514155035091864E-2</v>
      </c>
      <c r="E948" s="54" t="s">
        <v>1387</v>
      </c>
    </row>
    <row r="949" spans="1:5">
      <c r="A949" s="25" t="s">
        <v>256</v>
      </c>
      <c r="B949" s="24" t="s">
        <v>45</v>
      </c>
      <c r="C949" s="39">
        <v>2075.58</v>
      </c>
      <c r="D949" s="45">
        <v>7.5350839569813158E-2</v>
      </c>
      <c r="E949" s="54" t="s">
        <v>1387</v>
      </c>
    </row>
    <row r="950" spans="1:5">
      <c r="A950" s="25" t="s">
        <v>257</v>
      </c>
      <c r="B950" s="24" t="s">
        <v>45</v>
      </c>
      <c r="C950" s="39">
        <v>1398.23</v>
      </c>
      <c r="D950" s="45">
        <v>9.2804566153078416E-2</v>
      </c>
      <c r="E950" s="54" t="s">
        <v>1387</v>
      </c>
    </row>
    <row r="951" spans="1:5">
      <c r="A951" s="25" t="s">
        <v>258</v>
      </c>
      <c r="B951" s="24" t="s">
        <v>45</v>
      </c>
      <c r="C951" s="39">
        <v>1050.1200000000001</v>
      </c>
      <c r="D951" s="45">
        <v>9.5987761198658289E-2</v>
      </c>
      <c r="E951" s="54" t="s">
        <v>1387</v>
      </c>
    </row>
    <row r="952" spans="1:5">
      <c r="A952" s="23" t="s">
        <v>259</v>
      </c>
      <c r="B952" s="24" t="s">
        <v>45</v>
      </c>
      <c r="C952" s="39">
        <v>1485.88</v>
      </c>
      <c r="D952" s="45">
        <v>9.8048533397390031E-2</v>
      </c>
      <c r="E952" s="54" t="s">
        <v>1387</v>
      </c>
    </row>
    <row r="953" spans="1:5">
      <c r="A953" s="23" t="s">
        <v>260</v>
      </c>
      <c r="B953" s="24" t="s">
        <v>45</v>
      </c>
      <c r="C953" s="39">
        <v>1729.81</v>
      </c>
      <c r="D953" s="45">
        <v>9.1648220078241388E-2</v>
      </c>
      <c r="E953" s="54" t="s">
        <v>1387</v>
      </c>
    </row>
    <row r="954" spans="1:5">
      <c r="A954" s="23" t="s">
        <v>261</v>
      </c>
      <c r="B954" s="24" t="s">
        <v>45</v>
      </c>
      <c r="C954" s="39">
        <v>1471.77</v>
      </c>
      <c r="D954" s="45">
        <v>9.8557729387870538E-2</v>
      </c>
      <c r="E954" s="54" t="s">
        <v>1387</v>
      </c>
    </row>
    <row r="955" spans="1:5">
      <c r="A955" s="23" t="s">
        <v>262</v>
      </c>
      <c r="B955" s="24" t="s">
        <v>45</v>
      </c>
      <c r="C955" s="39">
        <v>1749.5500000000002</v>
      </c>
      <c r="D955" s="45">
        <v>8.8045662100456612E-2</v>
      </c>
      <c r="E955" s="54" t="s">
        <v>1387</v>
      </c>
    </row>
    <row r="956" spans="1:5">
      <c r="A956" s="23" t="s">
        <v>263</v>
      </c>
      <c r="B956" s="24" t="s">
        <v>45</v>
      </c>
      <c r="C956" s="39">
        <v>1810.0800000000002</v>
      </c>
      <c r="D956" s="45">
        <v>7.5818465813206906E-2</v>
      </c>
      <c r="E956" s="54" t="s">
        <v>1387</v>
      </c>
    </row>
    <row r="957" spans="1:5">
      <c r="A957" s="26" t="s">
        <v>264</v>
      </c>
      <c r="B957" s="24" t="s">
        <v>45</v>
      </c>
      <c r="C957" s="39">
        <v>1623.36</v>
      </c>
      <c r="D957" s="45">
        <v>1.2062758493662196E-2</v>
      </c>
      <c r="E957" s="54" t="s">
        <v>1387</v>
      </c>
    </row>
    <row r="958" spans="1:5">
      <c r="A958" s="26" t="s">
        <v>265</v>
      </c>
      <c r="B958" s="24" t="s">
        <v>45</v>
      </c>
      <c r="C958" s="39">
        <v>1577.02</v>
      </c>
      <c r="D958" s="45">
        <v>1.1658676506235019E-2</v>
      </c>
      <c r="E958" s="54" t="s">
        <v>1387</v>
      </c>
    </row>
    <row r="959" spans="1:5">
      <c r="A959" s="26" t="s">
        <v>266</v>
      </c>
      <c r="B959" s="24" t="s">
        <v>45</v>
      </c>
      <c r="C959" s="39">
        <v>1531.64</v>
      </c>
      <c r="D959" s="45">
        <v>1.1698941647136194E-2</v>
      </c>
      <c r="E959" s="54" t="s">
        <v>1387</v>
      </c>
    </row>
    <row r="960" spans="1:5">
      <c r="A960" s="26" t="s">
        <v>267</v>
      </c>
      <c r="B960" s="24" t="s">
        <v>45</v>
      </c>
      <c r="C960" s="39">
        <v>1588.25</v>
      </c>
      <c r="D960" s="45">
        <v>1.0498246593063738E-2</v>
      </c>
      <c r="E960" s="54" t="s">
        <v>1387</v>
      </c>
    </row>
    <row r="961" spans="1:5">
      <c r="A961" s="26" t="s">
        <v>268</v>
      </c>
      <c r="B961" s="24" t="s">
        <v>45</v>
      </c>
      <c r="C961" s="39">
        <v>1286.8699999999999</v>
      </c>
      <c r="D961" s="45">
        <v>1.3843799608140382E-2</v>
      </c>
      <c r="E961" s="54" t="s">
        <v>1387</v>
      </c>
    </row>
    <row r="962" spans="1:5">
      <c r="A962" s="26" t="s">
        <v>269</v>
      </c>
      <c r="B962" s="24" t="s">
        <v>45</v>
      </c>
      <c r="C962" s="39">
        <v>1631.28</v>
      </c>
      <c r="D962" s="45">
        <v>1.2089838257127346E-2</v>
      </c>
      <c r="E962" s="54" t="s">
        <v>1387</v>
      </c>
    </row>
    <row r="963" spans="1:5">
      <c r="A963" s="26" t="s">
        <v>270</v>
      </c>
      <c r="B963" s="24" t="s">
        <v>45</v>
      </c>
      <c r="C963" s="39">
        <v>1642.67</v>
      </c>
      <c r="D963" s="45">
        <v>1.224319936973255E-2</v>
      </c>
      <c r="E963" s="54" t="s">
        <v>1387</v>
      </c>
    </row>
    <row r="964" spans="1:5">
      <c r="A964" s="26" t="s">
        <v>271</v>
      </c>
      <c r="B964" s="24" t="s">
        <v>45</v>
      </c>
      <c r="C964" s="39">
        <v>1609.1499999999999</v>
      </c>
      <c r="D964" s="45">
        <v>1.1591489134853097E-2</v>
      </c>
      <c r="E964" s="54" t="s">
        <v>1387</v>
      </c>
    </row>
    <row r="965" spans="1:5">
      <c r="A965" s="26" t="s">
        <v>272</v>
      </c>
      <c r="B965" s="24" t="s">
        <v>45</v>
      </c>
      <c r="C965" s="39">
        <v>1596.2700000000002</v>
      </c>
      <c r="D965" s="45">
        <v>1.2240867352886719E-2</v>
      </c>
      <c r="E965" s="54" t="s">
        <v>1387</v>
      </c>
    </row>
    <row r="966" spans="1:5">
      <c r="A966" s="26" t="s">
        <v>273</v>
      </c>
      <c r="B966" s="24" t="s">
        <v>45</v>
      </c>
      <c r="C966" s="39">
        <v>1730.12</v>
      </c>
      <c r="D966" s="45">
        <v>1.1579123429344E-2</v>
      </c>
      <c r="E966" s="54" t="s">
        <v>1387</v>
      </c>
    </row>
    <row r="967" spans="1:5">
      <c r="A967" s="27" t="s">
        <v>274</v>
      </c>
      <c r="B967" s="24" t="s">
        <v>45</v>
      </c>
      <c r="C967" s="39">
        <v>1574.4099999999999</v>
      </c>
      <c r="D967" s="45">
        <v>1.0617621773149526E-2</v>
      </c>
      <c r="E967" s="54" t="s">
        <v>1387</v>
      </c>
    </row>
    <row r="968" spans="1:5">
      <c r="A968" s="27" t="s">
        <v>275</v>
      </c>
      <c r="B968" s="24" t="s">
        <v>45</v>
      </c>
      <c r="C968" s="39">
        <v>1665.7700000000002</v>
      </c>
      <c r="D968" s="45">
        <v>1.2318549204063377E-2</v>
      </c>
      <c r="E968" s="54" t="s">
        <v>1387</v>
      </c>
    </row>
    <row r="969" spans="1:5">
      <c r="A969" s="23" t="s">
        <v>276</v>
      </c>
      <c r="B969" s="24" t="s">
        <v>45</v>
      </c>
      <c r="C969" s="39">
        <v>1677.77</v>
      </c>
      <c r="D969" s="45">
        <v>4.3052056227885403E-2</v>
      </c>
      <c r="E969" s="54" t="s">
        <v>1387</v>
      </c>
    </row>
    <row r="970" spans="1:5">
      <c r="A970" s="23" t="s">
        <v>277</v>
      </c>
      <c r="B970" s="24" t="s">
        <v>45</v>
      </c>
      <c r="C970" s="39">
        <v>1640.42</v>
      </c>
      <c r="D970" s="45">
        <v>5.174168340054093E-2</v>
      </c>
      <c r="E970" s="54" t="s">
        <v>1387</v>
      </c>
    </row>
    <row r="971" spans="1:5">
      <c r="A971" s="23" t="s">
        <v>278</v>
      </c>
      <c r="B971" s="24" t="s">
        <v>45</v>
      </c>
      <c r="C971" s="39">
        <v>1492.51</v>
      </c>
      <c r="D971" s="45">
        <v>4.5763793709148307E-2</v>
      </c>
      <c r="E971" s="54" t="s">
        <v>1387</v>
      </c>
    </row>
    <row r="972" spans="1:5">
      <c r="A972" s="23" t="s">
        <v>279</v>
      </c>
      <c r="B972" s="24" t="s">
        <v>45</v>
      </c>
      <c r="C972" s="39">
        <v>1878.43</v>
      </c>
      <c r="D972" s="45">
        <v>4.0449651338768412E-2</v>
      </c>
      <c r="E972" s="54" t="s">
        <v>1387</v>
      </c>
    </row>
    <row r="973" spans="1:5">
      <c r="A973" s="23" t="s">
        <v>280</v>
      </c>
      <c r="B973" s="24" t="s">
        <v>45</v>
      </c>
      <c r="C973" s="39">
        <v>2027.82</v>
      </c>
      <c r="D973" s="45">
        <v>3.7779075513229413E-2</v>
      </c>
      <c r="E973" s="54" t="s">
        <v>1387</v>
      </c>
    </row>
    <row r="974" spans="1:5">
      <c r="A974" s="23" t="s">
        <v>281</v>
      </c>
      <c r="B974" s="24" t="s">
        <v>45</v>
      </c>
      <c r="C974" s="39">
        <v>2257.8200000000002</v>
      </c>
      <c r="D974" s="45">
        <v>3.08157823975534E-2</v>
      </c>
      <c r="E974" s="54" t="s">
        <v>1387</v>
      </c>
    </row>
    <row r="975" spans="1:5">
      <c r="A975" s="23" t="s">
        <v>282</v>
      </c>
      <c r="B975" s="24" t="s">
        <v>45</v>
      </c>
      <c r="C975" s="39">
        <v>1949.88</v>
      </c>
      <c r="D975" s="45">
        <v>3.8401857360062852E-2</v>
      </c>
      <c r="E975" s="54" t="s">
        <v>1387</v>
      </c>
    </row>
    <row r="976" spans="1:5">
      <c r="A976" s="23" t="s">
        <v>283</v>
      </c>
      <c r="B976" s="24" t="s">
        <v>45</v>
      </c>
      <c r="C976" s="39">
        <v>2515.6600000000003</v>
      </c>
      <c r="D976" s="45">
        <v>1.6526797346017509E-2</v>
      </c>
      <c r="E976" s="54" t="s">
        <v>1387</v>
      </c>
    </row>
    <row r="977" spans="1:5">
      <c r="A977" s="23" t="s">
        <v>284</v>
      </c>
      <c r="B977" s="24" t="s">
        <v>45</v>
      </c>
      <c r="C977" s="39">
        <v>2978.67</v>
      </c>
      <c r="D977" s="45">
        <v>1.7558179224022606E-2</v>
      </c>
      <c r="E977" s="54" t="s">
        <v>1387</v>
      </c>
    </row>
    <row r="978" spans="1:5">
      <c r="A978" s="23" t="s">
        <v>285</v>
      </c>
      <c r="B978" s="24" t="s">
        <v>45</v>
      </c>
      <c r="C978" s="39">
        <v>1783.27</v>
      </c>
      <c r="D978" s="45">
        <v>2.786508704061896E-2</v>
      </c>
      <c r="E978" s="54" t="s">
        <v>1387</v>
      </c>
    </row>
    <row r="979" spans="1:5">
      <c r="A979" s="23" t="s">
        <v>286</v>
      </c>
      <c r="B979" s="24" t="s">
        <v>45</v>
      </c>
      <c r="C979" s="39">
        <v>1685.54</v>
      </c>
      <c r="D979" s="45">
        <v>2.7808169626708706E-2</v>
      </c>
      <c r="E979" s="54" t="s">
        <v>1387</v>
      </c>
    </row>
    <row r="980" spans="1:5">
      <c r="A980" s="23" t="s">
        <v>287</v>
      </c>
      <c r="B980" s="24" t="s">
        <v>45</v>
      </c>
      <c r="C980" s="39">
        <v>3300.84</v>
      </c>
      <c r="D980" s="45">
        <v>1.7515742023748969E-2</v>
      </c>
      <c r="E980" s="54" t="s">
        <v>1387</v>
      </c>
    </row>
    <row r="981" spans="1:5">
      <c r="A981" s="23" t="s">
        <v>288</v>
      </c>
      <c r="B981" s="24" t="s">
        <v>45</v>
      </c>
      <c r="C981" s="39">
        <v>2829.43</v>
      </c>
      <c r="D981" s="45">
        <v>1.7108274377813787E-2</v>
      </c>
      <c r="E981" s="54" t="s">
        <v>1387</v>
      </c>
    </row>
    <row r="982" spans="1:5">
      <c r="A982" s="23" t="s">
        <v>289</v>
      </c>
      <c r="B982" s="24" t="s">
        <v>45</v>
      </c>
      <c r="C982" s="39">
        <v>1070.79</v>
      </c>
      <c r="D982" s="45">
        <v>3.7671017808280624E-2</v>
      </c>
      <c r="E982" s="54" t="s">
        <v>1387</v>
      </c>
    </row>
    <row r="983" spans="1:5">
      <c r="A983" s="23" t="s">
        <v>290</v>
      </c>
      <c r="B983" s="24" t="s">
        <v>45</v>
      </c>
      <c r="C983" s="39">
        <v>3421.0699999999997</v>
      </c>
      <c r="D983" s="45">
        <v>8.3852760237955043E-3</v>
      </c>
      <c r="E983" s="54" t="s">
        <v>1387</v>
      </c>
    </row>
    <row r="984" spans="1:5">
      <c r="A984" s="23" t="s">
        <v>291</v>
      </c>
      <c r="B984" s="24" t="s">
        <v>45</v>
      </c>
      <c r="C984" s="39">
        <v>3432.7</v>
      </c>
      <c r="D984" s="45">
        <v>8.046946847739711E-3</v>
      </c>
      <c r="E984" s="54" t="s">
        <v>1387</v>
      </c>
    </row>
    <row r="985" spans="1:5">
      <c r="A985" s="23" t="s">
        <v>292</v>
      </c>
      <c r="B985" s="24" t="s">
        <v>45</v>
      </c>
      <c r="C985" s="39">
        <v>3181.54</v>
      </c>
      <c r="D985" s="45">
        <v>1.0630066942510175E-2</v>
      </c>
      <c r="E985" s="54" t="s">
        <v>1387</v>
      </c>
    </row>
    <row r="986" spans="1:5">
      <c r="A986" s="23" t="s">
        <v>293</v>
      </c>
      <c r="B986" s="24" t="s">
        <v>45</v>
      </c>
      <c r="C986" s="39">
        <v>4403.92</v>
      </c>
      <c r="D986" s="45">
        <v>6.7031941175560422E-3</v>
      </c>
      <c r="E986" s="54" t="s">
        <v>1387</v>
      </c>
    </row>
    <row r="987" spans="1:5">
      <c r="A987" s="23" t="s">
        <v>294</v>
      </c>
      <c r="B987" s="24" t="s">
        <v>45</v>
      </c>
      <c r="C987" s="39">
        <v>3193.6500000000005</v>
      </c>
      <c r="D987" s="45">
        <v>9.5484865014881359E-3</v>
      </c>
      <c r="E987" s="54" t="s">
        <v>1387</v>
      </c>
    </row>
    <row r="988" spans="1:5">
      <c r="A988" s="23" t="s">
        <v>295</v>
      </c>
      <c r="B988" s="24" t="s">
        <v>45</v>
      </c>
      <c r="C988" s="39">
        <v>3689.4700000000003</v>
      </c>
      <c r="D988" s="45">
        <v>1.0096606600569269E-2</v>
      </c>
      <c r="E988" s="54" t="s">
        <v>1387</v>
      </c>
    </row>
    <row r="989" spans="1:5">
      <c r="A989" s="23" t="s">
        <v>296</v>
      </c>
      <c r="B989" s="24" t="s">
        <v>45</v>
      </c>
      <c r="C989" s="39">
        <v>4999.7299999999996</v>
      </c>
      <c r="D989" s="45">
        <v>2.8786270031050363E-2</v>
      </c>
      <c r="E989" s="54" t="s">
        <v>1387</v>
      </c>
    </row>
    <row r="990" spans="1:5">
      <c r="A990" s="23" t="s">
        <v>297</v>
      </c>
      <c r="B990" s="24" t="s">
        <v>45</v>
      </c>
      <c r="C990" s="39">
        <v>2848.46</v>
      </c>
      <c r="D990" s="45">
        <v>1.3090296926247351E-2</v>
      </c>
      <c r="E990" s="54" t="s">
        <v>1387</v>
      </c>
    </row>
    <row r="991" spans="1:5">
      <c r="A991" s="23" t="s">
        <v>298</v>
      </c>
      <c r="B991" s="24" t="s">
        <v>45</v>
      </c>
      <c r="C991" s="39">
        <v>2421.34</v>
      </c>
      <c r="D991" s="45">
        <v>1.6473489826296549E-2</v>
      </c>
      <c r="E991" s="54" t="s">
        <v>1387</v>
      </c>
    </row>
    <row r="992" spans="1:5">
      <c r="A992" s="23" t="s">
        <v>299</v>
      </c>
      <c r="B992" s="24" t="s">
        <v>45</v>
      </c>
      <c r="C992" s="39">
        <v>2899.09</v>
      </c>
      <c r="D992" s="45">
        <v>1.2240632541266856E-2</v>
      </c>
      <c r="E992" s="54" t="s">
        <v>1387</v>
      </c>
    </row>
    <row r="993" spans="1:5">
      <c r="A993" s="23" t="s">
        <v>300</v>
      </c>
      <c r="B993" s="24" t="s">
        <v>45</v>
      </c>
      <c r="C993" s="39">
        <v>3229.3</v>
      </c>
      <c r="D993" s="45">
        <v>1.3831579007569192E-2</v>
      </c>
      <c r="E993" s="54" t="s">
        <v>1387</v>
      </c>
    </row>
    <row r="994" spans="1:5">
      <c r="A994" s="23" t="s">
        <v>301</v>
      </c>
      <c r="B994" s="24" t="s">
        <v>45</v>
      </c>
      <c r="C994" s="39">
        <v>2319.87</v>
      </c>
      <c r="D994" s="45">
        <v>1.3616215947009312E-2</v>
      </c>
      <c r="E994" s="54" t="s">
        <v>1387</v>
      </c>
    </row>
    <row r="995" spans="1:5">
      <c r="A995" s="23" t="s">
        <v>302</v>
      </c>
      <c r="B995" s="24" t="s">
        <v>45</v>
      </c>
      <c r="C995" s="39">
        <v>3283.6000000000004</v>
      </c>
      <c r="D995" s="45">
        <v>2.9830289708757719E-2</v>
      </c>
      <c r="E995" s="54" t="s">
        <v>1387</v>
      </c>
    </row>
    <row r="996" spans="1:5">
      <c r="A996" s="9" t="s">
        <v>93</v>
      </c>
      <c r="B996" s="19" t="s">
        <v>1344</v>
      </c>
      <c r="C996" s="39">
        <v>3269</v>
      </c>
      <c r="D996" s="45">
        <v>36.443750000000001</v>
      </c>
      <c r="E996" s="54" t="s">
        <v>1387</v>
      </c>
    </row>
    <row r="997" spans="1:5">
      <c r="A997" s="9" t="s">
        <v>95</v>
      </c>
      <c r="B997" s="19" t="s">
        <v>1344</v>
      </c>
      <c r="C997" s="39">
        <v>9153</v>
      </c>
      <c r="D997" s="45">
        <v>84.017857142857139</v>
      </c>
      <c r="E997" s="54" t="s">
        <v>1387</v>
      </c>
    </row>
    <row r="998" spans="1:5">
      <c r="A998" s="9" t="s">
        <v>96</v>
      </c>
      <c r="B998" s="19" t="s">
        <v>1344</v>
      </c>
      <c r="C998" s="39">
        <v>10114</v>
      </c>
      <c r="D998" s="45">
        <v>111.52439024390245</v>
      </c>
      <c r="E998" s="54" t="s">
        <v>1387</v>
      </c>
    </row>
    <row r="999" spans="1:5">
      <c r="A999" s="9" t="s">
        <v>97</v>
      </c>
      <c r="B999" s="19" t="s">
        <v>1344</v>
      </c>
      <c r="C999" s="39">
        <v>9938</v>
      </c>
      <c r="D999" s="45">
        <v>130.34246575342465</v>
      </c>
      <c r="E999" s="54" t="s">
        <v>1387</v>
      </c>
    </row>
    <row r="1000" spans="1:5">
      <c r="A1000" s="9" t="s">
        <v>98</v>
      </c>
      <c r="B1000" s="19" t="s">
        <v>1344</v>
      </c>
      <c r="C1000" s="39">
        <v>6116</v>
      </c>
      <c r="D1000" s="45">
        <v>52.563025210084035</v>
      </c>
      <c r="E1000" s="54" t="s">
        <v>1387</v>
      </c>
    </row>
    <row r="1001" spans="1:5">
      <c r="A1001" s="9" t="s">
        <v>99</v>
      </c>
      <c r="B1001" s="19" t="s">
        <v>1344</v>
      </c>
      <c r="C1001" s="39">
        <v>4101</v>
      </c>
      <c r="D1001" s="45">
        <v>153.2258064516129</v>
      </c>
      <c r="E1001" s="54" t="s">
        <v>1387</v>
      </c>
    </row>
    <row r="1002" spans="1:5">
      <c r="A1002" s="9" t="s">
        <v>100</v>
      </c>
      <c r="B1002" s="19" t="s">
        <v>1344</v>
      </c>
      <c r="C1002" s="39">
        <v>2368</v>
      </c>
      <c r="D1002" s="45">
        <v>44.146788990825691</v>
      </c>
      <c r="E1002" s="54" t="s">
        <v>1387</v>
      </c>
    </row>
    <row r="1003" spans="1:5">
      <c r="A1003" s="9" t="s">
        <v>101</v>
      </c>
      <c r="B1003" s="19" t="s">
        <v>1344</v>
      </c>
      <c r="C1003" s="39">
        <v>4420</v>
      </c>
      <c r="D1003" s="45">
        <v>20.625</v>
      </c>
      <c r="E1003" s="54" t="s">
        <v>1387</v>
      </c>
    </row>
    <row r="1004" spans="1:5">
      <c r="A1004" s="9" t="s">
        <v>102</v>
      </c>
      <c r="B1004" s="19" t="s">
        <v>1344</v>
      </c>
      <c r="C1004" s="39">
        <v>5075</v>
      </c>
      <c r="D1004" s="45">
        <v>30.153284671532848</v>
      </c>
      <c r="E1004" s="54" t="s">
        <v>1387</v>
      </c>
    </row>
    <row r="1005" spans="1:5">
      <c r="A1005" s="9" t="s">
        <v>103</v>
      </c>
      <c r="B1005" s="19" t="s">
        <v>1344</v>
      </c>
      <c r="C1005" s="39">
        <v>3753</v>
      </c>
      <c r="D1005" s="45">
        <v>25.177304964539008</v>
      </c>
      <c r="E1005" s="54" t="s">
        <v>1387</v>
      </c>
    </row>
    <row r="1006" spans="1:5">
      <c r="A1006" s="9" t="s">
        <v>104</v>
      </c>
      <c r="B1006" s="19" t="s">
        <v>1344</v>
      </c>
      <c r="C1006" s="39">
        <v>1363</v>
      </c>
      <c r="D1006" s="45">
        <v>32.119999999999997</v>
      </c>
      <c r="E1006" s="54" t="s">
        <v>1387</v>
      </c>
    </row>
    <row r="1007" spans="1:5">
      <c r="A1007" s="9" t="s">
        <v>105</v>
      </c>
      <c r="B1007" s="19" t="s">
        <v>1344</v>
      </c>
      <c r="C1007" s="39">
        <v>5724</v>
      </c>
      <c r="D1007" s="45">
        <v>19.777777777777779</v>
      </c>
      <c r="E1007" s="54" t="s">
        <v>1387</v>
      </c>
    </row>
    <row r="1008" spans="1:5">
      <c r="A1008" s="9" t="s">
        <v>106</v>
      </c>
      <c r="B1008" s="19" t="s">
        <v>1344</v>
      </c>
      <c r="C1008" s="39">
        <v>3238</v>
      </c>
      <c r="D1008" s="45">
        <v>40.345323741007192</v>
      </c>
      <c r="E1008" s="54" t="s">
        <v>1387</v>
      </c>
    </row>
    <row r="1009" spans="1:5">
      <c r="A1009" s="9" t="s">
        <v>185</v>
      </c>
      <c r="B1009" s="19" t="s">
        <v>1344</v>
      </c>
      <c r="C1009" s="39">
        <v>8204.7999999999993</v>
      </c>
      <c r="D1009" s="45">
        <v>22.857483317445183</v>
      </c>
      <c r="E1009" s="54" t="s">
        <v>1387</v>
      </c>
    </row>
    <row r="1010" spans="1:5">
      <c r="A1010" s="9" t="s">
        <v>188</v>
      </c>
      <c r="B1010" s="19" t="s">
        <v>1344</v>
      </c>
      <c r="C1010" s="39">
        <v>13949.9</v>
      </c>
      <c r="D1010" s="45">
        <v>12.25069343547748</v>
      </c>
      <c r="E1010" s="54" t="s">
        <v>1387</v>
      </c>
    </row>
    <row r="1011" spans="1:5">
      <c r="A1011" s="9" t="s">
        <v>189</v>
      </c>
      <c r="B1011" s="19" t="s">
        <v>1344</v>
      </c>
      <c r="C1011" s="39">
        <v>20533.7</v>
      </c>
      <c r="D1011" s="45">
        <v>7.7993197278911568</v>
      </c>
      <c r="E1011" s="54" t="s">
        <v>1387</v>
      </c>
    </row>
    <row r="1012" spans="1:5">
      <c r="A1012" s="9" t="s">
        <v>190</v>
      </c>
      <c r="B1012" s="19" t="s">
        <v>1344</v>
      </c>
      <c r="C1012" s="39">
        <v>16858.900000000001</v>
      </c>
      <c r="D1012" s="45">
        <v>16.723887814313347</v>
      </c>
      <c r="E1012" s="54" t="s">
        <v>1387</v>
      </c>
    </row>
    <row r="1013" spans="1:5">
      <c r="A1013" s="9" t="s">
        <v>191</v>
      </c>
      <c r="B1013" s="19" t="s">
        <v>1344</v>
      </c>
      <c r="C1013" s="39">
        <v>7071.1</v>
      </c>
      <c r="D1013" s="45">
        <v>10.090614886731391</v>
      </c>
      <c r="E1013" s="54" t="s">
        <v>1387</v>
      </c>
    </row>
    <row r="1014" spans="1:5">
      <c r="A1014" s="9" t="s">
        <v>192</v>
      </c>
      <c r="B1014" s="19" t="s">
        <v>1344</v>
      </c>
      <c r="C1014" s="39">
        <v>2560.5</v>
      </c>
      <c r="D1014" s="45">
        <v>23.809187279151942</v>
      </c>
      <c r="E1014" s="54" t="s">
        <v>1387</v>
      </c>
    </row>
    <row r="1015" spans="1:5">
      <c r="A1015" s="9" t="s">
        <v>193</v>
      </c>
      <c r="B1015" s="19" t="s">
        <v>1344</v>
      </c>
      <c r="C1015" s="39">
        <v>3689.1000000000004</v>
      </c>
      <c r="D1015" s="45">
        <v>24.06801007556675</v>
      </c>
      <c r="E1015" s="54" t="s">
        <v>1387</v>
      </c>
    </row>
    <row r="1016" spans="1:5">
      <c r="A1016" s="9" t="s">
        <v>194</v>
      </c>
      <c r="B1016" s="19" t="s">
        <v>1344</v>
      </c>
      <c r="C1016" s="39">
        <v>4940.8999999999996</v>
      </c>
      <c r="D1016" s="45">
        <v>18.672520661157026</v>
      </c>
      <c r="E1016" s="54" t="s">
        <v>1387</v>
      </c>
    </row>
    <row r="1017" spans="1:5">
      <c r="A1017" s="9" t="s">
        <v>195</v>
      </c>
      <c r="B1017" s="19" t="s">
        <v>1344</v>
      </c>
      <c r="C1017" s="39">
        <v>7030.7</v>
      </c>
      <c r="D1017" s="45">
        <v>38.170409511228534</v>
      </c>
      <c r="E1017" s="54" t="s">
        <v>1387</v>
      </c>
    </row>
    <row r="1018" spans="1:5">
      <c r="A1018" s="9" t="s">
        <v>196</v>
      </c>
      <c r="B1018" s="19" t="s">
        <v>1344</v>
      </c>
      <c r="C1018" s="39">
        <v>3367.3</v>
      </c>
      <c r="D1018" s="45">
        <v>41.896551724137936</v>
      </c>
      <c r="E1018" s="54" t="s">
        <v>1387</v>
      </c>
    </row>
    <row r="1019" spans="1:5">
      <c r="A1019" s="9" t="s">
        <v>197</v>
      </c>
      <c r="B1019" s="19" t="s">
        <v>1344</v>
      </c>
      <c r="C1019" s="39">
        <v>12156.7</v>
      </c>
      <c r="D1019" s="45">
        <v>27.584223500410847</v>
      </c>
      <c r="E1019" s="54" t="s">
        <v>1387</v>
      </c>
    </row>
    <row r="1020" spans="1:5">
      <c r="A1020" s="9" t="s">
        <v>198</v>
      </c>
      <c r="B1020" s="19" t="s">
        <v>1344</v>
      </c>
      <c r="C1020" s="39">
        <v>4468.7</v>
      </c>
      <c r="D1020" s="45">
        <v>21.88521323236349</v>
      </c>
      <c r="E1020" s="54" t="s">
        <v>1387</v>
      </c>
    </row>
    <row r="1021" spans="1:5">
      <c r="A1021" s="9" t="s">
        <v>199</v>
      </c>
      <c r="B1021" s="19" t="s">
        <v>1344</v>
      </c>
      <c r="C1021" s="39">
        <v>8240.6</v>
      </c>
      <c r="D1021" s="45">
        <v>17.934288710241173</v>
      </c>
      <c r="E1021" s="54" t="s">
        <v>1387</v>
      </c>
    </row>
    <row r="1022" spans="1:5">
      <c r="A1022" s="9" t="s">
        <v>200</v>
      </c>
      <c r="B1022" s="19" t="s">
        <v>1344</v>
      </c>
      <c r="C1022" s="39">
        <v>7435.9999999999991</v>
      </c>
      <c r="D1022" s="45">
        <v>18.016801680168015</v>
      </c>
      <c r="E1022" s="54" t="s">
        <v>1387</v>
      </c>
    </row>
    <row r="1023" spans="1:5">
      <c r="A1023" s="9" t="s">
        <v>201</v>
      </c>
      <c r="B1023" s="19" t="s">
        <v>1344</v>
      </c>
      <c r="C1023" s="39">
        <v>4747.1000000000004</v>
      </c>
      <c r="D1023" s="45">
        <v>34.129715420251493</v>
      </c>
      <c r="E1023" s="54" t="s">
        <v>1387</v>
      </c>
    </row>
    <row r="1024" spans="1:5">
      <c r="A1024" s="9" t="s">
        <v>202</v>
      </c>
      <c r="B1024" s="19" t="s">
        <v>1344</v>
      </c>
      <c r="C1024" s="39">
        <v>5566</v>
      </c>
      <c r="D1024" s="45">
        <v>18.529769137302551</v>
      </c>
      <c r="E1024" s="54" t="s">
        <v>1387</v>
      </c>
    </row>
    <row r="1025" spans="1:5">
      <c r="A1025" s="9" t="s">
        <v>203</v>
      </c>
      <c r="B1025" s="19" t="s">
        <v>1344</v>
      </c>
      <c r="C1025" s="39">
        <v>1085.8</v>
      </c>
      <c r="D1025" s="45">
        <v>19.099307159353351</v>
      </c>
      <c r="E1025" s="54" t="s">
        <v>1387</v>
      </c>
    </row>
    <row r="1026" spans="1:5">
      <c r="A1026" s="9" t="s">
        <v>204</v>
      </c>
      <c r="B1026" s="19" t="s">
        <v>1344</v>
      </c>
      <c r="C1026" s="39">
        <v>19068.899999999998</v>
      </c>
      <c r="D1026" s="45">
        <v>31.047819971870602</v>
      </c>
      <c r="E1026" s="54" t="s">
        <v>1387</v>
      </c>
    </row>
    <row r="1027" spans="1:5">
      <c r="A1027" s="9" t="s">
        <v>205</v>
      </c>
      <c r="B1027" s="19" t="s">
        <v>1344</v>
      </c>
      <c r="C1027" s="39">
        <v>3890.3</v>
      </c>
      <c r="D1027" s="45">
        <v>29.049489395129616</v>
      </c>
      <c r="E1027" s="54" t="s">
        <v>1387</v>
      </c>
    </row>
    <row r="1028" spans="1:5">
      <c r="A1028" s="9" t="s">
        <v>206</v>
      </c>
      <c r="B1028" s="19" t="s">
        <v>1344</v>
      </c>
      <c r="C1028" s="39">
        <v>12383.400000000001</v>
      </c>
      <c r="D1028" s="45">
        <v>8.9316508937960037</v>
      </c>
      <c r="E1028" s="54" t="s">
        <v>1387</v>
      </c>
    </row>
    <row r="1029" spans="1:5">
      <c r="A1029" s="9" t="s">
        <v>207</v>
      </c>
      <c r="B1029" s="19" t="s">
        <v>1344</v>
      </c>
      <c r="C1029" s="39">
        <v>5185.7</v>
      </c>
      <c r="D1029" s="45">
        <v>29.06718489727929</v>
      </c>
      <c r="E1029" s="54" t="s">
        <v>1387</v>
      </c>
    </row>
    <row r="1030" spans="1:5">
      <c r="A1030" s="9" t="s">
        <v>208</v>
      </c>
      <c r="B1030" s="19" t="s">
        <v>1344</v>
      </c>
      <c r="C1030" s="39">
        <v>4296.3</v>
      </c>
      <c r="D1030" s="45">
        <v>41.271721958925752</v>
      </c>
      <c r="E1030" s="54" t="s">
        <v>1387</v>
      </c>
    </row>
    <row r="1031" spans="1:5">
      <c r="A1031" s="9" t="s">
        <v>209</v>
      </c>
      <c r="B1031" s="19" t="s">
        <v>1344</v>
      </c>
      <c r="C1031" s="39">
        <v>1004.2</v>
      </c>
      <c r="D1031" s="45">
        <v>68.475499092558977</v>
      </c>
      <c r="E1031" s="54" t="s">
        <v>1387</v>
      </c>
    </row>
    <row r="1032" spans="1:5">
      <c r="A1032" s="9" t="s">
        <v>210</v>
      </c>
      <c r="B1032" s="19" t="s">
        <v>1344</v>
      </c>
      <c r="C1032" s="39">
        <v>5207</v>
      </c>
      <c r="D1032" s="45">
        <v>34.444901315789473</v>
      </c>
      <c r="E1032" s="54" t="s">
        <v>1387</v>
      </c>
    </row>
    <row r="1033" spans="1:5">
      <c r="A1033" s="9" t="s">
        <v>211</v>
      </c>
      <c r="B1033" s="19" t="s">
        <v>1344</v>
      </c>
      <c r="C1033" s="39">
        <v>3796.5</v>
      </c>
      <c r="D1033" s="45">
        <v>207.71561771561773</v>
      </c>
      <c r="E1033" s="54" t="s">
        <v>1387</v>
      </c>
    </row>
    <row r="1034" spans="1:5">
      <c r="A1034" s="9" t="s">
        <v>212</v>
      </c>
      <c r="B1034" s="19" t="s">
        <v>1344</v>
      </c>
      <c r="C1034" s="39">
        <v>10513.2</v>
      </c>
      <c r="D1034" s="45">
        <v>179.83136593591905</v>
      </c>
      <c r="E1034" s="54" t="s">
        <v>1387</v>
      </c>
    </row>
    <row r="1035" spans="1:5">
      <c r="A1035" s="9" t="s">
        <v>1027</v>
      </c>
      <c r="B1035" s="19" t="s">
        <v>1344</v>
      </c>
      <c r="C1035" s="39">
        <v>5767.1731476085542</v>
      </c>
      <c r="D1035" s="45">
        <v>43.707972541943555</v>
      </c>
      <c r="E1035" s="54" t="s">
        <v>1387</v>
      </c>
    </row>
    <row r="1036" spans="1:5">
      <c r="A1036" s="9" t="s">
        <v>1029</v>
      </c>
      <c r="B1036" s="19" t="s">
        <v>1344</v>
      </c>
      <c r="C1036" s="39">
        <v>5564.2063849198612</v>
      </c>
      <c r="D1036" s="45">
        <v>39.729271204096612</v>
      </c>
      <c r="E1036" s="54" t="s">
        <v>1387</v>
      </c>
    </row>
    <row r="1037" spans="1:5">
      <c r="A1037" s="9" t="s">
        <v>1030</v>
      </c>
      <c r="B1037" s="19" t="s">
        <v>1344</v>
      </c>
      <c r="C1037" s="39">
        <v>10809.66069953572</v>
      </c>
      <c r="D1037" s="45">
        <v>19.192321728603158</v>
      </c>
      <c r="E1037" s="54" t="s">
        <v>1387</v>
      </c>
    </row>
    <row r="1038" spans="1:5">
      <c r="A1038" s="9" t="s">
        <v>1032</v>
      </c>
      <c r="B1038" s="19" t="s">
        <v>1344</v>
      </c>
      <c r="C1038" s="39">
        <v>11098.592403222599</v>
      </c>
      <c r="D1038" s="45">
        <v>18.085980167301468</v>
      </c>
      <c r="E1038" s="54" t="s">
        <v>1387</v>
      </c>
    </row>
    <row r="1039" spans="1:5">
      <c r="A1039" s="9" t="s">
        <v>1033</v>
      </c>
      <c r="B1039" s="19" t="s">
        <v>1344</v>
      </c>
      <c r="C1039" s="39">
        <v>4025.084554099943</v>
      </c>
      <c r="D1039" s="45">
        <v>74.679040001159265</v>
      </c>
      <c r="E1039" s="54" t="s">
        <v>1387</v>
      </c>
    </row>
    <row r="1040" spans="1:5">
      <c r="A1040" s="9" t="s">
        <v>1034</v>
      </c>
      <c r="B1040" s="19" t="s">
        <v>1344</v>
      </c>
      <c r="C1040" s="39">
        <v>3717.3865222870854</v>
      </c>
      <c r="D1040" s="45">
        <v>76.145369035572401</v>
      </c>
      <c r="E1040" s="54" t="s">
        <v>1387</v>
      </c>
    </row>
    <row r="1041" spans="1:5">
      <c r="A1041" s="9" t="s">
        <v>1035</v>
      </c>
      <c r="B1041" s="19" t="s">
        <v>1344</v>
      </c>
      <c r="C1041" s="39">
        <v>12180.374099419743</v>
      </c>
      <c r="D1041" s="45">
        <v>45.284793172910355</v>
      </c>
      <c r="E1041" s="54" t="s">
        <v>1387</v>
      </c>
    </row>
    <row r="1042" spans="1:5">
      <c r="A1042" s="9" t="s">
        <v>1036</v>
      </c>
      <c r="B1042" s="19" t="s">
        <v>1344</v>
      </c>
      <c r="C1042" s="39">
        <v>13413.376637671456</v>
      </c>
      <c r="D1042" s="45">
        <v>36.257948907150094</v>
      </c>
      <c r="E1042" s="54" t="s">
        <v>1387</v>
      </c>
    </row>
    <row r="1043" spans="1:5">
      <c r="A1043" s="9" t="s">
        <v>1037</v>
      </c>
      <c r="B1043" s="19" t="s">
        <v>1344</v>
      </c>
      <c r="C1043" s="39">
        <v>2537.9196665906566</v>
      </c>
      <c r="D1043" s="45">
        <v>19.245159093479451</v>
      </c>
      <c r="E1043" s="54" t="s">
        <v>1387</v>
      </c>
    </row>
    <row r="1044" spans="1:5">
      <c r="A1044" s="9" t="s">
        <v>1039</v>
      </c>
      <c r="B1044" s="19" t="s">
        <v>1344</v>
      </c>
      <c r="C1044" s="39">
        <v>2515.152614605503</v>
      </c>
      <c r="D1044" s="45">
        <v>17.280163106075253</v>
      </c>
      <c r="E1044" s="54" t="s">
        <v>1387</v>
      </c>
    </row>
    <row r="1045" spans="1:5">
      <c r="A1045" s="9" t="s">
        <v>1040</v>
      </c>
      <c r="B1045" s="19" t="s">
        <v>1344</v>
      </c>
      <c r="C1045" s="39">
        <v>8836.716421948513</v>
      </c>
      <c r="D1045" s="45">
        <v>26.198720169414209</v>
      </c>
      <c r="E1045" s="54" t="s">
        <v>1387</v>
      </c>
    </row>
    <row r="1046" spans="1:5">
      <c r="A1046" s="9" t="s">
        <v>1042</v>
      </c>
      <c r="B1046" s="19" t="s">
        <v>1344</v>
      </c>
      <c r="C1046" s="39">
        <v>8752.3742006557168</v>
      </c>
      <c r="D1046" s="45">
        <v>24.716943523024199</v>
      </c>
      <c r="E1046" s="54" t="s">
        <v>1387</v>
      </c>
    </row>
    <row r="1047" spans="1:5">
      <c r="A1047" s="9" t="s">
        <v>1043</v>
      </c>
      <c r="B1047" s="19" t="s">
        <v>1344</v>
      </c>
      <c r="C1047" s="39">
        <v>5141.2961798154993</v>
      </c>
      <c r="D1047" s="45">
        <v>41.036065163342201</v>
      </c>
      <c r="E1047" s="54" t="s">
        <v>1387</v>
      </c>
    </row>
    <row r="1048" spans="1:5">
      <c r="A1048" s="9" t="s">
        <v>1045</v>
      </c>
      <c r="B1048" s="19" t="s">
        <v>1344</v>
      </c>
      <c r="C1048" s="39">
        <v>5936.5469402917461</v>
      </c>
      <c r="D1048" s="45">
        <v>40.779465821289854</v>
      </c>
      <c r="E1048" s="54" t="s">
        <v>1387</v>
      </c>
    </row>
    <row r="1049" spans="1:5">
      <c r="A1049" s="9" t="s">
        <v>1046</v>
      </c>
      <c r="B1049" s="19" t="s">
        <v>1344</v>
      </c>
      <c r="C1049" s="39">
        <v>7295.4694116962237</v>
      </c>
      <c r="D1049" s="45">
        <v>36.679806099868628</v>
      </c>
      <c r="E1049" s="54" t="s">
        <v>1387</v>
      </c>
    </row>
    <row r="1050" spans="1:5">
      <c r="A1050" s="9" t="s">
        <v>1047</v>
      </c>
      <c r="B1050" s="19" t="s">
        <v>1344</v>
      </c>
      <c r="C1050" s="39">
        <v>12778.699296103376</v>
      </c>
      <c r="D1050" s="45">
        <v>18.184891558010257</v>
      </c>
      <c r="E1050" s="54" t="s">
        <v>1387</v>
      </c>
    </row>
    <row r="1051" spans="1:5">
      <c r="A1051" s="9" t="s">
        <v>1048</v>
      </c>
      <c r="B1051" s="19" t="s">
        <v>1344</v>
      </c>
      <c r="C1051" s="39">
        <v>9146.4999011307191</v>
      </c>
      <c r="D1051" s="45">
        <v>98.264770741694534</v>
      </c>
      <c r="E1051" s="54" t="s">
        <v>1387</v>
      </c>
    </row>
    <row r="1052" spans="1:5">
      <c r="A1052" s="9" t="s">
        <v>1049</v>
      </c>
      <c r="B1052" s="19" t="s">
        <v>1344</v>
      </c>
      <c r="C1052" s="39">
        <v>9092.0181224279822</v>
      </c>
      <c r="D1052" s="45">
        <v>91.105952489449507</v>
      </c>
      <c r="E1052" s="54" t="s">
        <v>1387</v>
      </c>
    </row>
    <row r="1053" spans="1:5">
      <c r="A1053" s="9" t="s">
        <v>1050</v>
      </c>
      <c r="B1053" s="19" t="s">
        <v>1344</v>
      </c>
      <c r="C1053" s="39">
        <v>5101.7970700958376</v>
      </c>
      <c r="D1053" s="45">
        <v>61.720535291122204</v>
      </c>
      <c r="E1053" s="54" t="s">
        <v>1387</v>
      </c>
    </row>
    <row r="1054" spans="1:5">
      <c r="A1054" s="9" t="s">
        <v>1051</v>
      </c>
      <c r="B1054" s="19" t="s">
        <v>1344</v>
      </c>
      <c r="C1054" s="39">
        <v>4324.0175462423749</v>
      </c>
      <c r="D1054" s="45">
        <v>71.33074883920294</v>
      </c>
      <c r="E1054" s="54" t="s">
        <v>1387</v>
      </c>
    </row>
    <row r="1055" spans="1:5">
      <c r="A1055" s="9" t="s">
        <v>1052</v>
      </c>
      <c r="B1055" s="19" t="s">
        <v>1344</v>
      </c>
      <c r="C1055" s="39">
        <v>2008.7338414729059</v>
      </c>
      <c r="D1055" s="45">
        <v>46.903448865694386</v>
      </c>
      <c r="E1055" s="54" t="s">
        <v>1387</v>
      </c>
    </row>
    <row r="1056" spans="1:5">
      <c r="A1056" s="9" t="s">
        <v>1054</v>
      </c>
      <c r="B1056" s="19" t="s">
        <v>1344</v>
      </c>
      <c r="C1056" s="39">
        <v>2065.0970033212052</v>
      </c>
      <c r="D1056" s="45">
        <v>55.870493856545345</v>
      </c>
      <c r="E1056" s="54" t="s">
        <v>1387</v>
      </c>
    </row>
    <row r="1057" spans="1:5">
      <c r="A1057" s="9" t="s">
        <v>1055</v>
      </c>
      <c r="B1057" s="19" t="s">
        <v>1344</v>
      </c>
      <c r="C1057" s="39">
        <v>4764.715239299243</v>
      </c>
      <c r="D1057" s="45">
        <v>9.5809428845766131</v>
      </c>
      <c r="E1057" s="54" t="s">
        <v>1387</v>
      </c>
    </row>
    <row r="1058" spans="1:5">
      <c r="A1058" s="9" t="s">
        <v>1056</v>
      </c>
      <c r="B1058" s="19" t="s">
        <v>1344</v>
      </c>
      <c r="C1058" s="39">
        <v>4136.8405968075485</v>
      </c>
      <c r="D1058" s="45">
        <v>10.306956178752598</v>
      </c>
      <c r="E1058" s="54" t="s">
        <v>1387</v>
      </c>
    </row>
    <row r="1059" spans="1:5">
      <c r="A1059" s="9" t="s">
        <v>1057</v>
      </c>
      <c r="B1059" s="19" t="s">
        <v>1344</v>
      </c>
      <c r="C1059" s="39">
        <v>40081.703571361919</v>
      </c>
      <c r="D1059" s="45">
        <v>9.2947339405745666</v>
      </c>
      <c r="E1059" s="54" t="s">
        <v>1387</v>
      </c>
    </row>
    <row r="1060" spans="1:5">
      <c r="A1060" s="9" t="s">
        <v>1058</v>
      </c>
      <c r="B1060" s="19" t="s">
        <v>1344</v>
      </c>
      <c r="C1060" s="39">
        <v>37298.716242961804</v>
      </c>
      <c r="D1060" s="45">
        <v>8.2886730863164804</v>
      </c>
      <c r="E1060" s="54" t="s">
        <v>1387</v>
      </c>
    </row>
    <row r="1061" spans="1:5">
      <c r="A1061" s="9" t="s">
        <v>1059</v>
      </c>
      <c r="B1061" s="19" t="s">
        <v>1344</v>
      </c>
      <c r="C1061" s="39">
        <v>1502.9829600457649</v>
      </c>
      <c r="D1061" s="45">
        <v>71.350833144838091</v>
      </c>
      <c r="E1061" s="54" t="s">
        <v>1387</v>
      </c>
    </row>
    <row r="1062" spans="1:5">
      <c r="A1062" s="9" t="s">
        <v>1060</v>
      </c>
      <c r="B1062" s="19" t="s">
        <v>1344</v>
      </c>
      <c r="C1062" s="39">
        <v>1515.4037270954009</v>
      </c>
      <c r="D1062" s="45">
        <v>50.846263666289317</v>
      </c>
      <c r="E1062" s="54" t="s">
        <v>1387</v>
      </c>
    </row>
    <row r="1063" spans="1:5">
      <c r="A1063" s="9" t="s">
        <v>1061</v>
      </c>
      <c r="B1063" s="19" t="s">
        <v>1344</v>
      </c>
      <c r="C1063" s="39">
        <v>5848.8975571219316</v>
      </c>
      <c r="D1063" s="45">
        <v>11.160280765949171</v>
      </c>
      <c r="E1063" s="54" t="s">
        <v>1387</v>
      </c>
    </row>
    <row r="1064" spans="1:5">
      <c r="A1064" s="9" t="s">
        <v>1063</v>
      </c>
      <c r="B1064" s="19" t="s">
        <v>1344</v>
      </c>
      <c r="C1064" s="39">
        <v>3952.4276095617552</v>
      </c>
      <c r="D1064" s="45">
        <v>13.620529337418963</v>
      </c>
      <c r="E1064" s="54" t="s">
        <v>1387</v>
      </c>
    </row>
    <row r="1065" spans="1:5">
      <c r="A1065" s="9" t="s">
        <v>1064</v>
      </c>
      <c r="B1065" s="19" t="s">
        <v>1344</v>
      </c>
      <c r="C1065" s="39">
        <v>3322.6206442789862</v>
      </c>
      <c r="D1065" s="45">
        <v>12.897481538256947</v>
      </c>
      <c r="E1065" s="54" t="s">
        <v>1387</v>
      </c>
    </row>
    <row r="1066" spans="1:5">
      <c r="A1066" s="9" t="s">
        <v>1065</v>
      </c>
      <c r="B1066" s="19" t="s">
        <v>1344</v>
      </c>
      <c r="C1066" s="39">
        <v>3140.9056090302356</v>
      </c>
      <c r="D1066" s="45">
        <v>14.821656843673926</v>
      </c>
      <c r="E1066" s="54" t="s">
        <v>1387</v>
      </c>
    </row>
    <row r="1067" spans="1:5">
      <c r="A1067" s="9" t="s">
        <v>1066</v>
      </c>
      <c r="B1067" s="19" t="s">
        <v>1344</v>
      </c>
      <c r="C1067" s="39">
        <v>12965.691611973371</v>
      </c>
      <c r="D1067" s="45">
        <v>17.332584070806089</v>
      </c>
      <c r="E1067" s="54" t="s">
        <v>1387</v>
      </c>
    </row>
    <row r="1068" spans="1:5">
      <c r="A1068" s="9" t="s">
        <v>1068</v>
      </c>
      <c r="B1068" s="19" t="s">
        <v>1344</v>
      </c>
      <c r="C1068" s="39">
        <v>12159.244164648899</v>
      </c>
      <c r="D1068" s="45">
        <v>17.897354328388783</v>
      </c>
      <c r="E1068" s="54" t="s">
        <v>1387</v>
      </c>
    </row>
    <row r="1069" spans="1:5">
      <c r="A1069" s="9" t="s">
        <v>1069</v>
      </c>
      <c r="B1069" s="19" t="s">
        <v>1344</v>
      </c>
      <c r="C1069" s="39">
        <v>908.26486026251359</v>
      </c>
      <c r="D1069" s="45">
        <v>58.803112427219546</v>
      </c>
      <c r="E1069" s="54" t="s">
        <v>1387</v>
      </c>
    </row>
    <row r="1070" spans="1:5">
      <c r="A1070" s="9" t="s">
        <v>1071</v>
      </c>
      <c r="B1070" s="19" t="s">
        <v>1344</v>
      </c>
      <c r="C1070" s="39">
        <v>849.41986311526853</v>
      </c>
      <c r="D1070" s="45">
        <v>52.740145578643769</v>
      </c>
      <c r="E1070" s="54" t="s">
        <v>1387</v>
      </c>
    </row>
    <row r="1071" spans="1:5">
      <c r="A1071" s="9" t="s">
        <v>1072</v>
      </c>
      <c r="B1071" s="19" t="s">
        <v>1344</v>
      </c>
      <c r="C1071" s="39">
        <v>961.85652076425288</v>
      </c>
      <c r="D1071" s="45">
        <v>44.888377585247028</v>
      </c>
      <c r="E1071" s="54" t="s">
        <v>1387</v>
      </c>
    </row>
    <row r="1072" spans="1:5">
      <c r="A1072" s="9" t="s">
        <v>1073</v>
      </c>
      <c r="B1072" s="19" t="s">
        <v>1344</v>
      </c>
      <c r="C1072" s="39">
        <v>1050.8483510767189</v>
      </c>
      <c r="D1072" s="45">
        <v>43.046957019958477</v>
      </c>
      <c r="E1072" s="54" t="s">
        <v>1387</v>
      </c>
    </row>
    <row r="1073" spans="1:5">
      <c r="A1073" s="9" t="s">
        <v>1074</v>
      </c>
      <c r="B1073" s="19" t="s">
        <v>1344</v>
      </c>
      <c r="C1073" s="39">
        <v>2041.4197022485541</v>
      </c>
      <c r="D1073" s="45">
        <v>46.348829923773962</v>
      </c>
      <c r="E1073" s="54" t="s">
        <v>1387</v>
      </c>
    </row>
    <row r="1074" spans="1:5">
      <c r="A1074" s="9" t="s">
        <v>1075</v>
      </c>
      <c r="B1074" s="19" t="s">
        <v>1344</v>
      </c>
      <c r="C1074" s="39">
        <v>6090.9025797079748</v>
      </c>
      <c r="D1074" s="45">
        <v>27.168998285076576</v>
      </c>
      <c r="E1074" s="54" t="s">
        <v>1387</v>
      </c>
    </row>
    <row r="1075" spans="1:5">
      <c r="A1075" s="9" t="s">
        <v>1076</v>
      </c>
      <c r="B1075" s="19" t="s">
        <v>1344</v>
      </c>
      <c r="C1075" s="39">
        <v>6690.9300640196734</v>
      </c>
      <c r="D1075" s="45">
        <v>20.884501581832552</v>
      </c>
      <c r="E1075" s="54" t="s">
        <v>1387</v>
      </c>
    </row>
    <row r="1076" spans="1:5">
      <c r="A1076" s="9" t="s">
        <v>1077</v>
      </c>
      <c r="B1076" s="19" t="s">
        <v>1344</v>
      </c>
      <c r="C1076" s="39">
        <v>4022.4616121088588</v>
      </c>
      <c r="D1076" s="45">
        <v>35.293366896041796</v>
      </c>
      <c r="E1076" s="54" t="s">
        <v>1387</v>
      </c>
    </row>
    <row r="1077" spans="1:5">
      <c r="A1077" s="9" t="s">
        <v>1078</v>
      </c>
      <c r="B1077" s="19" t="s">
        <v>1344</v>
      </c>
      <c r="C1077" s="39">
        <v>3977.0240232919646</v>
      </c>
      <c r="D1077" s="45">
        <v>33.388271498406773</v>
      </c>
      <c r="E1077" s="54" t="s">
        <v>1387</v>
      </c>
    </row>
    <row r="1078" spans="1:5">
      <c r="A1078" s="9" t="s">
        <v>1079</v>
      </c>
      <c r="B1078" s="19" t="s">
        <v>1344</v>
      </c>
      <c r="C1078" s="39">
        <v>3171.7367142151634</v>
      </c>
      <c r="D1078" s="45">
        <v>22.653946216615729</v>
      </c>
      <c r="E1078" s="54" t="s">
        <v>1387</v>
      </c>
    </row>
    <row r="1079" spans="1:5">
      <c r="A1079" s="9" t="s">
        <v>1080</v>
      </c>
      <c r="B1079" s="19" t="s">
        <v>1344</v>
      </c>
      <c r="C1079" s="39">
        <v>2472.5554449186402</v>
      </c>
      <c r="D1079" s="45">
        <v>29.261634882334942</v>
      </c>
      <c r="E1079" s="54" t="s">
        <v>1387</v>
      </c>
    </row>
    <row r="1080" spans="1:5">
      <c r="A1080" s="9" t="s">
        <v>1081</v>
      </c>
      <c r="B1080" s="19" t="s">
        <v>1344</v>
      </c>
      <c r="C1080" s="39">
        <v>6067.8405340064255</v>
      </c>
      <c r="D1080" s="45">
        <v>8.83601834478082</v>
      </c>
      <c r="E1080" s="54" t="s">
        <v>1387</v>
      </c>
    </row>
    <row r="1081" spans="1:5">
      <c r="A1081" s="9" t="s">
        <v>1082</v>
      </c>
      <c r="B1081" s="19" t="s">
        <v>1344</v>
      </c>
      <c r="C1081" s="39">
        <v>4968.9413562322443</v>
      </c>
      <c r="D1081" s="45">
        <v>10.314009599255778</v>
      </c>
      <c r="E1081" s="54" t="s">
        <v>1387</v>
      </c>
    </row>
    <row r="1082" spans="1:5">
      <c r="A1082" s="9" t="s">
        <v>1083</v>
      </c>
      <c r="B1082" s="19" t="s">
        <v>1344</v>
      </c>
      <c r="C1082" s="39">
        <v>3123.0287463298414</v>
      </c>
      <c r="D1082" s="45">
        <v>24.946415315061056</v>
      </c>
      <c r="E1082" s="54" t="s">
        <v>1387</v>
      </c>
    </row>
    <row r="1083" spans="1:5">
      <c r="A1083" s="9" t="s">
        <v>1085</v>
      </c>
      <c r="B1083" s="19" t="s">
        <v>1344</v>
      </c>
      <c r="C1083" s="39">
        <v>3131.8058084102022</v>
      </c>
      <c r="D1083" s="45">
        <v>23.69150762575698</v>
      </c>
      <c r="E1083" s="54" t="s">
        <v>1387</v>
      </c>
    </row>
    <row r="1084" spans="1:5">
      <c r="A1084" s="9" t="s">
        <v>1086</v>
      </c>
      <c r="B1084" s="19" t="s">
        <v>1344</v>
      </c>
      <c r="C1084" s="39">
        <v>6158.0936049663324</v>
      </c>
      <c r="D1084" s="45">
        <v>35.683785250385938</v>
      </c>
      <c r="E1084" s="54" t="s">
        <v>1387</v>
      </c>
    </row>
    <row r="1085" spans="1:5">
      <c r="A1085" s="9" t="s">
        <v>1087</v>
      </c>
      <c r="B1085" s="19" t="s">
        <v>1344</v>
      </c>
      <c r="C1085" s="39">
        <v>4213.7072540382778</v>
      </c>
      <c r="D1085" s="45">
        <v>40.880421524323538</v>
      </c>
      <c r="E1085" s="54" t="s">
        <v>1387</v>
      </c>
    </row>
    <row r="1086" spans="1:5">
      <c r="A1086" s="9" t="s">
        <v>1088</v>
      </c>
      <c r="B1086" s="19" t="s">
        <v>1344</v>
      </c>
      <c r="C1086" s="39">
        <v>2587.6882441926314</v>
      </c>
      <c r="D1086" s="45">
        <v>50.495503635467244</v>
      </c>
      <c r="E1086" s="54" t="s">
        <v>1387</v>
      </c>
    </row>
    <row r="1087" spans="1:5">
      <c r="A1087" s="9" t="s">
        <v>1089</v>
      </c>
      <c r="B1087" s="19" t="s">
        <v>1344</v>
      </c>
      <c r="C1087" s="39">
        <v>4589.2257695883809</v>
      </c>
      <c r="D1087" s="45">
        <v>33.662232330367736</v>
      </c>
      <c r="E1087" s="54" t="s">
        <v>1387</v>
      </c>
    </row>
    <row r="1088" spans="1:5">
      <c r="A1088" s="9" t="s">
        <v>1090</v>
      </c>
      <c r="B1088" s="19" t="s">
        <v>1344</v>
      </c>
      <c r="C1088" s="39">
        <v>5593.174814157197</v>
      </c>
      <c r="D1088" s="45">
        <v>21.158582192239802</v>
      </c>
      <c r="E1088" s="54" t="s">
        <v>1387</v>
      </c>
    </row>
    <row r="1089" spans="1:5">
      <c r="A1089" s="9" t="s">
        <v>1092</v>
      </c>
      <c r="B1089" s="19" t="s">
        <v>1344</v>
      </c>
      <c r="C1089" s="39">
        <v>6554.9523532191315</v>
      </c>
      <c r="D1089" s="45">
        <v>17.853902349777172</v>
      </c>
      <c r="E1089" s="54" t="s">
        <v>1387</v>
      </c>
    </row>
    <row r="1090" spans="1:5">
      <c r="A1090" s="9" t="s">
        <v>1093</v>
      </c>
      <c r="B1090" s="19" t="s">
        <v>1344</v>
      </c>
      <c r="C1090" s="39">
        <v>3993.282258303509</v>
      </c>
      <c r="D1090" s="45">
        <v>77.240862128054403</v>
      </c>
      <c r="E1090" s="54" t="s">
        <v>1387</v>
      </c>
    </row>
    <row r="1091" spans="1:5">
      <c r="A1091" s="9" t="s">
        <v>1094</v>
      </c>
      <c r="B1091" s="19" t="s">
        <v>1344</v>
      </c>
      <c r="C1091" s="39">
        <v>3148.6211814481535</v>
      </c>
      <c r="D1091" s="45">
        <v>80.681539338922519</v>
      </c>
      <c r="E1091" s="54" t="s">
        <v>1387</v>
      </c>
    </row>
    <row r="1092" spans="1:5">
      <c r="A1092" s="9" t="s">
        <v>1095</v>
      </c>
      <c r="B1092" s="19" t="s">
        <v>1344</v>
      </c>
      <c r="C1092" s="39">
        <v>4492.4021367200694</v>
      </c>
      <c r="D1092" s="45">
        <v>18.832704417198912</v>
      </c>
      <c r="E1092" s="54" t="s">
        <v>1387</v>
      </c>
    </row>
    <row r="1093" spans="1:5">
      <c r="A1093" s="9" t="s">
        <v>1097</v>
      </c>
      <c r="B1093" s="19" t="s">
        <v>1344</v>
      </c>
      <c r="C1093" s="39">
        <v>4423.2070234166113</v>
      </c>
      <c r="D1093" s="45">
        <v>18.143369371943422</v>
      </c>
      <c r="E1093" s="54" t="s">
        <v>1387</v>
      </c>
    </row>
    <row r="1094" spans="1:5">
      <c r="A1094" s="9" t="s">
        <v>1098</v>
      </c>
      <c r="B1094" s="19" t="s">
        <v>1344</v>
      </c>
      <c r="C1094" s="39">
        <v>3790.4928224951018</v>
      </c>
      <c r="D1094" s="45">
        <v>18.970177325824402</v>
      </c>
      <c r="E1094" s="54" t="s">
        <v>1387</v>
      </c>
    </row>
    <row r="1095" spans="1:5">
      <c r="A1095" s="9" t="s">
        <v>1099</v>
      </c>
      <c r="B1095" s="19" t="s">
        <v>1344</v>
      </c>
      <c r="C1095" s="39">
        <v>18462.510164722466</v>
      </c>
      <c r="D1095" s="45">
        <v>35.872984264898051</v>
      </c>
      <c r="E1095" s="54" t="s">
        <v>1387</v>
      </c>
    </row>
    <row r="1096" spans="1:5">
      <c r="A1096" s="9" t="s">
        <v>1100</v>
      </c>
      <c r="B1096" s="19" t="s">
        <v>1344</v>
      </c>
      <c r="C1096" s="39">
        <v>19445.198458348677</v>
      </c>
      <c r="D1096" s="45">
        <v>42.116369797756697</v>
      </c>
      <c r="E1096" s="54" t="s">
        <v>1387</v>
      </c>
    </row>
    <row r="1097" spans="1:5">
      <c r="A1097" s="9" t="s">
        <v>1101</v>
      </c>
      <c r="B1097" s="19" t="s">
        <v>1344</v>
      </c>
      <c r="C1097" s="39">
        <v>23615.8491767878</v>
      </c>
      <c r="D1097" s="45">
        <v>36.853249718443628</v>
      </c>
      <c r="E1097" s="54" t="s">
        <v>1387</v>
      </c>
    </row>
    <row r="1098" spans="1:5">
      <c r="A1098" s="9" t="s">
        <v>1102</v>
      </c>
      <c r="B1098" s="19" t="s">
        <v>1344</v>
      </c>
      <c r="C1098" s="39">
        <v>20732.732017057613</v>
      </c>
      <c r="D1098" s="45">
        <v>51.154762744033043</v>
      </c>
      <c r="E1098" s="54" t="s">
        <v>1387</v>
      </c>
    </row>
    <row r="1099" spans="1:5">
      <c r="A1099" s="9" t="s">
        <v>1103</v>
      </c>
      <c r="B1099" s="19" t="s">
        <v>1344</v>
      </c>
      <c r="C1099" s="39">
        <v>5028.2023611542136</v>
      </c>
      <c r="D1099" s="45">
        <v>14.336741215676776</v>
      </c>
      <c r="E1099" s="54" t="s">
        <v>1387</v>
      </c>
    </row>
    <row r="1100" spans="1:5">
      <c r="A1100" s="9" t="s">
        <v>1105</v>
      </c>
      <c r="B1100" s="19" t="s">
        <v>1344</v>
      </c>
      <c r="C1100" s="39">
        <v>5379.9675629268722</v>
      </c>
      <c r="D1100" s="45">
        <v>13.864018820855788</v>
      </c>
      <c r="E1100" s="54" t="s">
        <v>1387</v>
      </c>
    </row>
    <row r="1101" spans="1:5">
      <c r="A1101" s="9" t="s">
        <v>1106</v>
      </c>
      <c r="B1101" s="19" t="s">
        <v>1344</v>
      </c>
      <c r="C1101" s="39">
        <v>5321.2214165887272</v>
      </c>
      <c r="D1101" s="45">
        <v>13.826671012791412</v>
      </c>
      <c r="E1101" s="54" t="s">
        <v>1387</v>
      </c>
    </row>
    <row r="1102" spans="1:5">
      <c r="A1102" s="9" t="s">
        <v>1107</v>
      </c>
      <c r="B1102" s="19" t="s">
        <v>1344</v>
      </c>
      <c r="C1102" s="39">
        <v>5309.0524997527073</v>
      </c>
      <c r="D1102" s="45">
        <v>13.906070430198671</v>
      </c>
      <c r="E1102" s="54" t="s">
        <v>1387</v>
      </c>
    </row>
    <row r="1103" spans="1:5">
      <c r="A1103" s="9" t="s">
        <v>1108</v>
      </c>
      <c r="B1103" s="19" t="s">
        <v>1344</v>
      </c>
      <c r="C1103" s="39">
        <v>5466.0290174087077</v>
      </c>
      <c r="D1103" s="45">
        <v>13.832501473483193</v>
      </c>
      <c r="E1103" s="54" t="s">
        <v>1387</v>
      </c>
    </row>
    <row r="1104" spans="1:5">
      <c r="A1104" s="9" t="s">
        <v>1109</v>
      </c>
      <c r="B1104" s="19" t="s">
        <v>1344</v>
      </c>
      <c r="C1104" s="39">
        <v>5229.3488940404495</v>
      </c>
      <c r="D1104" s="45">
        <v>13.549556328423161</v>
      </c>
      <c r="E1104" s="54" t="s">
        <v>1387</v>
      </c>
    </row>
    <row r="1105" spans="1:5">
      <c r="A1105" s="9" t="s">
        <v>1110</v>
      </c>
      <c r="B1105" s="19" t="s">
        <v>1344</v>
      </c>
      <c r="C1105" s="39">
        <v>5049.0644576143168</v>
      </c>
      <c r="D1105" s="45">
        <v>13.778419161334487</v>
      </c>
      <c r="E1105" s="54" t="s">
        <v>1387</v>
      </c>
    </row>
    <row r="1106" spans="1:5">
      <c r="A1106" s="9" t="s">
        <v>1111</v>
      </c>
      <c r="B1106" s="19" t="s">
        <v>1344</v>
      </c>
      <c r="C1106" s="39">
        <v>5157.0554833044198</v>
      </c>
      <c r="D1106" s="45">
        <v>14.043947954084933</v>
      </c>
      <c r="E1106" s="54" t="s">
        <v>1387</v>
      </c>
    </row>
    <row r="1107" spans="1:5">
      <c r="A1107" s="9" t="s">
        <v>1112</v>
      </c>
      <c r="B1107" s="19" t="s">
        <v>1344</v>
      </c>
      <c r="C1107" s="39">
        <v>5306.5500627377596</v>
      </c>
      <c r="D1107" s="45">
        <v>13.676287742215504</v>
      </c>
      <c r="E1107" s="54" t="s">
        <v>1387</v>
      </c>
    </row>
  </sheetData>
  <conditionalFormatting sqref="B136:B231 A136:A368">
    <cfRule type="cellIs" dxfId="0" priority="1" operator="greaterThan">
      <formula>1000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data, all elements</vt:lpstr>
      <vt:lpstr>Data for SrYvsLREE Biplots in R</vt:lpstr>
    </vt:vector>
  </TitlesOfParts>
  <Company/>
  <LinksUpToDate>false</LinksUpToDate>
  <SharedDoc>false</SharedDoc>
  <HyperlinksChanged>false</HyperlinksChanged>
  <AppVersion>14.0300</AppVersion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